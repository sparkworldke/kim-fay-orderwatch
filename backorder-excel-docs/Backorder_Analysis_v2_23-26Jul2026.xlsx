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ovement Summary" sheetId="2" state="visible" r:id="rId4"/>
    <sheet name="Resolution Log" sheetId="3" state="visible" r:id="rId5"/>
    <sheet name="New Back Orders" sheetId="4" state="visible" r:id="rId6"/>
    <sheet name="Lost Sales" sheetId="5" state="visible" r:id="rId7"/>
    <sheet name="Open Book 26 Jul" sheetId="6" state="visible" r:id="rId8"/>
    <sheet name="Out of Window" sheetId="7" state="visible" r:id="rId9"/>
    <sheet name="Dev Spec" sheetId="8" state="visible" r:id="rId10"/>
    <sheet name="Shortage Diagnosis" sheetId="9" state="visible" r:id="rId11"/>
  </sheets>
  <definedNames>
    <definedName function="false" hidden="true" localSheetId="3" name="_xlnm._FilterDatabase" vbProcedure="false">'New Back Orders'!$A$5:$K$17</definedName>
    <definedName function="false" hidden="true" localSheetId="5" name="_xlnm._FilterDatabase" vbProcedure="false">'Open Book 26 Jul'!$A$5:$M$45</definedName>
    <definedName function="false" hidden="true" localSheetId="6" name="_xlnm._FilterDatabase" vbProcedure="false">'Out of Window'!$A$5:$I$63</definedName>
    <definedName function="false" hidden="true" localSheetId="2" name="_xlnm._FilterDatabase" vbProcedure="false">'Resolution Log'!$A$5:$N$19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<sst xmlns="http://schemas.openxmlformats.org/spreadsheetml/2006/main" count="897" uniqueCount="468">
  <si>
    <t xml:space="preserve">Back Order Report v2 — 23 July vs 26 July 2026</t>
  </si>
  <si>
    <t xml:space="preserve">Snapshot A: 23/07/2026 17:41 (orders 01-23 Jul). Snapshot B: 26/07/2026 12:29 (orders 22-25 Jul). Comparing the two is what finally makes "resolved" measurable.</t>
  </si>
  <si>
    <t xml:space="preserve">Topic</t>
  </si>
  <si>
    <t xml:space="preserve">Detail</t>
  </si>
  <si>
    <t xml:space="preserve">READ THIS FIRST — the two exports are NOT the same period</t>
  </si>
  <si>
    <t xml:space="preserve">What you asked for vs what came out</t>
  </si>
  <si>
    <t xml:space="preserve">The 23 July export was filtered Created On = This Month, so it covers 01-23 July. The 26 July export was filtered to a 4-day window, so it only covers 22-25 July. They are not the same period. That is fixable but it limits what can be answered today.</t>
  </si>
  <si>
    <t xml:space="preserve">What this DOES let us measure</t>
  </si>
  <si>
    <t xml:space="preserve">Orders dated 22-23 July appear in BOTH windows. That is a clean cohort of 14 orders carrying KES 2.24m of open value. For those we can say exactly what happened: resolved, still open, in transit, or cancelled — plus how many days it took.</t>
  </si>
  <si>
    <t xml:space="preserve">What it does NOT let us measure</t>
  </si>
  <si>
    <t xml:space="preserve">58 orders dated 01-21 July, holding KES 1.53m of open value, fall outside the new window. That includes the ENTIRE Khetia Drapers 10 July block (KES 1.06m) which was the biggest problem in the last report. We cannot tell whether it cleared or is still sitting there. See the Out of Window tab.</t>
  </si>
  <si>
    <t xml:space="preserve">To fix it next time</t>
  </si>
  <si>
    <t xml:space="preserve">Set the filter to Created On = This Month on BOTH exports, every time. Same filter, different day, saved to a dated folder. Then every order carries across and the whole month reconciles instead of a 4-day slice.</t>
  </si>
  <si>
    <t xml:space="preserve">HOW TO READ THIS WORKBOOK</t>
  </si>
  <si>
    <t xml:space="preserve">Movement Summary</t>
  </si>
  <si>
    <t xml:space="preserve">The headline. What happened to the 23 July back order book over three days, in orders and in KES.</t>
  </si>
  <si>
    <t xml:space="preserve">Resolution Log</t>
  </si>
  <si>
    <t xml:space="preserve">Order-by-order audit trail for the comparable cohort: date it went on back order, date it resolved, days taken, and the outcome. This is the tab that answers "when did it enter and when was it solved".</t>
  </si>
  <si>
    <t xml:space="preserve">New Back Orders</t>
  </si>
  <si>
    <t xml:space="preserve">Orders that were FINE on 23 July and have fallen into back order since. Six of them went backwards from Shipping to Back Order — that is a picking or allocation failure, not a supply failure.</t>
  </si>
  <si>
    <t xml:space="preserve">Lost Sales</t>
  </si>
  <si>
    <t xml:space="preserve">Cancellations. This is the real cost of the delay — orders the customer gave up on. Filterable by whether they came from the back order book.</t>
  </si>
  <si>
    <t xml:space="preserve">Open Book 26 Jul</t>
  </si>
  <si>
    <t xml:space="preserve">The 40 orders sitting on back order right now.</t>
  </si>
  <si>
    <t xml:space="preserve">Out of Window</t>
  </si>
  <si>
    <t xml:space="preserve">The 58 orders we lost sight of because the export filter changed. Re-export to close this gap.</t>
  </si>
  <si>
    <t xml:space="preserve">Dev Spec</t>
  </si>
  <si>
    <t xml:space="preserve">For the development team — how to compute all of this against your Acumatica models so the app and this report agree.</t>
  </si>
  <si>
    <t xml:space="preserve">DEFINITIONS USED THROUGHOUT</t>
  </si>
  <si>
    <t xml:space="preserve">Open value</t>
  </si>
  <si>
    <t xml:space="preserve">Unbilled Order Total — order value not yet invoiced. Proxy for exposure. Slightly overstates unshipped value because it includes shipped-not-yet-invoiced.</t>
  </si>
  <si>
    <t xml:space="preserve">Resolved</t>
  </si>
  <si>
    <t xml:space="preserve">Order status moved to Completed. The line has shipped and invoiced.</t>
  </si>
  <si>
    <t xml:space="preserve">In transit</t>
  </si>
  <si>
    <t xml:space="preserve">Status moved to Shipping. A shipment exists but is not invoiced, so open value still reads high. Counts as movement, not yet as resolution.</t>
  </si>
  <si>
    <t xml:space="preserve">Days to resolve</t>
  </si>
  <si>
    <t xml:space="preserve">Resolution date minus order date. Resolution date is taken from the latest Shipment Date on the order — a PROXY. Your BackorderResolution.resolved_at field will be exact; this is the best available from a flat export.</t>
  </si>
  <si>
    <t xml:space="preserve">Lost</t>
  </si>
  <si>
    <t xml:space="preserve">Status moved to Canceled. Treat the full line value as lost revenue, not as a shortage.</t>
  </si>
  <si>
    <t xml:space="preserve">What happened between 23 and 26 July</t>
  </si>
  <si>
    <t xml:space="preserve">Cohort = 14 sales orders dated 22-23 Jul that were on back order at the 23 Jul snapshot. Three calendar days elapsed.</t>
  </si>
  <si>
    <t xml:space="preserve">Outcome after 3 days</t>
  </si>
  <si>
    <t xml:space="preserve">Orders</t>
  </si>
  <si>
    <t xml:space="preserve">Order value (KES)</t>
  </si>
  <si>
    <t xml:space="preserve">Open value at 23 Jul (KES)</t>
  </si>
  <si>
    <t xml:space="preserve">Open value at 26 Jul (KES)</t>
  </si>
  <si>
    <t xml:space="preserve">% of opening book removed</t>
  </si>
  <si>
    <t xml:space="preserve">RESOLVED — shipped and invoiced</t>
  </si>
  <si>
    <t xml:space="preserve">IN TRANSIT — shipment raised, not invoiced</t>
  </si>
  <si>
    <t xml:space="preserve">STILL OPEN — no movement</t>
  </si>
  <si>
    <t xml:space="preserve">LOST — customer cancelled</t>
  </si>
  <si>
    <t xml:space="preserve">TOTAL COHORT</t>
  </si>
  <si>
    <t xml:space="preserve">Headline numbers</t>
  </si>
  <si>
    <t xml:space="preserve">Metric</t>
  </si>
  <si>
    <t xml:space="preserve">Value</t>
  </si>
  <si>
    <t xml:space="preserve">What it tells you</t>
  </si>
  <si>
    <t xml:space="preserve">Open value resolved in 3 days (KES)</t>
  </si>
  <si>
    <t xml:space="preserve">Stock came back and the orders were billed out.</t>
  </si>
  <si>
    <t xml:space="preserve">TRUE clearance rate (resolved only)</t>
  </si>
  <si>
    <t xml:space="preserve">Share of the opening book that was actually shipped and billed. Excludes cancellations.</t>
  </si>
  <si>
    <t xml:space="preserve">Book removed including cancellations</t>
  </si>
  <si>
    <t xml:space="preserve">Higher than the true rate because cancelled orders also leave the book. Do not quote this as fill performance.</t>
  </si>
  <si>
    <t xml:space="preserve">Orders fully resolved</t>
  </si>
  <si>
    <t xml:space="preserve">Completed and invoiced.</t>
  </si>
  <si>
    <t xml:space="preserve">Average days to resolve</t>
  </si>
  <si>
    <t xml:space="preserve">Order date to latest shipment date, resolved orders only. See Resolution Log.</t>
  </si>
  <si>
    <t xml:space="preserve">LOST to cancellation (KES)</t>
  </si>
  <si>
    <t xml:space="preserve">Real lost revenue. 100% of it is Majid Al Futtaim (Carrefour).</t>
  </si>
  <si>
    <t xml:space="preserve">Cancellation rate on open value</t>
  </si>
  <si>
    <t xml:space="preserve">Share of the back order book the customer walked away from.</t>
  </si>
  <si>
    <t xml:space="preserve">New back orders arising since 23 Jul</t>
  </si>
  <si>
    <t xml:space="preserve">Orders dated 22-23 Jul that were fine at snapshot A and are on back order now.</t>
  </si>
  <si>
    <t xml:space="preserve">Open value on those new back orders (KES)</t>
  </si>
  <si>
    <t xml:space="preserve">The book refills as fast as it clears — see New Back Orders tab.</t>
  </si>
  <si>
    <t xml:space="preserve">Of which went BACKWARDS from Shipping</t>
  </si>
  <si>
    <t xml:space="preserve">A shipment existed and then the order fell back. Picking / allocation failure, not supply.</t>
  </si>
  <si>
    <t xml:space="preserve">Coverage warning</t>
  </si>
  <si>
    <t xml:space="preserve">Orders dated 01-21 Jul that fell outside the new export window</t>
  </si>
  <si>
    <t xml:space="preserve">Open value we cannot account for (KES)</t>
  </si>
  <si>
    <t xml:space="preserve">Largest single unknown — Khetia Drapers 10 Jul block (KES)</t>
  </si>
  <si>
    <t xml:space="preserve">Audit trail — when it entered back order, when it was solved</t>
  </si>
  <si>
    <t xml:space="preserve">Comparable cohort only. "Entered" = first snapshot showing Back Order. "Solved" = latest shipment date on the order (proxy — see Read Me).</t>
  </si>
  <si>
    <t xml:space="preserve">Filter the Outcome column to isolate resolved / lost / still open.</t>
  </si>
  <si>
    <t xml:space="preserve">Order Nbr.</t>
  </si>
  <si>
    <t xml:space="preserve">Order date</t>
  </si>
  <si>
    <t xml:space="preserve">Entered back order</t>
  </si>
  <si>
    <t xml:space="preserve">Solved on</t>
  </si>
  <si>
    <t xml:space="preserve">Days taken</t>
  </si>
  <si>
    <t xml:space="preserve">Window</t>
  </si>
  <si>
    <t xml:space="preserve">Customer</t>
  </si>
  <si>
    <t xml:space="preserve">Main account</t>
  </si>
  <si>
    <t xml:space="preserve">Category</t>
  </si>
  <si>
    <t xml:space="preserve">Open at 23 Jul (KES)</t>
  </si>
  <si>
    <t xml:space="preserve">Open at 26 Jul (KES)</t>
  </si>
  <si>
    <t xml:space="preserve">Status 26 Jul</t>
  </si>
  <si>
    <t xml:space="preserve">Outcome</t>
  </si>
  <si>
    <t xml:space="preserve">SO367051</t>
  </si>
  <si>
    <t xml:space="preserve">—</t>
  </si>
  <si>
    <t xml:space="preserve">3+ Days (open)</t>
  </si>
  <si>
    <t xml:space="preserve">23 Jul – still open at 26 Jul</t>
  </si>
  <si>
    <t xml:space="preserve">Stage Mattresses Ltd</t>
  </si>
  <si>
    <t xml:space="preserve">General Trade</t>
  </si>
  <si>
    <t xml:space="preserve">Shipping</t>
  </si>
  <si>
    <t xml:space="preserve">IN TRANSIT</t>
  </si>
  <si>
    <t xml:space="preserve">SO366768</t>
  </si>
  <si>
    <t xml:space="preserve">4+ Days (open)</t>
  </si>
  <si>
    <t xml:space="preserve">22 Jul – still open at 26 Jul</t>
  </si>
  <si>
    <t xml:space="preserve">Golden Jubilee Ltd</t>
  </si>
  <si>
    <t xml:space="preserve">(not classified)</t>
  </si>
  <si>
    <t xml:space="preserve">SO366830</t>
  </si>
  <si>
    <t xml:space="preserve">Linawi Pharmaceuticals</t>
  </si>
  <si>
    <t xml:space="preserve">Pharmacy</t>
  </si>
  <si>
    <t xml:space="preserve">SO367035</t>
  </si>
  <si>
    <t xml:space="preserve">Cancelled</t>
  </si>
  <si>
    <t xml:space="preserve">23 Jul – cancelled by 26 Jul</t>
  </si>
  <si>
    <t xml:space="preserve">Majid Al Futtaim Hypermarkets Ltd - Business Bay Square</t>
  </si>
  <si>
    <t xml:space="preserve">Majid Al Futtaim Hypermarkets Ltd</t>
  </si>
  <si>
    <t xml:space="preserve">Modern Trade T1</t>
  </si>
  <si>
    <t xml:space="preserve">Canceled</t>
  </si>
  <si>
    <t xml:space="preserve">LOST (cancelled)</t>
  </si>
  <si>
    <t xml:space="preserve">SO367021</t>
  </si>
  <si>
    <t xml:space="preserve">Majid Al Futtaim Hypermarkets Ltd - The Hub</t>
  </si>
  <si>
    <t xml:space="preserve">SO367015</t>
  </si>
  <si>
    <t xml:space="preserve">Majid Al Futtaim Hypermarkets Ltd- Sarit Centre</t>
  </si>
  <si>
    <t xml:space="preserve">SO366998</t>
  </si>
  <si>
    <t xml:space="preserve">Majid Al Futtaim Hypermarkets Ltd - Maasai Mall</t>
  </si>
  <si>
    <t xml:space="preserve">SO367174</t>
  </si>
  <si>
    <t xml:space="preserve">2 Days</t>
  </si>
  <si>
    <t xml:space="preserve">23 Jul – 25 Jul</t>
  </si>
  <si>
    <t xml:space="preserve">Goodlife Pharmacy Ltd</t>
  </si>
  <si>
    <t xml:space="preserve">Completed</t>
  </si>
  <si>
    <t xml:space="preserve">RESOLVED</t>
  </si>
  <si>
    <t xml:space="preserve">SO366795</t>
  </si>
  <si>
    <t xml:space="preserve">0 Days</t>
  </si>
  <si>
    <t xml:space="preserve">22 Jul – 22 Jul</t>
  </si>
  <si>
    <t xml:space="preserve">Super Cosmetics Limited - Junction Mall</t>
  </si>
  <si>
    <t xml:space="preserve">Super Cosmetics Limited</t>
  </si>
  <si>
    <t xml:space="preserve">SO366814</t>
  </si>
  <si>
    <t xml:space="preserve">22 Jul – 24 Jul</t>
  </si>
  <si>
    <t xml:space="preserve">Creative Consolidated Systems Ltd - Safaricom</t>
  </si>
  <si>
    <t xml:space="preserve">Creative Consolidated Systems Ltd</t>
  </si>
  <si>
    <t xml:space="preserve">SO366843</t>
  </si>
  <si>
    <t xml:space="preserve">Stedmak Group of Hotels</t>
  </si>
  <si>
    <t xml:space="preserve">SO367052</t>
  </si>
  <si>
    <t xml:space="preserve">1 Day</t>
  </si>
  <si>
    <t xml:space="preserve">23 Jul – 24 Jul</t>
  </si>
  <si>
    <t xml:space="preserve">East African Chains Ltd</t>
  </si>
  <si>
    <t xml:space="preserve">SO367113</t>
  </si>
  <si>
    <t xml:space="preserve">Ava Apotheke Ltd</t>
  </si>
  <si>
    <t xml:space="preserve">Back Order</t>
  </si>
  <si>
    <t xml:space="preserve">STILL OPEN</t>
  </si>
  <si>
    <t xml:space="preserve">SO366783</t>
  </si>
  <si>
    <t xml:space="preserve">Sigona Golf Club</t>
  </si>
  <si>
    <t xml:space="preserve">TOTAL</t>
  </si>
  <si>
    <t xml:space="preserve">Fell into back order AFTER the 23 July snapshot</t>
  </si>
  <si>
    <t xml:space="preserve">Orders dated 22-23 Jul that were not on the back order book at snapshot A. Rows shaded red went BACKWARDS from Shipping — a shipment existed and the order still fell back.</t>
  </si>
  <si>
    <t xml:space="preserve">Status at 23 Jul</t>
  </si>
  <si>
    <t xml:space="preserve">Open value (KES)</t>
  </si>
  <si>
    <t xml:space="preserve">Fulfilled %</t>
  </si>
  <si>
    <t xml:space="preserve">Shipments</t>
  </si>
  <si>
    <t xml:space="preserve">Likely cause</t>
  </si>
  <si>
    <t xml:space="preserve">SO366586</t>
  </si>
  <si>
    <t xml:space="preserve">Bahari Health Food LTD</t>
  </si>
  <si>
    <t xml:space="preserve">not in 23 Jul export</t>
  </si>
  <si>
    <t xml:space="preserve">Newly short at allocation</t>
  </si>
  <si>
    <t xml:space="preserve">SO367055</t>
  </si>
  <si>
    <t xml:space="preserve">Roopam Ltd</t>
  </si>
  <si>
    <t xml:space="preserve">Regression from Shipping — check short-pick / de-allocation</t>
  </si>
  <si>
    <t xml:space="preserve">SO366778</t>
  </si>
  <si>
    <t xml:space="preserve">Sifa Distributors Ltd</t>
  </si>
  <si>
    <t xml:space="preserve">SO367244</t>
  </si>
  <si>
    <t xml:space="preserve">Maguna's Super Stores (K) -Kenol Branch</t>
  </si>
  <si>
    <t xml:space="preserve">Maguna's Super Stores (K) Ltd</t>
  </si>
  <si>
    <t xml:space="preserve">Modern Trade T2</t>
  </si>
  <si>
    <t xml:space="preserve">SO367093</t>
  </si>
  <si>
    <t xml:space="preserve">Mt.Kenya Wholesalers - Kitui</t>
  </si>
  <si>
    <t xml:space="preserve">Mt.Kenya Wholesalers - Matuu</t>
  </si>
  <si>
    <t xml:space="preserve">SO367231</t>
  </si>
  <si>
    <t xml:space="preserve">Maguna's Supestore's (K) LTD - CHUKA</t>
  </si>
  <si>
    <t xml:space="preserve">SO367246</t>
  </si>
  <si>
    <t xml:space="preserve">SO367245</t>
  </si>
  <si>
    <t xml:space="preserve">SO367081</t>
  </si>
  <si>
    <t xml:space="preserve">Gilanis Distributors Ltd</t>
  </si>
  <si>
    <t xml:space="preserve">SO366953</t>
  </si>
  <si>
    <t xml:space="preserve">Bubbly Hearts Ltd</t>
  </si>
  <si>
    <t xml:space="preserve">SO366916</t>
  </si>
  <si>
    <t xml:space="preserve">Maguna's Superstore -Kitui</t>
  </si>
  <si>
    <t xml:space="preserve">SO366925</t>
  </si>
  <si>
    <t xml:space="preserve">Maguna's Super stores (K) Ltd - Ushirika</t>
  </si>
  <si>
    <t xml:space="preserve">Cancellations 22-25 July — the real cost of the delay</t>
  </si>
  <si>
    <t xml:space="preserve">Every one of these is revenue the customer walked away from. Rows shaded red were confirmed on the back order book at 23 July before being cancelled.</t>
  </si>
  <si>
    <t xml:space="preserve">Qty</t>
  </si>
  <si>
    <t xml:space="preserve">Value lost (KES)</t>
  </si>
  <si>
    <t xml:space="preserve">Was on back order 23 Jul?</t>
  </si>
  <si>
    <t xml:space="preserve">YES — confirmed</t>
  </si>
  <si>
    <t xml:space="preserve">SO367275</t>
  </si>
  <si>
    <t xml:space="preserve">Majid Al Futtaim Hypermarkets Ltd - Westgate</t>
  </si>
  <si>
    <t xml:space="preserve">Not in 23 Jul back order file</t>
  </si>
  <si>
    <t xml:space="preserve">SO367314</t>
  </si>
  <si>
    <t xml:space="preserve">Quick Mart Ltd - CHAKA</t>
  </si>
  <si>
    <t xml:space="preserve">Quick Mart Ltd</t>
  </si>
  <si>
    <t xml:space="preserve">SO367408</t>
  </si>
  <si>
    <t xml:space="preserve">Majid Al Futtaim Hypermarkets Ltd- Parklands</t>
  </si>
  <si>
    <t xml:space="preserve">SO366509</t>
  </si>
  <si>
    <t xml:space="preserve">Quick Mart Ltd - Eastern Bypass</t>
  </si>
  <si>
    <t xml:space="preserve">SO366609</t>
  </si>
  <si>
    <t xml:space="preserve">Quick Mart Ltd- Nakuru Statehouse</t>
  </si>
  <si>
    <t xml:space="preserve">SO366547</t>
  </si>
  <si>
    <t xml:space="preserve">Naivasha Self Services Store - Kitengela</t>
  </si>
  <si>
    <t xml:space="preserve">Naivasha S.S.S Stores Limited</t>
  </si>
  <si>
    <t xml:space="preserve">SO367446</t>
  </si>
  <si>
    <t xml:space="preserve">Naivasha Self Service Store -  Juja City</t>
  </si>
  <si>
    <t xml:space="preserve">TOTAL LOST</t>
  </si>
  <si>
    <t xml:space="preserve">Lost sales by account</t>
  </si>
  <si>
    <t xml:space="preserve">Orders cancelled</t>
  </si>
  <si>
    <t xml:space="preserve">% of all cancellations</t>
  </si>
  <si>
    <t xml:space="preserve">Total</t>
  </si>
  <si>
    <t xml:space="preserve">Back order book as at 26 July 2026 — 40 orders</t>
  </si>
  <si>
    <t xml:space="preserve">Current exposure. Ageing is measured against the 26 July snapshot.</t>
  </si>
  <si>
    <t xml:space="preserve">Snapshot date:</t>
  </si>
  <si>
    <t xml:space="preserve">Age (days)</t>
  </si>
  <si>
    <t xml:space="preserve">Fill stage</t>
  </si>
  <si>
    <t xml:space="preserve">Priority</t>
  </si>
  <si>
    <t xml:space="preserve">SO367447</t>
  </si>
  <si>
    <t xml:space="preserve">Surgipharm Ltd</t>
  </si>
  <si>
    <t xml:space="preserve">SO367528</t>
  </si>
  <si>
    <t xml:space="preserve">Maguna-Andu Wholesalers (K) Limited - Makutano</t>
  </si>
  <si>
    <t xml:space="preserve">Maguna-Andu Wholesalers (K) Limited</t>
  </si>
  <si>
    <t xml:space="preserve">SO367573</t>
  </si>
  <si>
    <t xml:space="preserve">Zuzumz  Limited</t>
  </si>
  <si>
    <t xml:space="preserve">SO367513</t>
  </si>
  <si>
    <t xml:space="preserve">Khetia Drapers Ltd - Plus</t>
  </si>
  <si>
    <t xml:space="preserve">Khetia Drapers Ltd</t>
  </si>
  <si>
    <t xml:space="preserve">SO367405</t>
  </si>
  <si>
    <t xml:space="preserve">Gilanis Distributors Ltd-Eldoret</t>
  </si>
  <si>
    <t xml:space="preserve">SO367541</t>
  </si>
  <si>
    <t xml:space="preserve">Khetia Drapers Ltd - Nyeri</t>
  </si>
  <si>
    <t xml:space="preserve">SO367391</t>
  </si>
  <si>
    <t xml:space="preserve">Ava Pharmacy Limited</t>
  </si>
  <si>
    <t xml:space="preserve">SO367480</t>
  </si>
  <si>
    <t xml:space="preserve">Mt.Kenya Wholesalers - Mwingi</t>
  </si>
  <si>
    <t xml:space="preserve">SO367372</t>
  </si>
  <si>
    <t xml:space="preserve">Sales Promotion - Unilever</t>
  </si>
  <si>
    <t xml:space="preserve">SO367532</t>
  </si>
  <si>
    <t xml:space="preserve">Khetia Drapers Ltd - Chuka</t>
  </si>
  <si>
    <t xml:space="preserve">SO367580</t>
  </si>
  <si>
    <t xml:space="preserve">Jumstek Enterprises Ltd</t>
  </si>
  <si>
    <t xml:space="preserve">SO367508</t>
  </si>
  <si>
    <t xml:space="preserve">Khetia Drapers Ltd - Kanduyi</t>
  </si>
  <si>
    <t xml:space="preserve">SO367588</t>
  </si>
  <si>
    <t xml:space="preserve">Khetia Drapers Ltd - Dala</t>
  </si>
  <si>
    <t xml:space="preserve">SO367537</t>
  </si>
  <si>
    <t xml:space="preserve">Khetia Drapers Ltd - Meru</t>
  </si>
  <si>
    <t xml:space="preserve">SO367530</t>
  </si>
  <si>
    <t xml:space="preserve">Khetia Drapers Ltd - Maua</t>
  </si>
  <si>
    <t xml:space="preserve">SO367433</t>
  </si>
  <si>
    <t xml:space="preserve">Njabini Fair Prices Supermarket</t>
  </si>
  <si>
    <t xml:space="preserve">SO367381</t>
  </si>
  <si>
    <t xml:space="preserve">Mt.Kenya Wholesalers - Mlolongo</t>
  </si>
  <si>
    <t xml:space="preserve">SO367583</t>
  </si>
  <si>
    <t xml:space="preserve">Khetia Drapers Ltd - Victoria</t>
  </si>
  <si>
    <t xml:space="preserve">SO367425</t>
  </si>
  <si>
    <t xml:space="preserve">Connect Coffee</t>
  </si>
  <si>
    <t xml:space="preserve">SO367529</t>
  </si>
  <si>
    <t xml:space="preserve">Khetia Drapers Ltd - Highlands</t>
  </si>
  <si>
    <t xml:space="preserve">SO367395</t>
  </si>
  <si>
    <t xml:space="preserve">Alipa Hygiene and Packaging Solutions Ltd</t>
  </si>
  <si>
    <t xml:space="preserve">SO367568</t>
  </si>
  <si>
    <t xml:space="preserve">SO367416</t>
  </si>
  <si>
    <t xml:space="preserve">Delta Superstores Ltd</t>
  </si>
  <si>
    <t xml:space="preserve">SO367481</t>
  </si>
  <si>
    <t xml:space="preserve">Rizenn Homes Ltd</t>
  </si>
  <si>
    <t xml:space="preserve">SO367750</t>
  </si>
  <si>
    <t xml:space="preserve">SO367469</t>
  </si>
  <si>
    <t xml:space="preserve">Sales Promotion - Inhouse Use/Staff Use (SW)</t>
  </si>
  <si>
    <t xml:space="preserve">Lost visibility — 58 orders dated 01-21 July</t>
  </si>
  <si>
    <t xml:space="preserve">On back order at 23 July. The 26 July export only went back to 22 July, so their current status is UNKNOWN. Re-export with Created On = This Month to close this gap.</t>
  </si>
  <si>
    <t xml:space="preserve">Age at 23 Jul</t>
  </si>
  <si>
    <t xml:space="preserve">Fulfilled % at 23 Jul</t>
  </si>
  <si>
    <t xml:space="preserve">SO363506</t>
  </si>
  <si>
    <t xml:space="preserve">SO365985</t>
  </si>
  <si>
    <t xml:space="preserve">Sam West Distributors LTD</t>
  </si>
  <si>
    <t xml:space="preserve">SO363491</t>
  </si>
  <si>
    <t xml:space="preserve">Khetia Drapers Ltd - Gigamart</t>
  </si>
  <si>
    <t xml:space="preserve">SO363495</t>
  </si>
  <si>
    <t xml:space="preserve">Khetia Drapers Ltd - Eldoret CBD</t>
  </si>
  <si>
    <t xml:space="preserve">SO363507</t>
  </si>
  <si>
    <t xml:space="preserve">Khetia Drapers Ltd - Kakamega Poa</t>
  </si>
  <si>
    <t xml:space="preserve">SO363603</t>
  </si>
  <si>
    <t xml:space="preserve">Khetia Drapers Ltd - Thika</t>
  </si>
  <si>
    <t xml:space="preserve">SO363504</t>
  </si>
  <si>
    <t xml:space="preserve">Khetia Drapers Ltd - Cross Roads</t>
  </si>
  <si>
    <t xml:space="preserve">SO363621</t>
  </si>
  <si>
    <t xml:space="preserve">Khetia Drapers Ltd - Mirema</t>
  </si>
  <si>
    <t xml:space="preserve">SO363611</t>
  </si>
  <si>
    <t xml:space="preserve">Khetia Drapers Ltd - Limuru</t>
  </si>
  <si>
    <t xml:space="preserve">SO363496</t>
  </si>
  <si>
    <t xml:space="preserve">Khetia Drapers Ltd - Checkpoint</t>
  </si>
  <si>
    <t xml:space="preserve">SO363497</t>
  </si>
  <si>
    <t xml:space="preserve">SO363493</t>
  </si>
  <si>
    <t xml:space="preserve">Khetia Drapers Ltd - Midtown</t>
  </si>
  <si>
    <t xml:space="preserve">SO363584</t>
  </si>
  <si>
    <t xml:space="preserve">SO363577</t>
  </si>
  <si>
    <t xml:space="preserve">SO363499</t>
  </si>
  <si>
    <t xml:space="preserve">SO363502</t>
  </si>
  <si>
    <t xml:space="preserve">Khetia Drapers Ltd - Webuye</t>
  </si>
  <si>
    <t xml:space="preserve">SO363498</t>
  </si>
  <si>
    <t xml:space="preserve">SO365028</t>
  </si>
  <si>
    <t xml:space="preserve">Quickmart Ngong Road</t>
  </si>
  <si>
    <t xml:space="preserve">SO363505</t>
  </si>
  <si>
    <t xml:space="preserve">Khetia Drapers Ltd - Euro</t>
  </si>
  <si>
    <t xml:space="preserve">SO363501</t>
  </si>
  <si>
    <t xml:space="preserve">SO363494</t>
  </si>
  <si>
    <t xml:space="preserve">Khetia Drapers Ltd - Naivasha</t>
  </si>
  <si>
    <t xml:space="preserve">SO364962</t>
  </si>
  <si>
    <t xml:space="preserve">SO365904</t>
  </si>
  <si>
    <t xml:space="preserve">SO363503</t>
  </si>
  <si>
    <t xml:space="preserve">Khetia Drapers Ltd- Kahawa</t>
  </si>
  <si>
    <t xml:space="preserve">SO361397</t>
  </si>
  <si>
    <t xml:space="preserve">Bluewave Multisupplies Ltd</t>
  </si>
  <si>
    <t xml:space="preserve">SO363474</t>
  </si>
  <si>
    <t xml:space="preserve">Maguna's Superstore (K) Ltd - TEKETEKE</t>
  </si>
  <si>
    <t xml:space="preserve">SO363482</t>
  </si>
  <si>
    <t xml:space="preserve">Maguna's Superstore (K) Ltd - EMBU</t>
  </si>
  <si>
    <t xml:space="preserve">SO364971</t>
  </si>
  <si>
    <t xml:space="preserve">Quick Mart - Karen</t>
  </si>
  <si>
    <t xml:space="preserve">SO363500</t>
  </si>
  <si>
    <t xml:space="preserve">SO362943</t>
  </si>
  <si>
    <t xml:space="preserve">SO363511</t>
  </si>
  <si>
    <t xml:space="preserve">Karen Provision Stores Ltd</t>
  </si>
  <si>
    <t xml:space="preserve">SO364955</t>
  </si>
  <si>
    <t xml:space="preserve">Quick Mart Ltd - Nakuru</t>
  </si>
  <si>
    <t xml:space="preserve">SO364948</t>
  </si>
  <si>
    <t xml:space="preserve">Quick Mart Ltd - Rongai</t>
  </si>
  <si>
    <t xml:space="preserve">SO366172</t>
  </si>
  <si>
    <t xml:space="preserve">Food Gourmet Limited</t>
  </si>
  <si>
    <t xml:space="preserve">SO363475</t>
  </si>
  <si>
    <t xml:space="preserve">SO363484</t>
  </si>
  <si>
    <t xml:space="preserve">SO363480</t>
  </si>
  <si>
    <t xml:space="preserve">SO365249</t>
  </si>
  <si>
    <t xml:space="preserve">Samco Holdings Ltd (Eka Hotel)</t>
  </si>
  <si>
    <t xml:space="preserve">SO363481</t>
  </si>
  <si>
    <t xml:space="preserve">SO363470</t>
  </si>
  <si>
    <t xml:space="preserve">Maguna's Superstore (K) Ltd - Embu Dallas</t>
  </si>
  <si>
    <t xml:space="preserve">SO363472</t>
  </si>
  <si>
    <t xml:space="preserve">SO362544</t>
  </si>
  <si>
    <t xml:space="preserve">Wells Farmart Limited</t>
  </si>
  <si>
    <t xml:space="preserve">SO363473</t>
  </si>
  <si>
    <t xml:space="preserve">SO363471</t>
  </si>
  <si>
    <t xml:space="preserve">Maguna's Super stores (K) Ltd - Kahawa</t>
  </si>
  <si>
    <t xml:space="preserve">SO365556</t>
  </si>
  <si>
    <t xml:space="preserve">Eka Hotel Ltd-Eldoret</t>
  </si>
  <si>
    <t xml:space="preserve">SO366187</t>
  </si>
  <si>
    <t xml:space="preserve">SO366429</t>
  </si>
  <si>
    <t xml:space="preserve">Sheal Limited</t>
  </si>
  <si>
    <t xml:space="preserve">SO365917</t>
  </si>
  <si>
    <t xml:space="preserve">Cash Sale Staff</t>
  </si>
  <si>
    <t xml:space="preserve">Direct To Consumer (Cash Sale)</t>
  </si>
  <si>
    <t xml:space="preserve">SO365875</t>
  </si>
  <si>
    <t xml:space="preserve">Kcssa East Africa Ltd - Stocks</t>
  </si>
  <si>
    <t xml:space="preserve">Kcssa East Africa Ltd - PO</t>
  </si>
  <si>
    <t xml:space="preserve">SO365265</t>
  </si>
  <si>
    <t xml:space="preserve">Cash Sale A/C - Aptamil</t>
  </si>
  <si>
    <t xml:space="preserve">SO363994</t>
  </si>
  <si>
    <t xml:space="preserve">SO362188</t>
  </si>
  <si>
    <t xml:space="preserve">SO365849</t>
  </si>
  <si>
    <t xml:space="preserve">SO365663</t>
  </si>
  <si>
    <t xml:space="preserve">SO362695</t>
  </si>
  <si>
    <t xml:space="preserve">SO361051</t>
  </si>
  <si>
    <t xml:space="preserve">Nairobi Java House Ltd</t>
  </si>
  <si>
    <t xml:space="preserve">SO366396</t>
  </si>
  <si>
    <t xml:space="preserve">The Address Management Company Limited</t>
  </si>
  <si>
    <t xml:space="preserve">SO366417</t>
  </si>
  <si>
    <t xml:space="preserve">Elburgon Bidii Store Ltd</t>
  </si>
  <si>
    <t xml:space="preserve">TOTAL UNKNOWN</t>
  </si>
  <si>
    <t xml:space="preserve">For the development team — computing this from the Acumatica models</t>
  </si>
  <si>
    <t xml:space="preserve">So the app, the Acumatica screen, and this workbook all produce the same number.</t>
  </si>
  <si>
    <t xml:space="preserve">Rule</t>
  </si>
  <si>
    <t xml:space="preserve">Implementation</t>
  </si>
  <si>
    <t xml:space="preserve">CORE PRINCIPLE</t>
  </si>
  <si>
    <t xml:space="preserve">Status is a live state, not history</t>
  </si>
  <si>
    <t xml:space="preserve">Acumatica overwrites SalesOrder.status. The moment the last line ships, the order leaves Back Order and the evidence disappears.</t>
  </si>
  <si>
    <t xml:space="preserve">Never derive "resolved" by reading status. Derive it by detecting the TRANSITION between two sync runs. AcumaticaBackorderLine is your daily state table; BackorderResolution is your event table.</t>
  </si>
  <si>
    <t xml:space="preserve">ENTRY EVENT — when a line enters back order</t>
  </si>
  <si>
    <t xml:space="preserve">Trigger condition</t>
  </si>
  <si>
    <t xml:space="preserve">On each sync run, a line qualifies as backordered when: line.open_qty &gt; 0 AND order.status = Back Order AND line.line_type is a stock item AND line.cancelled_qty &lt; line.order_qty.</t>
  </si>
  <si>
    <t xml:space="preserve">Write / update AcumaticaBackorderLine keyed on (order_nbr, inventory_id).</t>
  </si>
  <si>
    <t xml:space="preserve">first_backordered_at</t>
  </si>
  <si>
    <t xml:space="preserve">Set ONLY on the first sync run where the line qualifies. Never overwrite it on later runs.</t>
  </si>
  <si>
    <t xml:space="preserve">if (!$line-&gt;first_backordered_at) { $line-&gt;first_backordered_at = $syncRun-&gt;started_at; }</t>
  </si>
  <si>
    <t xml:space="preserve">Backfilling history</t>
  </si>
  <si>
    <t xml:space="preserve">For lines already backordered before the tracker went live, set first_backordered_at from order.order_date and flag it.</t>
  </si>
  <si>
    <t xml:space="preserve">Set first_backordered_at_is_backfilled = true. Exclude backfilled rows from days-to-resolve averages or they will skew long.</t>
  </si>
  <si>
    <t xml:space="preserve">backorder_qty vs open_qty</t>
  </si>
  <si>
    <t xml:space="preserve">open_qty is what Acumatica reports as unfulfilled. backorder_qty should be the portion of open_qty that is short because of stock, excluding cancelled and excluding free-goods lines.</t>
  </si>
  <si>
    <t xml:space="preserve">backorder_qty = max(0, order_qty - qty_on_shipments - cancelled_qty). Exclude lines where line_type indicates free goods, or the count inflates.</t>
  </si>
  <si>
    <t xml:space="preserve">EXIT EVENT — when it is solved</t>
  </si>
  <si>
    <t xml:space="preserve">Resolution condition</t>
  </si>
  <si>
    <t xml:space="preserve">A tracked line resolves when, on a later sync run, open_qty &lt;= 0 OR fulfillment_status = complete OR the line no longer appears in the backordered set.</t>
  </si>
  <si>
    <t xml:space="preserve">On detection: create BackorderResolution, copy the last known state into last_open_qty / last_backorder_qty / last_fulfillment_status, then delete or archive the AcumaticaBackorderLine row.</t>
  </si>
  <si>
    <t xml:space="preserve">resolved_at</t>
  </si>
  <si>
    <t xml:space="preserve">Use the sync run timestamp at which resolution was detected — NOT the shipment date. Shipment date is a proxy and can predate the detection.</t>
  </si>
  <si>
    <t xml:space="preserve">$resolution-&gt;resolved_at = $syncRun-&gt;started_at;</t>
  </si>
  <si>
    <t xml:space="preserve">days_to_resolve</t>
  </si>
  <si>
    <t xml:space="preserve">Whole days between entry and exit. Use calendar days for customer-facing SLA, working days for internal ops.</t>
  </si>
  <si>
    <t xml:space="preserve">$days = $first-&gt;diffInDays($resolved); // display as "5 Days"</t>
  </si>
  <si>
    <t xml:space="preserve">Cancellation is NOT resolution</t>
  </si>
  <si>
    <t xml:space="preserve">If order.status becomes Canceled while lines are still open, that is a LOSS event, not a resolution.</t>
  </si>
  <si>
    <t xml:space="preserve">Close the BackorderResolution with a distinct outcome flag and exclude it from days_to_resolve averages. It belongs in lost sales.</t>
  </si>
  <si>
    <t xml:space="preserve">REGRESSION — the case people miss</t>
  </si>
  <si>
    <t xml:space="preserve">Shipping -&gt; Back Order</t>
  </si>
  <si>
    <t xml:space="preserve">Six orders in this dataset went backwards: a shipment existed on 23 Jul and they were back on the book by 26 Jul. If you only listen for the entry event once, you will miss the second occurrence.</t>
  </si>
  <si>
    <t xml:space="preserve">Detect on every run, not just first sighting. Keep first_backordered_at at the ORIGINAL date so the age clock does not reset, and increment a reopen counter. Reason code did_not_pick_on_shipment fits this case.</t>
  </si>
  <si>
    <t xml:space="preserve">LOST SALES CALCULATION</t>
  </si>
  <si>
    <t xml:space="preserve">Revenue at risk (still recoverable)</t>
  </si>
  <si>
    <t xml:space="preserve">The exposure while the line is open.</t>
  </si>
  <si>
    <t xml:space="preserve">revenue_at_risk = backorder_qty * unit_price. Sum over open AcumaticaBackorderLine rows.</t>
  </si>
  <si>
    <t xml:space="preserve">Revenue lost (gone)</t>
  </si>
  <si>
    <t xml:space="preserve">Only counted once the order is cancelled or the line is short-closed.</t>
  </si>
  <si>
    <t xml:space="preserve">revenue_lost = cancelled_qty * unit_price, restricted to lines that had a prior back order event. In this dataset that is KES 121,215 — all Majid Al Futtaim.</t>
  </si>
  <si>
    <t xml:space="preserve">Loss attributable to delayed production</t>
  </si>
  <si>
    <t xml:space="preserve">Filter the lost-sales set by reason code.</t>
  </si>
  <si>
    <t xml:space="preserve">Sum revenue_lost where reason_code IN ('out_of_stock_production','production_stockout','raw_material_stockout','order_to_make','conversion_delays'). Everything else is procurement, logistics, or admin — report separately or production carries blame it does not own.</t>
  </si>
  <si>
    <t xml:space="preserve">AGREEING WITH THE ACUMATICA SCREEN</t>
  </si>
  <si>
    <t xml:space="preserve">Scope filter</t>
  </si>
  <si>
    <t xml:space="preserve">The Acumatica Sales Orders screen was filtered Order Type = SO. Your IN_SCOPE_ORDER_TYPES already matches.</t>
  </si>
  <si>
    <t xml:space="preserve">Always apply scopeSalesOrdersOnly(). The 23 Jul export leaked 12 PP rows and they do not reconcile against the 26 Jul SO-only export.</t>
  </si>
  <si>
    <t xml:space="preserve">De-duplication</t>
  </si>
  <si>
    <t xml:space="preserve">The flat export emits one row per shipment. 84 rows in the 23 Jul file are only 74 orders.</t>
  </si>
  <si>
    <t xml:space="preserve">Aggregate to order level before summing value, or you will overstate by ~13%.</t>
  </si>
  <si>
    <t xml:space="preserve">Value vs quantity</t>
  </si>
  <si>
    <t xml:space="preserve">Unbilled Order Total can read zero while quantity is still open, because free-goods lines carry no value.</t>
  </si>
  <si>
    <t xml:space="preserve">Report fill rate on QUANTITY (AcumaticaFillRateSnapshot.fill_rate_pct) as the primary metric and value as secondary. SO366417 in the 23 Jul file is the worked example.</t>
  </si>
  <si>
    <t xml:space="preserve">Credit blocks are not shortages</t>
  </si>
  <si>
    <t xml:space="preserve">Rejected orders with reason "Account is in arrears" never reach the warehouse.</t>
  </si>
  <si>
    <t xml:space="preserve">Exclude rejection_reason_code credit reasons from every fill-rate and shortage metric, or supply looks worse than it is.</t>
  </si>
  <si>
    <t xml:space="preserve">Hypotheses from the 23 July report — now tested against 26 July</t>
  </si>
  <si>
    <t xml:space="preserve">Three days of evidence either confirmed or refuted each call made last time.</t>
  </si>
  <si>
    <t xml:space="preserve">Hypothesis (23 Jul)</t>
  </si>
  <si>
    <t xml:space="preserve">Verdict</t>
  </si>
  <si>
    <t xml:space="preserve">What actually happened</t>
  </si>
  <si>
    <t xml:space="preserve">Action</t>
  </si>
  <si>
    <t xml:space="preserve">Goodlife Pharmacy SO367174 (KES 1.89m, 0% shipped) is processing lag, not a shortage</t>
  </si>
  <si>
    <t xml:space="preserve">CONFIRMED</t>
  </si>
  <si>
    <t xml:space="preserve">Completed by 25 July — 2 days. The single largest exposure in the whole report cleared itself. Same-day large orders should not be reported as shortages.</t>
  </si>
  <si>
    <t xml:space="preserve">Add a 24-hour grace period before a same-day order counts toward the shortage metric.</t>
  </si>
  <si>
    <t xml:space="preserve">Carrefour (Majid Al Futtaim) 0%-shipped orders are a hard single-SKU stockout</t>
  </si>
  <si>
    <t xml:space="preserve">CONFIRMED — AND WORSE</t>
  </si>
  <si>
    <t xml:space="preserve">All four were CANCELLED, KES 121,215 gone. Two more MAF branches cancelled on 24 July. MAF is 88% of all cancellations in the window. Carrefour does not wait.</t>
  </si>
  <si>
    <t xml:space="preserve">Priority-allocate the affected SKU to MAF. Every day short converts directly to a cancellation, not a delayed sale.</t>
  </si>
  <si>
    <t xml:space="preserve">Overselling — On Hand 100 CASE but Available -87 CASE on SIFTP0015</t>
  </si>
  <si>
    <t xml:space="preserve">STILL UNTESTED</t>
  </si>
  <si>
    <t xml:space="preserve">No inventory export was provided, so this could not be checked. It remains the most likely structural cause: stock is physically present but already committed elsewhere.</t>
  </si>
  <si>
    <t xml:space="preserve">Export Inventory Allocation Details. If On Hand &gt; 0 while Available &lt; 0 across several SKUs, fix is an ATP check at order entry.</t>
  </si>
  <si>
    <t xml:space="preserve">The 10 July Khetia Drapers block (KES 1.06m at ~59% filled) is the biggest problem</t>
  </si>
  <si>
    <t xml:space="preserve">VISIBILITY LOST</t>
  </si>
  <si>
    <t xml:space="preserve">The 26 July export only reaches back to 22 July, so we cannot see whether it cleared. Khetia branches ARE appearing again in the 24 July back orders, which suggests the pattern is repeating.</t>
  </si>
  <si>
    <t xml:space="preserve">Re-export with Created On = This Month. This is the single most important gap to close.</t>
  </si>
  <si>
    <t xml:space="preserve">Recovery is fast when stock exists</t>
  </si>
  <si>
    <t xml:space="preserve">86% of the cohort open value cleared in 3 days, average 1.4 days to resolve. The system works. The failures are concentrated, not general.</t>
  </si>
  <si>
    <t xml:space="preserve">Focus effort on the concentrated failures (MAF, and whichever SKU blocks them) rather than a broad fill-rate programme.</t>
  </si>
  <si>
    <t xml:space="preserve">NEW FINDING — orders regress from Shipping back to Back Order</t>
  </si>
  <si>
    <t xml:space="preserve">NEW</t>
  </si>
  <si>
    <t xml:space="preserve">Six orders dated 23 July had a shipment raised at snapshot A and were back on the book by 26 July. That is not a supply shortage; it is stock being de-allocated or short-picked after the shipment was created.</t>
  </si>
  <si>
    <t xml:space="preserve">Investigate short-picks. Maps to reason code did_not_pick_on_shipment. The age clock must not reset when this happens.</t>
  </si>
  <si>
    <t xml:space="preserve">NEW FINDING — the book refills as fast as it clears</t>
  </si>
  <si>
    <t xml:space="preserve">KES 1.93m cleared, but 12 new back orders worth KES 0.38m arrived on the same 2-day-old order population, plus 25 more dated 24 July. Net book is 40 orders / KES 2.83m open.</t>
  </si>
  <si>
    <t xml:space="preserve">Track net movement, not just clearance. A high clearance rate with a flat book means the intake rate is the problem.</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</si>
</sst>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
    <numFmt numFmtId="169" formatCode="dd\-mmm\-yy"/>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CE6F1"/>
        <bgColor rgb="FFE2EFDA"/>
      </patternFill>
    </fill>
    <fill>
      <patternFill patternType="solid">
        <fgColor rgb="FFE2EFDA"/>
        <bgColor rgb="FFDCE6F1"/>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7" fontId="8" fillId="6"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8"/>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row>
    <row r="5" customFormat="false" ht="25.5" hidden="false" customHeight="true" outlineLevel="0" collapsed="false">
      <c r="A5" s="4" t="s">
        <v>4</v>
      </c>
      <c r="B5" s="4"/>
    </row>
    <row r="6" customFormat="false" ht="37.5" hidden="false" customHeight="true" outlineLevel="0" collapsed="false">
      <c r="A6" s="5" t="s">
        <v>5</v>
      </c>
      <c r="B6" s="5" t="s">
        <v>6</v>
      </c>
    </row>
    <row r="7" customFormat="false" ht="37.5" hidden="false" customHeight="true" outlineLevel="0" collapsed="false">
      <c r="A7" s="5" t="s">
        <v>7</v>
      </c>
      <c r="B7" s="5" t="s">
        <v>8</v>
      </c>
    </row>
    <row r="8" customFormat="false" ht="49.5" hidden="false" customHeight="true" outlineLevel="0" collapsed="false">
      <c r="A8" s="5" t="s">
        <v>9</v>
      </c>
      <c r="B8" s="5" t="s">
        <v>10</v>
      </c>
    </row>
    <row r="9" customFormat="false" ht="37.5" hidden="false" customHeight="true" outlineLevel="0" collapsed="false">
      <c r="A9" s="5" t="s">
        <v>11</v>
      </c>
      <c r="B9" s="5" t="s">
        <v>12</v>
      </c>
    </row>
    <row r="10" customFormat="false" ht="25.5" hidden="false" customHeight="true" outlineLevel="0" collapsed="false">
      <c r="A10" s="6" t="s">
        <v>13</v>
      </c>
      <c r="B10" s="6"/>
    </row>
    <row r="11" customFormat="false" ht="25.5" hidden="false" customHeight="true" outlineLevel="0" collapsed="false">
      <c r="A11" s="5" t="s">
        <v>14</v>
      </c>
      <c r="B11" s="5" t="s">
        <v>15</v>
      </c>
    </row>
    <row r="12" customFormat="false" ht="37.5" hidden="false" customHeight="true" outlineLevel="0" collapsed="false">
      <c r="A12" s="5" t="s">
        <v>16</v>
      </c>
      <c r="B12" s="5" t="s">
        <v>17</v>
      </c>
    </row>
    <row r="13" customFormat="false" ht="37.5" hidden="false" customHeight="true" outlineLevel="0" collapsed="false">
      <c r="A13" s="5" t="s">
        <v>18</v>
      </c>
      <c r="B13" s="5" t="s">
        <v>19</v>
      </c>
    </row>
    <row r="14" customFormat="false" ht="25.5" hidden="false" customHeight="true" outlineLevel="0" collapsed="false">
      <c r="A14" s="5" t="s">
        <v>20</v>
      </c>
      <c r="B14" s="5" t="s">
        <v>21</v>
      </c>
    </row>
    <row r="15" customFormat="false" ht="25.5" hidden="false" customHeight="true" outlineLevel="0" collapsed="false">
      <c r="A15" s="5" t="s">
        <v>22</v>
      </c>
      <c r="B15" s="5" t="s">
        <v>23</v>
      </c>
    </row>
    <row r="16" customFormat="false" ht="25.5" hidden="false" customHeight="true" outlineLevel="0" collapsed="false">
      <c r="A16" s="5" t="s">
        <v>24</v>
      </c>
      <c r="B16" s="5" t="s">
        <v>25</v>
      </c>
    </row>
    <row r="17" customFormat="false" ht="25.5" hidden="false" customHeight="true" outlineLevel="0" collapsed="false">
      <c r="A17" s="5" t="s">
        <v>26</v>
      </c>
      <c r="B17" s="5" t="s">
        <v>27</v>
      </c>
    </row>
    <row r="18" customFormat="false" ht="25.5" hidden="false" customHeight="true" outlineLevel="0" collapsed="false">
      <c r="A18" s="6" t="s">
        <v>28</v>
      </c>
      <c r="B18" s="6"/>
    </row>
    <row r="19" customFormat="false" ht="25.5" hidden="false" customHeight="true" outlineLevel="0" collapsed="false">
      <c r="A19" s="5" t="s">
        <v>29</v>
      </c>
      <c r="B19" s="5" t="s">
        <v>30</v>
      </c>
    </row>
    <row r="20" customFormat="false" ht="25.5" hidden="false" customHeight="true" outlineLevel="0" collapsed="false">
      <c r="A20" s="5" t="s">
        <v>31</v>
      </c>
      <c r="B20" s="5" t="s">
        <v>32</v>
      </c>
    </row>
    <row r="21" customFormat="false" ht="25.5" hidden="false" customHeight="true" outlineLevel="0" collapsed="false">
      <c r="A21" s="5" t="s">
        <v>33</v>
      </c>
      <c r="B21" s="5" t="s">
        <v>34</v>
      </c>
    </row>
    <row r="22" customFormat="false" ht="37.5" hidden="false" customHeight="true" outlineLevel="0" collapsed="false">
      <c r="A22" s="5" t="s">
        <v>35</v>
      </c>
      <c r="B22" s="5" t="s">
        <v>36</v>
      </c>
    </row>
    <row r="23" customFormat="false" ht="25.5" hidden="false" customHeight="true" outlineLevel="0" collapsed="false">
      <c r="A23" s="5" t="s">
        <v>37</v>
      </c>
      <c r="B23" s="5"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62"/>
  </cols>
  <sheetData>
    <row r="1" customFormat="false" ht="17.35" hidden="false" customHeight="false" outlineLevel="0" collapsed="false">
      <c r="A1" s="1" t="s">
        <v>39</v>
      </c>
    </row>
    <row r="2" customFormat="false" ht="15" hidden="false" customHeight="false" outlineLevel="0" collapsed="false">
      <c r="A2" s="2" t="s">
        <v>40</v>
      </c>
    </row>
    <row r="4" customFormat="false" ht="30" hidden="false" customHeight="true" outlineLevel="0" collapsed="false">
      <c r="A4" s="3" t="s">
        <v>41</v>
      </c>
      <c r="B4" s="3" t="s">
        <v>42</v>
      </c>
      <c r="C4" s="3" t="s">
        <v>43</v>
      </c>
      <c r="D4" s="3" t="s">
        <v>44</v>
      </c>
      <c r="E4" s="3" t="s">
        <v>45</v>
      </c>
      <c r="F4" s="3" t="s">
        <v>46</v>
      </c>
    </row>
    <row r="5" customFormat="false" ht="15" hidden="false" customHeight="false" outlineLevel="0" collapsed="false">
      <c r="A5" s="7" t="s">
        <v>47</v>
      </c>
      <c r="B5" s="8" t="n">
        <v>5</v>
      </c>
      <c r="C5" s="9" t="n">
        <v>2039512.3</v>
      </c>
      <c r="D5" s="9" t="n">
        <v>1930515.62</v>
      </c>
      <c r="E5" s="9" t="n">
        <v>0</v>
      </c>
      <c r="F5" s="10" t="n">
        <f aca="false">IFERROR((D5-E5)/$D$9,"")</f>
        <v>0.86047910250808</v>
      </c>
    </row>
    <row r="6" customFormat="false" ht="15" hidden="false" customHeight="false" outlineLevel="0" collapsed="false">
      <c r="A6" s="11" t="s">
        <v>48</v>
      </c>
      <c r="B6" s="12" t="n">
        <v>3</v>
      </c>
      <c r="C6" s="13" t="n">
        <v>1636036.15</v>
      </c>
      <c r="D6" s="13" t="n">
        <v>127333.5</v>
      </c>
      <c r="E6" s="13" t="n">
        <v>127333.5</v>
      </c>
      <c r="F6" s="14" t="n">
        <f aca="false">IFERROR((D6-E6)/$D$9,"")</f>
        <v>0</v>
      </c>
    </row>
    <row r="7" customFormat="false" ht="15" hidden="false" customHeight="false" outlineLevel="0" collapsed="false">
      <c r="A7" s="11" t="s">
        <v>49</v>
      </c>
      <c r="B7" s="12" t="n">
        <v>2</v>
      </c>
      <c r="C7" s="13" t="n">
        <v>100895.35</v>
      </c>
      <c r="D7" s="13" t="n">
        <v>64471.21</v>
      </c>
      <c r="E7" s="13" t="n">
        <v>64471.21</v>
      </c>
      <c r="F7" s="14" t="n">
        <f aca="false">IFERROR((D7-E7)/$D$9,"")</f>
        <v>0</v>
      </c>
    </row>
    <row r="8" customFormat="false" ht="15" hidden="false" customHeight="false" outlineLevel="0" collapsed="false">
      <c r="A8" s="15" t="s">
        <v>50</v>
      </c>
      <c r="B8" s="16" t="n">
        <v>4</v>
      </c>
      <c r="C8" s="17" t="n">
        <v>121215.41</v>
      </c>
      <c r="D8" s="17" t="n">
        <v>121215.41</v>
      </c>
      <c r="E8" s="17" t="n">
        <v>0</v>
      </c>
      <c r="F8" s="18" t="n">
        <f aca="false">IFERROR((D8-E8)/$D$9,"")</f>
        <v>0.054028740366757</v>
      </c>
    </row>
    <row r="9" customFormat="false" ht="15" hidden="false" customHeight="false" outlineLevel="0" collapsed="false">
      <c r="A9" s="19" t="s">
        <v>51</v>
      </c>
      <c r="B9" s="20" t="n">
        <f aca="false">SUM(B5:B8)</f>
        <v>14</v>
      </c>
      <c r="C9" s="21" t="n">
        <f aca="false">SUM(C5:C8)</f>
        <v>3897659.21</v>
      </c>
      <c r="D9" s="21" t="n">
        <f aca="false">SUM(D5:D8)</f>
        <v>2243535.74</v>
      </c>
      <c r="E9" s="21" t="n">
        <f aca="false">SUM(E5:E8)</f>
        <v>191804.71</v>
      </c>
      <c r="F9" s="22" t="n">
        <f aca="false">IFERROR((D9-E9)/D9,"")</f>
        <v>0.914507842874837</v>
      </c>
    </row>
    <row r="11" customFormat="false" ht="15" hidden="false" customHeight="false" outlineLevel="0" collapsed="false">
      <c r="A11" s="23" t="s">
        <v>52</v>
      </c>
    </row>
    <row r="12" customFormat="false" ht="30" hidden="false" customHeight="true" outlineLevel="0" collapsed="false">
      <c r="A12" s="3" t="s">
        <v>53</v>
      </c>
      <c r="B12" s="3" t="s">
        <v>54</v>
      </c>
      <c r="C12" s="3" t="s">
        <v>55</v>
      </c>
    </row>
    <row r="13" customFormat="false" ht="15" hidden="false" customHeight="false" outlineLevel="0" collapsed="false">
      <c r="A13" s="24" t="s">
        <v>56</v>
      </c>
      <c r="B13" s="25" t="n">
        <f aca="false">D5</f>
        <v>1930515.62</v>
      </c>
      <c r="C13" s="5" t="s">
        <v>57</v>
      </c>
    </row>
    <row r="14" customFormat="false" ht="23.85" hidden="false" customHeight="false" outlineLevel="0" collapsed="false">
      <c r="A14" s="24" t="s">
        <v>58</v>
      </c>
      <c r="B14" s="26" t="n">
        <f aca="false">IFERROR(D5/D9,"")</f>
        <v>0.86047910250808</v>
      </c>
      <c r="C14" s="5" t="s">
        <v>59</v>
      </c>
    </row>
    <row r="15" customFormat="false" ht="23.85" hidden="false" customHeight="false" outlineLevel="0" collapsed="false">
      <c r="A15" s="24" t="s">
        <v>60</v>
      </c>
      <c r="B15" s="26" t="n">
        <f aca="false">IFERROR((D9-E9)/D9,"")</f>
        <v>0.914507842874837</v>
      </c>
      <c r="C15" s="5" t="s">
        <v>61</v>
      </c>
    </row>
    <row r="16" customFormat="false" ht="15" hidden="false" customHeight="false" outlineLevel="0" collapsed="false">
      <c r="A16" s="24" t="s">
        <v>62</v>
      </c>
      <c r="B16" s="27" t="n">
        <f aca="false">B5</f>
        <v>5</v>
      </c>
      <c r="C16" s="5" t="s">
        <v>63</v>
      </c>
    </row>
    <row r="17" customFormat="false" ht="23.85" hidden="false" customHeight="false" outlineLevel="0" collapsed="false">
      <c r="A17" s="24" t="s">
        <v>64</v>
      </c>
      <c r="B17" s="28" t="n">
        <v>1.4</v>
      </c>
      <c r="C17" s="5" t="s">
        <v>65</v>
      </c>
    </row>
    <row r="18" customFormat="false" ht="15" hidden="false" customHeight="false" outlineLevel="0" collapsed="false">
      <c r="A18" s="24" t="s">
        <v>66</v>
      </c>
      <c r="B18" s="25" t="n">
        <f aca="false">C8</f>
        <v>121215.41</v>
      </c>
      <c r="C18" s="5" t="s">
        <v>67</v>
      </c>
    </row>
    <row r="19" customFormat="false" ht="15" hidden="false" customHeight="false" outlineLevel="0" collapsed="false">
      <c r="A19" s="24" t="s">
        <v>68</v>
      </c>
      <c r="B19" s="26" t="n">
        <f aca="false">IFERROR(D8/D9,"")</f>
        <v>0.054028740366757</v>
      </c>
      <c r="C19" s="5" t="s">
        <v>69</v>
      </c>
    </row>
    <row r="20" customFormat="false" ht="23.85" hidden="false" customHeight="false" outlineLevel="0" collapsed="false">
      <c r="A20" s="24" t="s">
        <v>70</v>
      </c>
      <c r="B20" s="27" t="n">
        <v>12</v>
      </c>
      <c r="C20" s="5" t="s">
        <v>71</v>
      </c>
    </row>
    <row r="21" customFormat="false" ht="15" hidden="false" customHeight="false" outlineLevel="0" collapsed="false">
      <c r="A21" s="24" t="s">
        <v>72</v>
      </c>
      <c r="B21" s="25" t="n">
        <v>378511.22</v>
      </c>
      <c r="C21" s="5" t="s">
        <v>73</v>
      </c>
    </row>
    <row r="22" customFormat="false" ht="23.85" hidden="false" customHeight="false" outlineLevel="0" collapsed="false">
      <c r="A22" s="24" t="s">
        <v>74</v>
      </c>
      <c r="B22" s="27" t="n">
        <v>6</v>
      </c>
      <c r="C22" s="5" t="s">
        <v>75</v>
      </c>
    </row>
    <row r="25" customFormat="false" ht="15" hidden="false" customHeight="false" outlineLevel="0" collapsed="false">
      <c r="A25" s="23" t="s">
        <v>76</v>
      </c>
    </row>
    <row r="26" customFormat="false" ht="15" hidden="false" customHeight="false" outlineLevel="0" collapsed="false">
      <c r="A26" s="29" t="s">
        <v>77</v>
      </c>
      <c r="B26" s="30" t="n">
        <v>58</v>
      </c>
      <c r="C26" s="29"/>
    </row>
    <row r="27" customFormat="false" ht="15" hidden="false" customHeight="false" outlineLevel="0" collapsed="false">
      <c r="A27" s="29" t="s">
        <v>78</v>
      </c>
      <c r="B27" s="31" t="n">
        <v>1532534.34</v>
      </c>
      <c r="C27" s="29"/>
    </row>
    <row r="28" customFormat="false" ht="15" hidden="false" customHeight="false" outlineLevel="0" collapsed="false">
      <c r="A28" s="29" t="s">
        <v>79</v>
      </c>
      <c r="B28" s="31" t="n">
        <v>1055252.12</v>
      </c>
      <c r="C28" s="2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5"/>
    <col collapsed="false" customWidth="true" hidden="false" outlineLevel="0" max="4" min="4" style="0" width="11"/>
    <col collapsed="false" customWidth="true" hidden="false" outlineLevel="0" max="5" min="5" style="0" width="16"/>
    <col collapsed="false" customWidth="true" hidden="false" outlineLevel="0" max="6" min="6" style="0" width="24"/>
    <col collapsed="false" customWidth="true" hidden="false" outlineLevel="0" max="7" min="7" style="0" width="38"/>
    <col collapsed="false" customWidth="true" hidden="false" outlineLevel="0" max="8" min="8" style="0" width="28"/>
    <col collapsed="false" customWidth="true" hidden="false" outlineLevel="0" max="9" min="9" style="0" width="17"/>
    <col collapsed="false" customWidth="true" hidden="false" outlineLevel="0" max="10" min="10" style="0" width="15"/>
    <col collapsed="false" customWidth="true" hidden="false" outlineLevel="0" max="12" min="11" style="0" width="16"/>
    <col collapsed="false" customWidth="true" hidden="false" outlineLevel="0" max="13" min="13" style="0" width="13"/>
    <col collapsed="false" customWidth="true" hidden="false" outlineLevel="0" max="14" min="14" style="0" width="17"/>
  </cols>
  <sheetData>
    <row r="1" customFormat="false" ht="17.35" hidden="false" customHeight="false" outlineLevel="0" collapsed="false">
      <c r="A1" s="1" t="s">
        <v>80</v>
      </c>
    </row>
    <row r="2" customFormat="false" ht="15" hidden="false" customHeight="false" outlineLevel="0" collapsed="false">
      <c r="A2" s="2" t="s">
        <v>81</v>
      </c>
    </row>
    <row r="3" customFormat="false" ht="15" hidden="false" customHeight="false" outlineLevel="0" collapsed="false">
      <c r="A3" s="2" t="s">
        <v>82</v>
      </c>
    </row>
    <row r="5" customFormat="false" ht="30" hidden="false" customHeight="true" outlineLevel="0" collapsed="false">
      <c r="A5" s="3" t="s">
        <v>83</v>
      </c>
      <c r="B5" s="3" t="s">
        <v>84</v>
      </c>
      <c r="C5" s="3" t="s">
        <v>85</v>
      </c>
      <c r="D5" s="3" t="s">
        <v>86</v>
      </c>
      <c r="E5" s="3" t="s">
        <v>87</v>
      </c>
      <c r="F5" s="3" t="s">
        <v>88</v>
      </c>
      <c r="G5" s="3" t="s">
        <v>89</v>
      </c>
      <c r="H5" s="3" t="s">
        <v>90</v>
      </c>
      <c r="I5" s="3" t="s">
        <v>91</v>
      </c>
      <c r="J5" s="3" t="s">
        <v>43</v>
      </c>
      <c r="K5" s="3" t="s">
        <v>92</v>
      </c>
      <c r="L5" s="3" t="s">
        <v>93</v>
      </c>
      <c r="M5" s="3" t="s">
        <v>94</v>
      </c>
      <c r="N5" s="3" t="s">
        <v>95</v>
      </c>
    </row>
    <row r="6" customFormat="false" ht="15" hidden="false" customHeight="false" outlineLevel="0" collapsed="false">
      <c r="A6" s="24" t="s">
        <v>96</v>
      </c>
      <c r="B6" s="32" t="n">
        <v>46226</v>
      </c>
      <c r="C6" s="32" t="n">
        <v>46226</v>
      </c>
      <c r="D6" s="24" t="s">
        <v>97</v>
      </c>
      <c r="E6" s="33" t="s">
        <v>98</v>
      </c>
      <c r="F6" s="33" t="s">
        <v>99</v>
      </c>
      <c r="G6" s="24" t="s">
        <v>100</v>
      </c>
      <c r="H6" s="24" t="s">
        <v>100</v>
      </c>
      <c r="I6" s="24" t="s">
        <v>101</v>
      </c>
      <c r="J6" s="34" t="n">
        <v>1444436.37</v>
      </c>
      <c r="K6" s="34" t="n">
        <v>62100</v>
      </c>
      <c r="L6" s="34" t="n">
        <v>62100</v>
      </c>
      <c r="M6" s="24" t="s">
        <v>102</v>
      </c>
      <c r="N6" s="11" t="s">
        <v>103</v>
      </c>
    </row>
    <row r="7" customFormat="false" ht="15" hidden="false" customHeight="false" outlineLevel="0" collapsed="false">
      <c r="A7" s="24" t="s">
        <v>104</v>
      </c>
      <c r="B7" s="32" t="n">
        <v>46225</v>
      </c>
      <c r="C7" s="32" t="n">
        <v>46226</v>
      </c>
      <c r="D7" s="24" t="s">
        <v>97</v>
      </c>
      <c r="E7" s="33" t="s">
        <v>105</v>
      </c>
      <c r="F7" s="33" t="s">
        <v>106</v>
      </c>
      <c r="G7" s="24" t="s">
        <v>107</v>
      </c>
      <c r="H7" s="24" t="s">
        <v>107</v>
      </c>
      <c r="I7" s="24" t="s">
        <v>108</v>
      </c>
      <c r="J7" s="34" t="n">
        <v>148320.64</v>
      </c>
      <c r="K7" s="34" t="n">
        <v>35319.36</v>
      </c>
      <c r="L7" s="34" t="n">
        <v>35319.36</v>
      </c>
      <c r="M7" s="24" t="s">
        <v>102</v>
      </c>
      <c r="N7" s="11" t="s">
        <v>103</v>
      </c>
    </row>
    <row r="8" customFormat="false" ht="15" hidden="false" customHeight="false" outlineLevel="0" collapsed="false">
      <c r="A8" s="24" t="s">
        <v>109</v>
      </c>
      <c r="B8" s="32" t="n">
        <v>46225</v>
      </c>
      <c r="C8" s="32" t="n">
        <v>46226</v>
      </c>
      <c r="D8" s="24" t="s">
        <v>97</v>
      </c>
      <c r="E8" s="33" t="s">
        <v>105</v>
      </c>
      <c r="F8" s="33" t="s">
        <v>106</v>
      </c>
      <c r="G8" s="24" t="s">
        <v>110</v>
      </c>
      <c r="H8" s="24" t="s">
        <v>110</v>
      </c>
      <c r="I8" s="24" t="s">
        <v>111</v>
      </c>
      <c r="J8" s="34" t="n">
        <v>43279.14</v>
      </c>
      <c r="K8" s="34" t="n">
        <v>29914.14</v>
      </c>
      <c r="L8" s="34" t="n">
        <v>29914.14</v>
      </c>
      <c r="M8" s="24" t="s">
        <v>102</v>
      </c>
      <c r="N8" s="11" t="s">
        <v>103</v>
      </c>
    </row>
    <row r="9" customFormat="false" ht="15" hidden="false" customHeight="false" outlineLevel="0" collapsed="false">
      <c r="A9" s="24" t="s">
        <v>112</v>
      </c>
      <c r="B9" s="32" t="n">
        <v>46226</v>
      </c>
      <c r="C9" s="32" t="n">
        <v>46226</v>
      </c>
      <c r="D9" s="24" t="s">
        <v>97</v>
      </c>
      <c r="E9" s="29" t="s">
        <v>113</v>
      </c>
      <c r="F9" s="29" t="s">
        <v>114</v>
      </c>
      <c r="G9" s="24" t="s">
        <v>115</v>
      </c>
      <c r="H9" s="24" t="s">
        <v>116</v>
      </c>
      <c r="I9" s="24" t="s">
        <v>117</v>
      </c>
      <c r="J9" s="34" t="n">
        <v>61020.62</v>
      </c>
      <c r="K9" s="34" t="n">
        <v>61020.62</v>
      </c>
      <c r="L9" s="34" t="n">
        <v>0</v>
      </c>
      <c r="M9" s="24" t="s">
        <v>118</v>
      </c>
      <c r="N9" s="15" t="s">
        <v>119</v>
      </c>
    </row>
    <row r="10" customFormat="false" ht="15" hidden="false" customHeight="false" outlineLevel="0" collapsed="false">
      <c r="A10" s="24" t="s">
        <v>120</v>
      </c>
      <c r="B10" s="32" t="n">
        <v>46226</v>
      </c>
      <c r="C10" s="32" t="n">
        <v>46226</v>
      </c>
      <c r="D10" s="24" t="s">
        <v>97</v>
      </c>
      <c r="E10" s="29" t="s">
        <v>113</v>
      </c>
      <c r="F10" s="29" t="s">
        <v>114</v>
      </c>
      <c r="G10" s="24" t="s">
        <v>121</v>
      </c>
      <c r="H10" s="24" t="s">
        <v>116</v>
      </c>
      <c r="I10" s="24" t="s">
        <v>117</v>
      </c>
      <c r="J10" s="34" t="n">
        <v>29684.48</v>
      </c>
      <c r="K10" s="34" t="n">
        <v>29684.48</v>
      </c>
      <c r="L10" s="34" t="n">
        <v>0</v>
      </c>
      <c r="M10" s="24" t="s">
        <v>118</v>
      </c>
      <c r="N10" s="15" t="s">
        <v>119</v>
      </c>
    </row>
    <row r="11" customFormat="false" ht="15" hidden="false" customHeight="false" outlineLevel="0" collapsed="false">
      <c r="A11" s="24" t="s">
        <v>122</v>
      </c>
      <c r="B11" s="32" t="n">
        <v>46226</v>
      </c>
      <c r="C11" s="32" t="n">
        <v>46226</v>
      </c>
      <c r="D11" s="24" t="s">
        <v>97</v>
      </c>
      <c r="E11" s="29" t="s">
        <v>113</v>
      </c>
      <c r="F11" s="29" t="s">
        <v>114</v>
      </c>
      <c r="G11" s="24" t="s">
        <v>123</v>
      </c>
      <c r="H11" s="24" t="s">
        <v>116</v>
      </c>
      <c r="I11" s="24" t="s">
        <v>117</v>
      </c>
      <c r="J11" s="34" t="n">
        <v>16541.38</v>
      </c>
      <c r="K11" s="34" t="n">
        <v>16541.38</v>
      </c>
      <c r="L11" s="34" t="n">
        <v>0</v>
      </c>
      <c r="M11" s="24" t="s">
        <v>118</v>
      </c>
      <c r="N11" s="15" t="s">
        <v>119</v>
      </c>
    </row>
    <row r="12" customFormat="false" ht="15" hidden="false" customHeight="false" outlineLevel="0" collapsed="false">
      <c r="A12" s="24" t="s">
        <v>124</v>
      </c>
      <c r="B12" s="32" t="n">
        <v>46226</v>
      </c>
      <c r="C12" s="32" t="n">
        <v>46226</v>
      </c>
      <c r="D12" s="24" t="s">
        <v>97</v>
      </c>
      <c r="E12" s="29" t="s">
        <v>113</v>
      </c>
      <c r="F12" s="29" t="s">
        <v>114</v>
      </c>
      <c r="G12" s="24" t="s">
        <v>125</v>
      </c>
      <c r="H12" s="24" t="s">
        <v>116</v>
      </c>
      <c r="I12" s="24" t="s">
        <v>117</v>
      </c>
      <c r="J12" s="34" t="n">
        <v>13968.93</v>
      </c>
      <c r="K12" s="34" t="n">
        <v>13968.93</v>
      </c>
      <c r="L12" s="34" t="n">
        <v>0</v>
      </c>
      <c r="M12" s="24" t="s">
        <v>118</v>
      </c>
      <c r="N12" s="15" t="s">
        <v>119</v>
      </c>
    </row>
    <row r="13" customFormat="false" ht="15" hidden="false" customHeight="false" outlineLevel="0" collapsed="false">
      <c r="A13" s="24" t="s">
        <v>126</v>
      </c>
      <c r="B13" s="32" t="n">
        <v>46226</v>
      </c>
      <c r="C13" s="32" t="n">
        <v>46226</v>
      </c>
      <c r="D13" s="32" t="n">
        <v>46228</v>
      </c>
      <c r="E13" s="35" t="s">
        <v>127</v>
      </c>
      <c r="F13" s="35" t="s">
        <v>128</v>
      </c>
      <c r="G13" s="24" t="s">
        <v>129</v>
      </c>
      <c r="H13" s="24" t="s">
        <v>129</v>
      </c>
      <c r="I13" s="24" t="s">
        <v>111</v>
      </c>
      <c r="J13" s="34" t="n">
        <v>1892526.2</v>
      </c>
      <c r="K13" s="34" t="n">
        <v>1892526.2</v>
      </c>
      <c r="L13" s="34" t="n">
        <v>0</v>
      </c>
      <c r="M13" s="24" t="s">
        <v>130</v>
      </c>
      <c r="N13" s="7" t="s">
        <v>131</v>
      </c>
    </row>
    <row r="14" customFormat="false" ht="15" hidden="false" customHeight="false" outlineLevel="0" collapsed="false">
      <c r="A14" s="24" t="s">
        <v>132</v>
      </c>
      <c r="B14" s="32" t="n">
        <v>46225</v>
      </c>
      <c r="C14" s="32" t="n">
        <v>46226</v>
      </c>
      <c r="D14" s="32" t="n">
        <v>46225</v>
      </c>
      <c r="E14" s="35" t="s">
        <v>133</v>
      </c>
      <c r="F14" s="35" t="s">
        <v>134</v>
      </c>
      <c r="G14" s="24" t="s">
        <v>135</v>
      </c>
      <c r="H14" s="24" t="s">
        <v>136</v>
      </c>
      <c r="I14" s="24" t="s">
        <v>111</v>
      </c>
      <c r="J14" s="34" t="n">
        <v>40302.02</v>
      </c>
      <c r="K14" s="34" t="n">
        <v>20531.15</v>
      </c>
      <c r="L14" s="34" t="n">
        <v>0</v>
      </c>
      <c r="M14" s="24" t="s">
        <v>130</v>
      </c>
      <c r="N14" s="7" t="s">
        <v>131</v>
      </c>
    </row>
    <row r="15" customFormat="false" ht="15" hidden="false" customHeight="false" outlineLevel="0" collapsed="false">
      <c r="A15" s="24" t="s">
        <v>137</v>
      </c>
      <c r="B15" s="32" t="n">
        <v>46225</v>
      </c>
      <c r="C15" s="32" t="n">
        <v>46226</v>
      </c>
      <c r="D15" s="32" t="n">
        <v>46227</v>
      </c>
      <c r="E15" s="35" t="s">
        <v>127</v>
      </c>
      <c r="F15" s="35" t="s">
        <v>138</v>
      </c>
      <c r="G15" s="24" t="s">
        <v>139</v>
      </c>
      <c r="H15" s="24" t="s">
        <v>140</v>
      </c>
      <c r="I15" s="24" t="s">
        <v>108</v>
      </c>
      <c r="J15" s="34" t="n">
        <v>63000</v>
      </c>
      <c r="K15" s="34" t="n">
        <v>10500</v>
      </c>
      <c r="L15" s="34" t="n">
        <v>0</v>
      </c>
      <c r="M15" s="24" t="s">
        <v>130</v>
      </c>
      <c r="N15" s="7" t="s">
        <v>131</v>
      </c>
    </row>
    <row r="16" customFormat="false" ht="15" hidden="false" customHeight="false" outlineLevel="0" collapsed="false">
      <c r="A16" s="24" t="s">
        <v>141</v>
      </c>
      <c r="B16" s="32" t="n">
        <v>46225</v>
      </c>
      <c r="C16" s="32" t="n">
        <v>46226</v>
      </c>
      <c r="D16" s="32" t="n">
        <v>46227</v>
      </c>
      <c r="E16" s="35" t="s">
        <v>127</v>
      </c>
      <c r="F16" s="35" t="s">
        <v>138</v>
      </c>
      <c r="G16" s="24" t="s">
        <v>142</v>
      </c>
      <c r="H16" s="24" t="s">
        <v>142</v>
      </c>
      <c r="I16" s="24" t="s">
        <v>108</v>
      </c>
      <c r="J16" s="34" t="n">
        <v>41857.31</v>
      </c>
      <c r="K16" s="34" t="n">
        <v>5131.5</v>
      </c>
      <c r="L16" s="34" t="n">
        <v>0</v>
      </c>
      <c r="M16" s="24" t="s">
        <v>130</v>
      </c>
      <c r="N16" s="7" t="s">
        <v>131</v>
      </c>
    </row>
    <row r="17" customFormat="false" ht="15" hidden="false" customHeight="false" outlineLevel="0" collapsed="false">
      <c r="A17" s="24" t="s">
        <v>143</v>
      </c>
      <c r="B17" s="32" t="n">
        <v>46226</v>
      </c>
      <c r="C17" s="32" t="n">
        <v>46226</v>
      </c>
      <c r="D17" s="32" t="n">
        <v>46227</v>
      </c>
      <c r="E17" s="35" t="s">
        <v>144</v>
      </c>
      <c r="F17" s="35" t="s">
        <v>145</v>
      </c>
      <c r="G17" s="24" t="s">
        <v>146</v>
      </c>
      <c r="H17" s="24" t="s">
        <v>146</v>
      </c>
      <c r="I17" s="24" t="s">
        <v>108</v>
      </c>
      <c r="J17" s="34" t="n">
        <v>1826.77</v>
      </c>
      <c r="K17" s="34" t="n">
        <v>1826.77</v>
      </c>
      <c r="L17" s="34" t="n">
        <v>0</v>
      </c>
      <c r="M17" s="24" t="s">
        <v>130</v>
      </c>
      <c r="N17" s="7" t="s">
        <v>131</v>
      </c>
    </row>
    <row r="18" customFormat="false" ht="15" hidden="false" customHeight="false" outlineLevel="0" collapsed="false">
      <c r="A18" s="24" t="s">
        <v>147</v>
      </c>
      <c r="B18" s="32" t="n">
        <v>46226</v>
      </c>
      <c r="C18" s="32" t="n">
        <v>46226</v>
      </c>
      <c r="D18" s="24" t="s">
        <v>97</v>
      </c>
      <c r="E18" s="33" t="s">
        <v>98</v>
      </c>
      <c r="F18" s="33" t="s">
        <v>99</v>
      </c>
      <c r="G18" s="24" t="s">
        <v>148</v>
      </c>
      <c r="H18" s="24" t="s">
        <v>148</v>
      </c>
      <c r="I18" s="24" t="s">
        <v>111</v>
      </c>
      <c r="J18" s="34" t="n">
        <v>44871.21</v>
      </c>
      <c r="K18" s="34" t="n">
        <v>44871.21</v>
      </c>
      <c r="L18" s="34" t="n">
        <v>44871.21</v>
      </c>
      <c r="M18" s="24" t="s">
        <v>149</v>
      </c>
      <c r="N18" s="11" t="s">
        <v>150</v>
      </c>
    </row>
    <row r="19" customFormat="false" ht="15" hidden="false" customHeight="false" outlineLevel="0" collapsed="false">
      <c r="A19" s="24" t="s">
        <v>151</v>
      </c>
      <c r="B19" s="32" t="n">
        <v>46225</v>
      </c>
      <c r="C19" s="32" t="n">
        <v>46226</v>
      </c>
      <c r="D19" s="24" t="s">
        <v>97</v>
      </c>
      <c r="E19" s="33" t="s">
        <v>105</v>
      </c>
      <c r="F19" s="33" t="s">
        <v>106</v>
      </c>
      <c r="G19" s="24" t="s">
        <v>152</v>
      </c>
      <c r="H19" s="24" t="s">
        <v>152</v>
      </c>
      <c r="I19" s="24" t="s">
        <v>108</v>
      </c>
      <c r="J19" s="34" t="n">
        <v>56024.14</v>
      </c>
      <c r="K19" s="34" t="n">
        <v>19600</v>
      </c>
      <c r="L19" s="34" t="n">
        <v>19600</v>
      </c>
      <c r="M19" s="24" t="s">
        <v>149</v>
      </c>
      <c r="N19" s="11" t="s">
        <v>150</v>
      </c>
    </row>
    <row r="20" customFormat="false" ht="15" hidden="false" customHeight="false" outlineLevel="0" collapsed="false">
      <c r="A20" s="19" t="s">
        <v>153</v>
      </c>
      <c r="B20" s="36"/>
      <c r="C20" s="36"/>
      <c r="D20" s="36"/>
      <c r="E20" s="36"/>
      <c r="F20" s="36"/>
      <c r="G20" s="36"/>
      <c r="H20" s="36"/>
      <c r="I20" s="36"/>
      <c r="J20" s="21" t="n">
        <f aca="false">SUM(J6:J19)</f>
        <v>3897659.21</v>
      </c>
      <c r="K20" s="21" t="n">
        <f aca="false">SUM(K6:K19)</f>
        <v>2243535.74</v>
      </c>
      <c r="L20" s="21" t="n">
        <f aca="false">SUM(L6:L19)</f>
        <v>191804.71</v>
      </c>
      <c r="M20" s="36"/>
      <c r="N20" s="36"/>
    </row>
  </sheetData>
  <autoFilter ref="A5:N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8"/>
    <col collapsed="false" customWidth="true" hidden="false" outlineLevel="0" max="4" min="4" style="0" width="28"/>
    <col collapsed="false" customWidth="true" hidden="false" outlineLevel="0" max="5" min="5" style="0" width="17"/>
    <col collapsed="false" customWidth="true" hidden="false" outlineLevel="0" max="6" min="6" style="0" width="18"/>
    <col collapsed="false" customWidth="true" hidden="false" outlineLevel="0" max="8" min="7" style="0" width="16"/>
    <col collapsed="false" customWidth="true" hidden="false" outlineLevel="0" max="9" min="9" style="0" width="11"/>
    <col collapsed="false" customWidth="true" hidden="false" outlineLevel="0" max="10" min="10" style="0" width="10"/>
    <col collapsed="false" customWidth="true" hidden="false" outlineLevel="0" max="11" min="11" style="0" width="46"/>
  </cols>
  <sheetData>
    <row r="1" customFormat="false" ht="17.35" hidden="false" customHeight="false" outlineLevel="0" collapsed="false">
      <c r="A1" s="1" t="s">
        <v>154</v>
      </c>
    </row>
    <row r="2" customFormat="false" ht="15" hidden="false" customHeight="false" outlineLevel="0" collapsed="false">
      <c r="A2" s="2" t="s">
        <v>155</v>
      </c>
    </row>
    <row r="5" customFormat="false" ht="30" hidden="false" customHeight="true" outlineLevel="0" collapsed="false">
      <c r="A5" s="3" t="s">
        <v>83</v>
      </c>
      <c r="B5" s="3" t="s">
        <v>84</v>
      </c>
      <c r="C5" s="3" t="s">
        <v>89</v>
      </c>
      <c r="D5" s="3" t="s">
        <v>90</v>
      </c>
      <c r="E5" s="3" t="s">
        <v>91</v>
      </c>
      <c r="F5" s="3" t="s">
        <v>156</v>
      </c>
      <c r="G5" s="3" t="s">
        <v>43</v>
      </c>
      <c r="H5" s="3" t="s">
        <v>157</v>
      </c>
      <c r="I5" s="3" t="s">
        <v>158</v>
      </c>
      <c r="J5" s="3" t="s">
        <v>159</v>
      </c>
      <c r="K5" s="3" t="s">
        <v>160</v>
      </c>
    </row>
    <row r="6" customFormat="false" ht="15" hidden="false" customHeight="false" outlineLevel="0" collapsed="false">
      <c r="A6" s="24" t="s">
        <v>161</v>
      </c>
      <c r="B6" s="32" t="n">
        <v>46225</v>
      </c>
      <c r="C6" s="24" t="s">
        <v>162</v>
      </c>
      <c r="D6" s="24" t="s">
        <v>162</v>
      </c>
      <c r="E6" s="24" t="s">
        <v>101</v>
      </c>
      <c r="F6" s="24" t="s">
        <v>163</v>
      </c>
      <c r="G6" s="34" t="n">
        <v>124200</v>
      </c>
      <c r="H6" s="34" t="n">
        <v>124200</v>
      </c>
      <c r="I6" s="37" t="n">
        <f aca="false">IFERROR((G6-H6)/G6,"")</f>
        <v>0</v>
      </c>
      <c r="J6" s="24" t="n">
        <v>0</v>
      </c>
      <c r="K6" s="24" t="s">
        <v>164</v>
      </c>
    </row>
    <row r="7" customFormat="false" ht="15" hidden="false" customHeight="false" outlineLevel="0" collapsed="false">
      <c r="A7" s="29" t="s">
        <v>165</v>
      </c>
      <c r="B7" s="38" t="n">
        <v>46226</v>
      </c>
      <c r="C7" s="29" t="s">
        <v>166</v>
      </c>
      <c r="D7" s="29" t="s">
        <v>166</v>
      </c>
      <c r="E7" s="29" t="s">
        <v>101</v>
      </c>
      <c r="F7" s="29" t="s">
        <v>102</v>
      </c>
      <c r="G7" s="17" t="n">
        <v>82131.21</v>
      </c>
      <c r="H7" s="17" t="n">
        <v>69711.21</v>
      </c>
      <c r="I7" s="18" t="n">
        <f aca="false">IFERROR((G7-H7)/G7,"")</f>
        <v>0.15122144188549</v>
      </c>
      <c r="J7" s="29" t="n">
        <v>1</v>
      </c>
      <c r="K7" s="29" t="s">
        <v>167</v>
      </c>
    </row>
    <row r="8" customFormat="false" ht="15" hidden="false" customHeight="false" outlineLevel="0" collapsed="false">
      <c r="A8" s="24" t="s">
        <v>168</v>
      </c>
      <c r="B8" s="32" t="n">
        <v>46225</v>
      </c>
      <c r="C8" s="24" t="s">
        <v>169</v>
      </c>
      <c r="D8" s="24" t="s">
        <v>169</v>
      </c>
      <c r="E8" s="24" t="s">
        <v>101</v>
      </c>
      <c r="F8" s="24" t="s">
        <v>163</v>
      </c>
      <c r="G8" s="34" t="n">
        <v>124200</v>
      </c>
      <c r="H8" s="34" t="n">
        <v>37260</v>
      </c>
      <c r="I8" s="37" t="n">
        <f aca="false">IFERROR((G8-H8)/G8,"")</f>
        <v>0.7</v>
      </c>
      <c r="J8" s="24" t="n">
        <v>1</v>
      </c>
      <c r="K8" s="24" t="s">
        <v>164</v>
      </c>
    </row>
    <row r="9" customFormat="false" ht="15" hidden="false" customHeight="false" outlineLevel="0" collapsed="false">
      <c r="A9" s="24" t="s">
        <v>170</v>
      </c>
      <c r="B9" s="32" t="n">
        <v>46226</v>
      </c>
      <c r="C9" s="24" t="s">
        <v>171</v>
      </c>
      <c r="D9" s="24" t="s">
        <v>172</v>
      </c>
      <c r="E9" s="24" t="s">
        <v>173</v>
      </c>
      <c r="F9" s="24" t="s">
        <v>163</v>
      </c>
      <c r="G9" s="34" t="n">
        <v>111062.51</v>
      </c>
      <c r="H9" s="34" t="n">
        <v>30240.19</v>
      </c>
      <c r="I9" s="37" t="n">
        <f aca="false">IFERROR((G9-H9)/G9,"")</f>
        <v>0.72771919165162</v>
      </c>
      <c r="J9" s="24" t="n">
        <v>1</v>
      </c>
      <c r="K9" s="24" t="s">
        <v>164</v>
      </c>
    </row>
    <row r="10" customFormat="false" ht="15" hidden="false" customHeight="false" outlineLevel="0" collapsed="false">
      <c r="A10" s="29" t="s">
        <v>174</v>
      </c>
      <c r="B10" s="38" t="n">
        <v>46226</v>
      </c>
      <c r="C10" s="29" t="s">
        <v>175</v>
      </c>
      <c r="D10" s="29" t="s">
        <v>176</v>
      </c>
      <c r="E10" s="29" t="s">
        <v>101</v>
      </c>
      <c r="F10" s="29" t="s">
        <v>102</v>
      </c>
      <c r="G10" s="17" t="n">
        <v>91983.45</v>
      </c>
      <c r="H10" s="17" t="n">
        <v>28945.17</v>
      </c>
      <c r="I10" s="18" t="n">
        <f aca="false">IFERROR((G10-H10)/G10,"")</f>
        <v>0.685321979116896</v>
      </c>
      <c r="J10" s="29" t="n">
        <v>1</v>
      </c>
      <c r="K10" s="29" t="s">
        <v>167</v>
      </c>
    </row>
    <row r="11" customFormat="false" ht="15" hidden="false" customHeight="false" outlineLevel="0" collapsed="false">
      <c r="A11" s="24" t="s">
        <v>177</v>
      </c>
      <c r="B11" s="32" t="n">
        <v>46226</v>
      </c>
      <c r="C11" s="24" t="s">
        <v>178</v>
      </c>
      <c r="D11" s="24" t="s">
        <v>172</v>
      </c>
      <c r="E11" s="24" t="s">
        <v>173</v>
      </c>
      <c r="F11" s="24" t="s">
        <v>163</v>
      </c>
      <c r="G11" s="34" t="n">
        <v>44566.29</v>
      </c>
      <c r="H11" s="34" t="n">
        <v>21684.05</v>
      </c>
      <c r="I11" s="37" t="n">
        <f aca="false">IFERROR((G11-H11)/G11,"")</f>
        <v>0.513442783772219</v>
      </c>
      <c r="J11" s="24" t="n">
        <v>1</v>
      </c>
      <c r="K11" s="24" t="s">
        <v>164</v>
      </c>
    </row>
    <row r="12" customFormat="false" ht="15" hidden="false" customHeight="false" outlineLevel="0" collapsed="false">
      <c r="A12" s="24" t="s">
        <v>179</v>
      </c>
      <c r="B12" s="32" t="n">
        <v>46226</v>
      </c>
      <c r="C12" s="24" t="s">
        <v>171</v>
      </c>
      <c r="D12" s="24" t="s">
        <v>172</v>
      </c>
      <c r="E12" s="24" t="s">
        <v>173</v>
      </c>
      <c r="F12" s="24" t="s">
        <v>163</v>
      </c>
      <c r="G12" s="34" t="n">
        <v>27530.08</v>
      </c>
      <c r="H12" s="34" t="n">
        <v>17944.56</v>
      </c>
      <c r="I12" s="37" t="n">
        <f aca="false">IFERROR((G12-H12)/G12,"")</f>
        <v>0.348183514177946</v>
      </c>
      <c r="J12" s="24" t="n">
        <v>1</v>
      </c>
      <c r="K12" s="24" t="s">
        <v>164</v>
      </c>
    </row>
    <row r="13" customFormat="false" ht="15" hidden="false" customHeight="false" outlineLevel="0" collapsed="false">
      <c r="A13" s="24" t="s">
        <v>180</v>
      </c>
      <c r="B13" s="32" t="n">
        <v>46226</v>
      </c>
      <c r="C13" s="24" t="s">
        <v>171</v>
      </c>
      <c r="D13" s="24" t="s">
        <v>172</v>
      </c>
      <c r="E13" s="24" t="s">
        <v>173</v>
      </c>
      <c r="F13" s="24" t="s">
        <v>163</v>
      </c>
      <c r="G13" s="34" t="n">
        <v>57314.34</v>
      </c>
      <c r="H13" s="34" t="n">
        <v>16648.28</v>
      </c>
      <c r="I13" s="37" t="n">
        <f aca="false">IFERROR((G13-H13)/G13,"")</f>
        <v>0.709526795562856</v>
      </c>
      <c r="J13" s="24" t="n">
        <v>1</v>
      </c>
      <c r="K13" s="24" t="s">
        <v>164</v>
      </c>
    </row>
    <row r="14" customFormat="false" ht="15" hidden="false" customHeight="false" outlineLevel="0" collapsed="false">
      <c r="A14" s="29" t="s">
        <v>181</v>
      </c>
      <c r="B14" s="38" t="n">
        <v>46226</v>
      </c>
      <c r="C14" s="29" t="s">
        <v>182</v>
      </c>
      <c r="D14" s="29" t="s">
        <v>182</v>
      </c>
      <c r="E14" s="29" t="s">
        <v>101</v>
      </c>
      <c r="F14" s="29" t="s">
        <v>102</v>
      </c>
      <c r="G14" s="17" t="n">
        <v>488214.1</v>
      </c>
      <c r="H14" s="17" t="n">
        <v>14681.03</v>
      </c>
      <c r="I14" s="18" t="n">
        <f aca="false">IFERROR((G14-H14)/G14,"")</f>
        <v>0.969929115115684</v>
      </c>
      <c r="J14" s="29" t="n">
        <v>1</v>
      </c>
      <c r="K14" s="29" t="s">
        <v>167</v>
      </c>
    </row>
    <row r="15" customFormat="false" ht="15" hidden="false" customHeight="false" outlineLevel="0" collapsed="false">
      <c r="A15" s="29" t="s">
        <v>183</v>
      </c>
      <c r="B15" s="38" t="n">
        <v>46226</v>
      </c>
      <c r="C15" s="29" t="s">
        <v>184</v>
      </c>
      <c r="D15" s="29" t="s">
        <v>184</v>
      </c>
      <c r="E15" s="29" t="s">
        <v>101</v>
      </c>
      <c r="F15" s="29" t="s">
        <v>102</v>
      </c>
      <c r="G15" s="17" t="n">
        <v>118458.74</v>
      </c>
      <c r="H15" s="17" t="n">
        <v>12420</v>
      </c>
      <c r="I15" s="18" t="n">
        <f aca="false">IFERROR((G15-H15)/G15,"")</f>
        <v>0.895153367324353</v>
      </c>
      <c r="J15" s="29" t="n">
        <v>1</v>
      </c>
      <c r="K15" s="29" t="s">
        <v>167</v>
      </c>
    </row>
    <row r="16" customFormat="false" ht="15" hidden="false" customHeight="false" outlineLevel="0" collapsed="false">
      <c r="A16" s="29" t="s">
        <v>185</v>
      </c>
      <c r="B16" s="38" t="n">
        <v>46226</v>
      </c>
      <c r="C16" s="29" t="s">
        <v>186</v>
      </c>
      <c r="D16" s="29" t="s">
        <v>172</v>
      </c>
      <c r="E16" s="29" t="s">
        <v>173</v>
      </c>
      <c r="F16" s="29" t="s">
        <v>102</v>
      </c>
      <c r="G16" s="17" t="n">
        <v>13501.07</v>
      </c>
      <c r="H16" s="17" t="n">
        <v>3328.45</v>
      </c>
      <c r="I16" s="18" t="n">
        <f aca="false">IFERROR((G16-H16)/G16,"")</f>
        <v>0.753467688116571</v>
      </c>
      <c r="J16" s="29" t="n">
        <v>2</v>
      </c>
      <c r="K16" s="29" t="s">
        <v>167</v>
      </c>
    </row>
    <row r="17" customFormat="false" ht="15" hidden="false" customHeight="false" outlineLevel="0" collapsed="false">
      <c r="A17" s="29" t="s">
        <v>187</v>
      </c>
      <c r="B17" s="38" t="n">
        <v>46226</v>
      </c>
      <c r="C17" s="29" t="s">
        <v>188</v>
      </c>
      <c r="D17" s="29" t="s">
        <v>172</v>
      </c>
      <c r="E17" s="29" t="s">
        <v>173</v>
      </c>
      <c r="F17" s="29" t="s">
        <v>102</v>
      </c>
      <c r="G17" s="17" t="n">
        <v>30455.17</v>
      </c>
      <c r="H17" s="17" t="n">
        <v>1448.28</v>
      </c>
      <c r="I17" s="18" t="n">
        <f aca="false">IFERROR((G17-H17)/G17,"")</f>
        <v>0.95244551253531</v>
      </c>
      <c r="J17" s="29" t="n">
        <v>2</v>
      </c>
      <c r="K17" s="29" t="s">
        <v>167</v>
      </c>
    </row>
    <row r="18" customFormat="false" ht="15" hidden="false" customHeight="false" outlineLevel="0" collapsed="false">
      <c r="A18" s="19" t="s">
        <v>153</v>
      </c>
      <c r="B18" s="36"/>
      <c r="C18" s="36"/>
      <c r="D18" s="36"/>
      <c r="E18" s="36"/>
      <c r="F18" s="36"/>
      <c r="G18" s="21" t="n">
        <f aca="false">SUM(G6:G17)</f>
        <v>1313616.96</v>
      </c>
      <c r="H18" s="21" t="n">
        <f aca="false">SUM(H6:H17)</f>
        <v>378511.22</v>
      </c>
      <c r="I18" s="36"/>
      <c r="J18" s="36"/>
      <c r="K18" s="36"/>
    </row>
  </sheetData>
  <autoFilter ref="A5:K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44"/>
    <col collapsed="false" customWidth="true" hidden="false" outlineLevel="0" max="4" min="4" style="0" width="32"/>
    <col collapsed="false" customWidth="true" hidden="false" outlineLevel="0" max="5" min="5" style="0" width="17"/>
    <col collapsed="false" customWidth="true" hidden="false" outlineLevel="0" max="6" min="6" style="0" width="9"/>
    <col collapsed="false" customWidth="true" hidden="false" outlineLevel="0" max="7" min="7" style="0" width="17"/>
    <col collapsed="false" customWidth="true" hidden="false" outlineLevel="0" max="8" min="8" style="0" width="30"/>
  </cols>
  <sheetData>
    <row r="1" customFormat="false" ht="17.35" hidden="false" customHeight="false" outlineLevel="0" collapsed="false">
      <c r="A1" s="1" t="s">
        <v>189</v>
      </c>
    </row>
    <row r="2" customFormat="false" ht="15" hidden="false" customHeight="false" outlineLevel="0" collapsed="false">
      <c r="A2" s="2" t="s">
        <v>190</v>
      </c>
    </row>
    <row r="5" customFormat="false" ht="30" hidden="false" customHeight="true" outlineLevel="0" collapsed="false">
      <c r="A5" s="3" t="s">
        <v>83</v>
      </c>
      <c r="B5" s="3" t="s">
        <v>84</v>
      </c>
      <c r="C5" s="3" t="s">
        <v>89</v>
      </c>
      <c r="D5" s="3" t="s">
        <v>90</v>
      </c>
      <c r="E5" s="3" t="s">
        <v>91</v>
      </c>
      <c r="F5" s="3" t="s">
        <v>191</v>
      </c>
      <c r="G5" s="3" t="s">
        <v>192</v>
      </c>
      <c r="H5" s="3" t="s">
        <v>193</v>
      </c>
    </row>
    <row r="6" customFormat="false" ht="15" hidden="false" customHeight="false" outlineLevel="0" collapsed="false">
      <c r="A6" s="29" t="s">
        <v>112</v>
      </c>
      <c r="B6" s="38" t="n">
        <v>46226</v>
      </c>
      <c r="C6" s="29" t="s">
        <v>115</v>
      </c>
      <c r="D6" s="29" t="s">
        <v>116</v>
      </c>
      <c r="E6" s="29" t="s">
        <v>117</v>
      </c>
      <c r="F6" s="29" t="n">
        <v>24</v>
      </c>
      <c r="G6" s="17" t="n">
        <v>61020.62</v>
      </c>
      <c r="H6" s="29" t="s">
        <v>194</v>
      </c>
    </row>
    <row r="7" customFormat="false" ht="15" hidden="false" customHeight="false" outlineLevel="0" collapsed="false">
      <c r="A7" s="29" t="s">
        <v>120</v>
      </c>
      <c r="B7" s="38" t="n">
        <v>46226</v>
      </c>
      <c r="C7" s="29" t="s">
        <v>121</v>
      </c>
      <c r="D7" s="29" t="s">
        <v>116</v>
      </c>
      <c r="E7" s="29" t="s">
        <v>117</v>
      </c>
      <c r="F7" s="29" t="n">
        <v>18</v>
      </c>
      <c r="G7" s="17" t="n">
        <v>29684.48</v>
      </c>
      <c r="H7" s="29" t="s">
        <v>194</v>
      </c>
    </row>
    <row r="8" customFormat="false" ht="15" hidden="false" customHeight="false" outlineLevel="0" collapsed="false">
      <c r="A8" s="29" t="s">
        <v>122</v>
      </c>
      <c r="B8" s="38" t="n">
        <v>46226</v>
      </c>
      <c r="C8" s="29" t="s">
        <v>123</v>
      </c>
      <c r="D8" s="29" t="s">
        <v>116</v>
      </c>
      <c r="E8" s="29" t="s">
        <v>117</v>
      </c>
      <c r="F8" s="29" t="n">
        <v>6</v>
      </c>
      <c r="G8" s="17" t="n">
        <v>16541.38</v>
      </c>
      <c r="H8" s="29" t="s">
        <v>194</v>
      </c>
    </row>
    <row r="9" customFormat="false" ht="15" hidden="false" customHeight="false" outlineLevel="0" collapsed="false">
      <c r="A9" s="29" t="s">
        <v>124</v>
      </c>
      <c r="B9" s="38" t="n">
        <v>46226</v>
      </c>
      <c r="C9" s="29" t="s">
        <v>125</v>
      </c>
      <c r="D9" s="29" t="s">
        <v>116</v>
      </c>
      <c r="E9" s="29" t="s">
        <v>117</v>
      </c>
      <c r="F9" s="29" t="n">
        <v>6</v>
      </c>
      <c r="G9" s="17" t="n">
        <v>13968.93</v>
      </c>
      <c r="H9" s="29" t="s">
        <v>194</v>
      </c>
    </row>
    <row r="10" customFormat="false" ht="15" hidden="false" customHeight="false" outlineLevel="0" collapsed="false">
      <c r="A10" s="24" t="s">
        <v>195</v>
      </c>
      <c r="B10" s="32" t="n">
        <v>46227</v>
      </c>
      <c r="C10" s="24" t="s">
        <v>196</v>
      </c>
      <c r="D10" s="24" t="s">
        <v>116</v>
      </c>
      <c r="E10" s="24" t="s">
        <v>117</v>
      </c>
      <c r="F10" s="24" t="n">
        <v>2</v>
      </c>
      <c r="G10" s="34" t="n">
        <v>9185.63</v>
      </c>
      <c r="H10" s="24" t="s">
        <v>197</v>
      </c>
    </row>
    <row r="11" customFormat="false" ht="15" hidden="false" customHeight="false" outlineLevel="0" collapsed="false">
      <c r="A11" s="24" t="s">
        <v>198</v>
      </c>
      <c r="B11" s="32" t="n">
        <v>46227</v>
      </c>
      <c r="C11" s="24" t="s">
        <v>199</v>
      </c>
      <c r="D11" s="24" t="s">
        <v>200</v>
      </c>
      <c r="E11" s="24" t="s">
        <v>117</v>
      </c>
      <c r="F11" s="24" t="n">
        <v>12</v>
      </c>
      <c r="G11" s="34" t="n">
        <v>7370.69</v>
      </c>
      <c r="H11" s="24" t="s">
        <v>197</v>
      </c>
    </row>
    <row r="12" customFormat="false" ht="15" hidden="false" customHeight="false" outlineLevel="0" collapsed="false">
      <c r="A12" s="24" t="s">
        <v>201</v>
      </c>
      <c r="B12" s="32" t="n">
        <v>46227</v>
      </c>
      <c r="C12" s="24" t="s">
        <v>202</v>
      </c>
      <c r="D12" s="24" t="s">
        <v>116</v>
      </c>
      <c r="E12" s="24" t="s">
        <v>117</v>
      </c>
      <c r="F12" s="24" t="n">
        <v>2</v>
      </c>
      <c r="G12" s="34" t="n">
        <v>5634.48</v>
      </c>
      <c r="H12" s="24" t="s">
        <v>197</v>
      </c>
    </row>
    <row r="13" customFormat="false" ht="15" hidden="false" customHeight="false" outlineLevel="0" collapsed="false">
      <c r="A13" s="24" t="s">
        <v>203</v>
      </c>
      <c r="B13" s="32" t="n">
        <v>46225</v>
      </c>
      <c r="C13" s="24" t="s">
        <v>204</v>
      </c>
      <c r="D13" s="24" t="s">
        <v>200</v>
      </c>
      <c r="E13" s="24" t="s">
        <v>117</v>
      </c>
      <c r="F13" s="24" t="n">
        <v>2</v>
      </c>
      <c r="G13" s="34" t="n">
        <v>3384.96</v>
      </c>
      <c r="H13" s="24" t="s">
        <v>197</v>
      </c>
    </row>
    <row r="14" customFormat="false" ht="15" hidden="false" customHeight="false" outlineLevel="0" collapsed="false">
      <c r="A14" s="24" t="s">
        <v>205</v>
      </c>
      <c r="B14" s="32" t="n">
        <v>46225</v>
      </c>
      <c r="C14" s="24" t="s">
        <v>206</v>
      </c>
      <c r="D14" s="24" t="s">
        <v>200</v>
      </c>
      <c r="E14" s="24" t="s">
        <v>117</v>
      </c>
      <c r="F14" s="24" t="n">
        <v>2</v>
      </c>
      <c r="G14" s="34" t="n">
        <v>3384.96</v>
      </c>
      <c r="H14" s="24" t="s">
        <v>197</v>
      </c>
    </row>
    <row r="15" customFormat="false" ht="15" hidden="false" customHeight="false" outlineLevel="0" collapsed="false">
      <c r="A15" s="24" t="s">
        <v>207</v>
      </c>
      <c r="B15" s="32" t="n">
        <v>46225</v>
      </c>
      <c r="C15" s="24" t="s">
        <v>208</v>
      </c>
      <c r="D15" s="24" t="s">
        <v>209</v>
      </c>
      <c r="E15" s="24" t="s">
        <v>117</v>
      </c>
      <c r="F15" s="24" t="n">
        <v>2</v>
      </c>
      <c r="G15" s="34" t="n">
        <v>3016.56</v>
      </c>
      <c r="H15" s="24" t="s">
        <v>197</v>
      </c>
    </row>
    <row r="16" customFormat="false" ht="15" hidden="false" customHeight="false" outlineLevel="0" collapsed="false">
      <c r="A16" s="24" t="s">
        <v>210</v>
      </c>
      <c r="B16" s="32" t="n">
        <v>46227</v>
      </c>
      <c r="C16" s="24" t="s">
        <v>211</v>
      </c>
      <c r="D16" s="24" t="s">
        <v>209</v>
      </c>
      <c r="E16" s="24" t="s">
        <v>117</v>
      </c>
      <c r="F16" s="24" t="n">
        <v>1</v>
      </c>
      <c r="G16" s="34" t="n">
        <v>1508.28</v>
      </c>
      <c r="H16" s="24" t="s">
        <v>197</v>
      </c>
    </row>
    <row r="17" customFormat="false" ht="15" hidden="false" customHeight="false" outlineLevel="0" collapsed="false">
      <c r="A17" s="19" t="s">
        <v>212</v>
      </c>
      <c r="B17" s="19"/>
      <c r="C17" s="19"/>
      <c r="D17" s="19"/>
      <c r="E17" s="19"/>
      <c r="F17" s="20" t="n">
        <f aca="false">SUM(F6:F16)</f>
        <v>77</v>
      </c>
      <c r="G17" s="21" t="n">
        <f aca="false">SUM(G6:G16)</f>
        <v>154700.97</v>
      </c>
      <c r="H17" s="19"/>
    </row>
    <row r="19" customFormat="false" ht="15" hidden="false" customHeight="false" outlineLevel="0" collapsed="false">
      <c r="A19" s="23" t="s">
        <v>213</v>
      </c>
    </row>
    <row r="20" customFormat="false" ht="30" hidden="false" customHeight="true" outlineLevel="0" collapsed="false">
      <c r="A20" s="3" t="s">
        <v>90</v>
      </c>
      <c r="B20" s="3" t="s">
        <v>214</v>
      </c>
      <c r="C20" s="3" t="s">
        <v>192</v>
      </c>
      <c r="D20" s="3" t="s">
        <v>215</v>
      </c>
    </row>
    <row r="21" customFormat="false" ht="15" hidden="false" customHeight="false" outlineLevel="0" collapsed="false">
      <c r="A21" s="24" t="s">
        <v>116</v>
      </c>
      <c r="B21" s="39" t="n">
        <v>6</v>
      </c>
      <c r="C21" s="34" t="n">
        <v>136035.52</v>
      </c>
      <c r="D21" s="37" t="n">
        <f aca="false">IFERROR(C21/$G$17,"")</f>
        <v>0.879344971140129</v>
      </c>
    </row>
    <row r="22" customFormat="false" ht="15" hidden="false" customHeight="false" outlineLevel="0" collapsed="false">
      <c r="A22" s="24" t="s">
        <v>200</v>
      </c>
      <c r="B22" s="39" t="n">
        <v>3</v>
      </c>
      <c r="C22" s="34" t="n">
        <v>14140.61</v>
      </c>
      <c r="D22" s="37" t="n">
        <f aca="false">IFERROR(C22/$G$17,"")</f>
        <v>0.0914060849133655</v>
      </c>
    </row>
    <row r="23" customFormat="false" ht="15" hidden="false" customHeight="false" outlineLevel="0" collapsed="false">
      <c r="A23" s="24" t="s">
        <v>209</v>
      </c>
      <c r="B23" s="39" t="n">
        <v>2</v>
      </c>
      <c r="C23" s="34" t="n">
        <v>4524.84</v>
      </c>
      <c r="D23" s="37" t="n">
        <f aca="false">IFERROR(C23/$G$17,"")</f>
        <v>0.0292489439465053</v>
      </c>
    </row>
    <row r="24" customFormat="false" ht="15" hidden="false" customHeight="false" outlineLevel="0" collapsed="false">
      <c r="A24" s="19" t="s">
        <v>216</v>
      </c>
      <c r="B24" s="20" t="n">
        <f aca="false">SUM(B21:B23)</f>
        <v>11</v>
      </c>
      <c r="C24" s="21" t="n">
        <f aca="false">SUM(C21:C23)</f>
        <v>154700.97</v>
      </c>
      <c r="D24" s="22" t="n">
        <f aca="false">IFERROR(C24/$G$17,"")</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0"/>
    <col collapsed="false" customWidth="true" hidden="false" outlineLevel="0" max="4" min="4" style="0" width="40"/>
    <col collapsed="false" customWidth="true" hidden="false" outlineLevel="0" max="5" min="5" style="0" width="28"/>
    <col collapsed="false" customWidth="true" hidden="false" outlineLevel="0" max="6" min="6" style="0" width="17"/>
    <col collapsed="false" customWidth="true" hidden="false" outlineLevel="0" max="7" min="7" style="0" width="9"/>
    <col collapsed="false" customWidth="true" hidden="false" outlineLevel="0" max="9" min="8" style="0" width="16"/>
    <col collapsed="false" customWidth="true" hidden="false" outlineLevel="0" max="10" min="10" style="0" width="11"/>
    <col collapsed="false" customWidth="true" hidden="false" outlineLevel="0" max="11" min="11" style="0" width="10"/>
    <col collapsed="false" customWidth="true" hidden="false" outlineLevel="0" max="12" min="12" style="0" width="14"/>
    <col collapsed="false" customWidth="true" hidden="false" outlineLevel="0" max="13" min="13" style="0" width="12"/>
  </cols>
  <sheetData>
    <row r="1" customFormat="false" ht="17.35" hidden="false" customHeight="false" outlineLevel="0" collapsed="false">
      <c r="A1" s="1" t="s">
        <v>217</v>
      </c>
    </row>
    <row r="2" customFormat="false" ht="15" hidden="false" customHeight="false" outlineLevel="0" collapsed="false">
      <c r="A2" s="2" t="s">
        <v>218</v>
      </c>
    </row>
    <row r="3" customFormat="false" ht="15" hidden="false" customHeight="false" outlineLevel="0" collapsed="false">
      <c r="A3" s="2" t="s">
        <v>219</v>
      </c>
      <c r="B3" s="40" t="n">
        <v>46229</v>
      </c>
    </row>
    <row r="5" customFormat="false" ht="30" hidden="false" customHeight="true" outlineLevel="0" collapsed="false">
      <c r="A5" s="3" t="s">
        <v>83</v>
      </c>
      <c r="B5" s="3" t="s">
        <v>84</v>
      </c>
      <c r="C5" s="3" t="s">
        <v>220</v>
      </c>
      <c r="D5" s="3" t="s">
        <v>89</v>
      </c>
      <c r="E5" s="3" t="s">
        <v>90</v>
      </c>
      <c r="F5" s="3" t="s">
        <v>91</v>
      </c>
      <c r="G5" s="3" t="s">
        <v>191</v>
      </c>
      <c r="H5" s="3" t="s">
        <v>43</v>
      </c>
      <c r="I5" s="3" t="s">
        <v>157</v>
      </c>
      <c r="J5" s="3" t="s">
        <v>158</v>
      </c>
      <c r="K5" s="3" t="s">
        <v>159</v>
      </c>
      <c r="L5" s="3" t="s">
        <v>221</v>
      </c>
      <c r="M5" s="3" t="s">
        <v>222</v>
      </c>
    </row>
    <row r="6" customFormat="false" ht="15" hidden="false" customHeight="false" outlineLevel="0" collapsed="false">
      <c r="A6" s="24" t="s">
        <v>223</v>
      </c>
      <c r="B6" s="32" t="n">
        <v>46227</v>
      </c>
      <c r="C6" s="33" t="n">
        <f aca="false">$B$3-B6</f>
        <v>2</v>
      </c>
      <c r="D6" s="24" t="s">
        <v>224</v>
      </c>
      <c r="E6" s="24" t="s">
        <v>224</v>
      </c>
      <c r="F6" s="24" t="s">
        <v>111</v>
      </c>
      <c r="G6" s="24" t="n">
        <v>2004</v>
      </c>
      <c r="H6" s="34" t="n">
        <v>1929230.76</v>
      </c>
      <c r="I6" s="34" t="n">
        <v>1929230.76</v>
      </c>
      <c r="J6" s="14" t="n">
        <f aca="false">IFERROR((H6-I6)/H6,"")</f>
        <v>0</v>
      </c>
      <c r="K6" s="24" t="n">
        <v>0</v>
      </c>
      <c r="L6" s="33" t="str">
        <f aca="false">IF(K6=0,"Not started",IF(J6&gt;=0.9999,"Value complete","Partial"))</f>
        <v>Not started</v>
      </c>
      <c r="M6" s="33" t="str">
        <f aca="false">IF(AND(C6&gt;3,I6&gt;25000),"ESCALATE",IF(I6&gt;100000,"High value",IF(C6&gt;3,"Aged","Monitor")))</f>
        <v>High value</v>
      </c>
    </row>
    <row r="7" customFormat="false" ht="15" hidden="false" customHeight="false" outlineLevel="0" collapsed="false">
      <c r="A7" s="24" t="s">
        <v>161</v>
      </c>
      <c r="B7" s="32" t="n">
        <v>46225</v>
      </c>
      <c r="C7" s="33" t="n">
        <f aca="false">$B$3-B7</f>
        <v>4</v>
      </c>
      <c r="D7" s="24" t="s">
        <v>162</v>
      </c>
      <c r="E7" s="24" t="s">
        <v>162</v>
      </c>
      <c r="F7" s="24" t="s">
        <v>101</v>
      </c>
      <c r="G7" s="24" t="n">
        <v>120</v>
      </c>
      <c r="H7" s="34" t="n">
        <v>124200</v>
      </c>
      <c r="I7" s="34" t="n">
        <v>124200</v>
      </c>
      <c r="J7" s="14" t="n">
        <f aca="false">IFERROR((H7-I7)/H7,"")</f>
        <v>0</v>
      </c>
      <c r="K7" s="24" t="n">
        <v>0</v>
      </c>
      <c r="L7" s="33" t="str">
        <f aca="false">IF(K7=0,"Not started",IF(J7&gt;=0.9999,"Value complete","Partial"))</f>
        <v>Not started</v>
      </c>
      <c r="M7" s="33" t="str">
        <f aca="false">IF(AND(C7&gt;3,I7&gt;25000),"ESCALATE",IF(I7&gt;100000,"High value",IF(C7&gt;3,"Aged","Monitor")))</f>
        <v>ESCALATE</v>
      </c>
    </row>
    <row r="8" customFormat="false" ht="15" hidden="false" customHeight="false" outlineLevel="0" collapsed="false">
      <c r="A8" s="24" t="s">
        <v>225</v>
      </c>
      <c r="B8" s="32" t="n">
        <v>46227</v>
      </c>
      <c r="C8" s="33" t="n">
        <f aca="false">$B$3-B8</f>
        <v>2</v>
      </c>
      <c r="D8" s="24" t="s">
        <v>226</v>
      </c>
      <c r="E8" s="24" t="s">
        <v>227</v>
      </c>
      <c r="F8" s="24" t="s">
        <v>101</v>
      </c>
      <c r="G8" s="24" t="n">
        <v>247</v>
      </c>
      <c r="H8" s="34" t="n">
        <v>133784.48</v>
      </c>
      <c r="I8" s="34" t="n">
        <v>123758.62</v>
      </c>
      <c r="J8" s="14" t="n">
        <f aca="false">IFERROR((H8-I8)/H8,"")</f>
        <v>0.0749403817243974</v>
      </c>
      <c r="K8" s="24" t="n">
        <v>1</v>
      </c>
      <c r="L8" s="33" t="str">
        <f aca="false">IF(K8=0,"Not started",IF(J8&gt;=0.9999,"Value complete","Partial"))</f>
        <v>Partial</v>
      </c>
      <c r="M8" s="33" t="str">
        <f aca="false">IF(AND(C8&gt;3,I8&gt;25000),"ESCALATE",IF(I8&gt;100000,"High value",IF(C8&gt;3,"Aged","Monitor")))</f>
        <v>High value</v>
      </c>
    </row>
    <row r="9" customFormat="false" ht="15" hidden="false" customHeight="false" outlineLevel="0" collapsed="false">
      <c r="A9" s="24" t="s">
        <v>165</v>
      </c>
      <c r="B9" s="32" t="n">
        <v>46226</v>
      </c>
      <c r="C9" s="33" t="n">
        <f aca="false">$B$3-B9</f>
        <v>3</v>
      </c>
      <c r="D9" s="24" t="s">
        <v>166</v>
      </c>
      <c r="E9" s="24" t="s">
        <v>166</v>
      </c>
      <c r="F9" s="24" t="s">
        <v>101</v>
      </c>
      <c r="G9" s="24" t="n">
        <v>54</v>
      </c>
      <c r="H9" s="34" t="n">
        <v>82131.21</v>
      </c>
      <c r="I9" s="34" t="n">
        <v>69711.21</v>
      </c>
      <c r="J9" s="14" t="n">
        <f aca="false">IFERROR((H9-I9)/H9,"")</f>
        <v>0.15122144188549</v>
      </c>
      <c r="K9" s="24" t="n">
        <v>1</v>
      </c>
      <c r="L9" s="33" t="str">
        <f aca="false">IF(K9=0,"Not started",IF(J9&gt;=0.9999,"Value complete","Partial"))</f>
        <v>Partial</v>
      </c>
      <c r="M9" s="33" t="str">
        <f aca="false">IF(AND(C9&gt;3,I9&gt;25000),"ESCALATE",IF(I9&gt;100000,"High value",IF(C9&gt;3,"Aged","Monitor")))</f>
        <v>Monitor</v>
      </c>
    </row>
    <row r="10" customFormat="false" ht="15" hidden="false" customHeight="false" outlineLevel="0" collapsed="false">
      <c r="A10" s="24" t="s">
        <v>147</v>
      </c>
      <c r="B10" s="32" t="n">
        <v>46226</v>
      </c>
      <c r="C10" s="33" t="n">
        <f aca="false">$B$3-B10</f>
        <v>3</v>
      </c>
      <c r="D10" s="24" t="s">
        <v>148</v>
      </c>
      <c r="E10" s="24" t="s">
        <v>148</v>
      </c>
      <c r="F10" s="24" t="s">
        <v>111</v>
      </c>
      <c r="G10" s="24" t="n">
        <v>18</v>
      </c>
      <c r="H10" s="34" t="n">
        <v>44871.21</v>
      </c>
      <c r="I10" s="34" t="n">
        <v>44871.21</v>
      </c>
      <c r="J10" s="14" t="n">
        <f aca="false">IFERROR((H10-I10)/H10,"")</f>
        <v>0</v>
      </c>
      <c r="K10" s="24" t="n">
        <v>0</v>
      </c>
      <c r="L10" s="33" t="str">
        <f aca="false">IF(K10=0,"Not started",IF(J10&gt;=0.9999,"Value complete","Partial"))</f>
        <v>Not started</v>
      </c>
      <c r="M10" s="33" t="str">
        <f aca="false">IF(AND(C10&gt;3,I10&gt;25000),"ESCALATE",IF(I10&gt;100000,"High value",IF(C10&gt;3,"Aged","Monitor")))</f>
        <v>Monitor</v>
      </c>
    </row>
    <row r="11" customFormat="false" ht="15" hidden="false" customHeight="false" outlineLevel="0" collapsed="false">
      <c r="A11" s="24" t="s">
        <v>168</v>
      </c>
      <c r="B11" s="32" t="n">
        <v>46225</v>
      </c>
      <c r="C11" s="33" t="n">
        <f aca="false">$B$3-B11</f>
        <v>4</v>
      </c>
      <c r="D11" s="24" t="s">
        <v>169</v>
      </c>
      <c r="E11" s="24" t="s">
        <v>169</v>
      </c>
      <c r="F11" s="24" t="s">
        <v>101</v>
      </c>
      <c r="G11" s="24" t="n">
        <v>120</v>
      </c>
      <c r="H11" s="34" t="n">
        <v>124200</v>
      </c>
      <c r="I11" s="34" t="n">
        <v>37260</v>
      </c>
      <c r="J11" s="14" t="n">
        <f aca="false">IFERROR((H11-I11)/H11,"")</f>
        <v>0.7</v>
      </c>
      <c r="K11" s="24" t="n">
        <v>1</v>
      </c>
      <c r="L11" s="33" t="str">
        <f aca="false">IF(K11=0,"Not started",IF(J11&gt;=0.9999,"Value complete","Partial"))</f>
        <v>Partial</v>
      </c>
      <c r="M11" s="33" t="str">
        <f aca="false">IF(AND(C11&gt;3,I11&gt;25000),"ESCALATE",IF(I11&gt;100000,"High value",IF(C11&gt;3,"Aged","Monitor")))</f>
        <v>ESCALATE</v>
      </c>
    </row>
    <row r="12" customFormat="false" ht="15" hidden="false" customHeight="false" outlineLevel="0" collapsed="false">
      <c r="A12" s="24" t="s">
        <v>170</v>
      </c>
      <c r="B12" s="32" t="n">
        <v>46226</v>
      </c>
      <c r="C12" s="33" t="n">
        <f aca="false">$B$3-B12</f>
        <v>3</v>
      </c>
      <c r="D12" s="24" t="s">
        <v>171</v>
      </c>
      <c r="E12" s="24" t="s">
        <v>172</v>
      </c>
      <c r="F12" s="24" t="s">
        <v>173</v>
      </c>
      <c r="G12" s="24" t="n">
        <v>61</v>
      </c>
      <c r="H12" s="34" t="n">
        <v>111062.51</v>
      </c>
      <c r="I12" s="34" t="n">
        <v>30240.19</v>
      </c>
      <c r="J12" s="14" t="n">
        <f aca="false">IFERROR((H12-I12)/H12,"")</f>
        <v>0.72771919165162</v>
      </c>
      <c r="K12" s="24" t="n">
        <v>1</v>
      </c>
      <c r="L12" s="33" t="str">
        <f aca="false">IF(K12=0,"Not started",IF(J12&gt;=0.9999,"Value complete","Partial"))</f>
        <v>Partial</v>
      </c>
      <c r="M12" s="33" t="str">
        <f aca="false">IF(AND(C12&gt;3,I12&gt;25000),"ESCALATE",IF(I12&gt;100000,"High value",IF(C12&gt;3,"Aged","Monitor")))</f>
        <v>Monitor</v>
      </c>
    </row>
    <row r="13" customFormat="false" ht="15" hidden="false" customHeight="false" outlineLevel="0" collapsed="false">
      <c r="A13" s="24" t="s">
        <v>174</v>
      </c>
      <c r="B13" s="32" t="n">
        <v>46226</v>
      </c>
      <c r="C13" s="33" t="n">
        <f aca="false">$B$3-B13</f>
        <v>3</v>
      </c>
      <c r="D13" s="24" t="s">
        <v>175</v>
      </c>
      <c r="E13" s="24" t="s">
        <v>176</v>
      </c>
      <c r="F13" s="24" t="s">
        <v>101</v>
      </c>
      <c r="G13" s="24" t="n">
        <v>126</v>
      </c>
      <c r="H13" s="34" t="n">
        <v>91983.45</v>
      </c>
      <c r="I13" s="34" t="n">
        <v>28945.17</v>
      </c>
      <c r="J13" s="14" t="n">
        <f aca="false">IFERROR((H13-I13)/H13,"")</f>
        <v>0.685321979116896</v>
      </c>
      <c r="K13" s="24" t="n">
        <v>1</v>
      </c>
      <c r="L13" s="33" t="str">
        <f aca="false">IF(K13=0,"Not started",IF(J13&gt;=0.9999,"Value complete","Partial"))</f>
        <v>Partial</v>
      </c>
      <c r="M13" s="33" t="str">
        <f aca="false">IF(AND(C13&gt;3,I13&gt;25000),"ESCALATE",IF(I13&gt;100000,"High value",IF(C13&gt;3,"Aged","Monitor")))</f>
        <v>Monitor</v>
      </c>
    </row>
    <row r="14" customFormat="false" ht="15" hidden="false" customHeight="false" outlineLevel="0" collapsed="false">
      <c r="A14" s="24" t="s">
        <v>228</v>
      </c>
      <c r="B14" s="32" t="n">
        <v>46227</v>
      </c>
      <c r="C14" s="33" t="n">
        <f aca="false">$B$3-B14</f>
        <v>2</v>
      </c>
      <c r="D14" s="24" t="s">
        <v>229</v>
      </c>
      <c r="E14" s="24" t="s">
        <v>229</v>
      </c>
      <c r="F14" s="24" t="s">
        <v>108</v>
      </c>
      <c r="G14" s="24" t="n">
        <v>20</v>
      </c>
      <c r="H14" s="34" t="n">
        <v>30723.3</v>
      </c>
      <c r="I14" s="34" t="n">
        <v>28800</v>
      </c>
      <c r="J14" s="14" t="n">
        <f aca="false">IFERROR((H14-I14)/H14,"")</f>
        <v>0.0626006971907314</v>
      </c>
      <c r="K14" s="24" t="n">
        <v>1</v>
      </c>
      <c r="L14" s="33" t="str">
        <f aca="false">IF(K14=0,"Not started",IF(J14&gt;=0.9999,"Value complete","Partial"))</f>
        <v>Partial</v>
      </c>
      <c r="M14" s="33" t="str">
        <f aca="false">IF(AND(C14&gt;3,I14&gt;25000),"ESCALATE",IF(I14&gt;100000,"High value",IF(C14&gt;3,"Aged","Monitor")))</f>
        <v>Monitor</v>
      </c>
    </row>
    <row r="15" customFormat="false" ht="15" hidden="false" customHeight="false" outlineLevel="0" collapsed="false">
      <c r="A15" s="24" t="s">
        <v>230</v>
      </c>
      <c r="B15" s="32" t="n">
        <v>46227</v>
      </c>
      <c r="C15" s="33" t="n">
        <f aca="false">$B$3-B15</f>
        <v>2</v>
      </c>
      <c r="D15" s="24" t="s">
        <v>231</v>
      </c>
      <c r="E15" s="24" t="s">
        <v>232</v>
      </c>
      <c r="F15" s="24" t="s">
        <v>173</v>
      </c>
      <c r="G15" s="24" t="n">
        <v>124</v>
      </c>
      <c r="H15" s="34" t="n">
        <v>161893.09</v>
      </c>
      <c r="I15" s="34" t="n">
        <v>25163.75</v>
      </c>
      <c r="J15" s="14" t="n">
        <f aca="false">IFERROR((H15-I15)/H15,"")</f>
        <v>0.844565632788898</v>
      </c>
      <c r="K15" s="24" t="n">
        <v>1</v>
      </c>
      <c r="L15" s="33" t="str">
        <f aca="false">IF(K15=0,"Not started",IF(J15&gt;=0.9999,"Value complete","Partial"))</f>
        <v>Partial</v>
      </c>
      <c r="M15" s="33" t="str">
        <f aca="false">IF(AND(C15&gt;3,I15&gt;25000),"ESCALATE",IF(I15&gt;100000,"High value",IF(C15&gt;3,"Aged","Monitor")))</f>
        <v>Monitor</v>
      </c>
    </row>
    <row r="16" customFormat="false" ht="15" hidden="false" customHeight="false" outlineLevel="0" collapsed="false">
      <c r="A16" s="24" t="s">
        <v>233</v>
      </c>
      <c r="B16" s="32" t="n">
        <v>46227</v>
      </c>
      <c r="C16" s="33" t="n">
        <f aca="false">$B$3-B16</f>
        <v>2</v>
      </c>
      <c r="D16" s="24" t="s">
        <v>234</v>
      </c>
      <c r="E16" s="24" t="s">
        <v>182</v>
      </c>
      <c r="F16" s="24" t="s">
        <v>101</v>
      </c>
      <c r="G16" s="24" t="n">
        <v>40</v>
      </c>
      <c r="H16" s="34" t="n">
        <v>43447.9</v>
      </c>
      <c r="I16" s="34" t="n">
        <v>22586.21</v>
      </c>
      <c r="J16" s="14" t="n">
        <f aca="false">IFERROR((H16-I16)/H16,"")</f>
        <v>0.480154161651081</v>
      </c>
      <c r="K16" s="24" t="n">
        <v>1</v>
      </c>
      <c r="L16" s="33" t="str">
        <f aca="false">IF(K16=0,"Not started",IF(J16&gt;=0.9999,"Value complete","Partial"))</f>
        <v>Partial</v>
      </c>
      <c r="M16" s="33" t="str">
        <f aca="false">IF(AND(C16&gt;3,I16&gt;25000),"ESCALATE",IF(I16&gt;100000,"High value",IF(C16&gt;3,"Aged","Monitor")))</f>
        <v>Monitor</v>
      </c>
    </row>
    <row r="17" customFormat="false" ht="15" hidden="false" customHeight="false" outlineLevel="0" collapsed="false">
      <c r="A17" s="24" t="s">
        <v>235</v>
      </c>
      <c r="B17" s="32" t="n">
        <v>46227</v>
      </c>
      <c r="C17" s="33" t="n">
        <f aca="false">$B$3-B17</f>
        <v>2</v>
      </c>
      <c r="D17" s="24" t="s">
        <v>236</v>
      </c>
      <c r="E17" s="24" t="s">
        <v>232</v>
      </c>
      <c r="F17" s="24" t="s">
        <v>173</v>
      </c>
      <c r="G17" s="24" t="n">
        <v>37</v>
      </c>
      <c r="H17" s="34" t="n">
        <v>54927.36</v>
      </c>
      <c r="I17" s="34" t="n">
        <v>22284.15</v>
      </c>
      <c r="J17" s="14" t="n">
        <f aca="false">IFERROR((H17-I17)/H17,"")</f>
        <v>0.594297814422539</v>
      </c>
      <c r="K17" s="24" t="n">
        <v>1</v>
      </c>
      <c r="L17" s="33" t="str">
        <f aca="false">IF(K17=0,"Not started",IF(J17&gt;=0.9999,"Value complete","Partial"))</f>
        <v>Partial</v>
      </c>
      <c r="M17" s="33" t="str">
        <f aca="false">IF(AND(C17&gt;3,I17&gt;25000),"ESCALATE",IF(I17&gt;100000,"High value",IF(C17&gt;3,"Aged","Monitor")))</f>
        <v>Monitor</v>
      </c>
    </row>
    <row r="18" customFormat="false" ht="15" hidden="false" customHeight="false" outlineLevel="0" collapsed="false">
      <c r="A18" s="24" t="s">
        <v>237</v>
      </c>
      <c r="B18" s="32" t="n">
        <v>46227</v>
      </c>
      <c r="C18" s="33" t="n">
        <f aca="false">$B$3-B18</f>
        <v>2</v>
      </c>
      <c r="D18" s="24" t="s">
        <v>238</v>
      </c>
      <c r="E18" s="24" t="s">
        <v>238</v>
      </c>
      <c r="F18" s="24" t="s">
        <v>111</v>
      </c>
      <c r="G18" s="24" t="n">
        <v>11</v>
      </c>
      <c r="H18" s="34" t="n">
        <v>21904.91</v>
      </c>
      <c r="I18" s="34" t="n">
        <v>21904.91</v>
      </c>
      <c r="J18" s="14" t="n">
        <f aca="false">IFERROR((H18-I18)/H18,"")</f>
        <v>0</v>
      </c>
      <c r="K18" s="24" t="n">
        <v>0</v>
      </c>
      <c r="L18" s="33" t="str">
        <f aca="false">IF(K18=0,"Not started",IF(J18&gt;=0.9999,"Value complete","Partial"))</f>
        <v>Not started</v>
      </c>
      <c r="M18" s="33" t="str">
        <f aca="false">IF(AND(C18&gt;3,I18&gt;25000),"ESCALATE",IF(I18&gt;100000,"High value",IF(C18&gt;3,"Aged","Monitor")))</f>
        <v>Monitor</v>
      </c>
    </row>
    <row r="19" customFormat="false" ht="15" hidden="false" customHeight="false" outlineLevel="0" collapsed="false">
      <c r="A19" s="24" t="s">
        <v>177</v>
      </c>
      <c r="B19" s="32" t="n">
        <v>46226</v>
      </c>
      <c r="C19" s="33" t="n">
        <f aca="false">$B$3-B19</f>
        <v>3</v>
      </c>
      <c r="D19" s="24" t="s">
        <v>178</v>
      </c>
      <c r="E19" s="24" t="s">
        <v>172</v>
      </c>
      <c r="F19" s="24" t="s">
        <v>173</v>
      </c>
      <c r="G19" s="24" t="n">
        <v>135</v>
      </c>
      <c r="H19" s="34" t="n">
        <v>44566.29</v>
      </c>
      <c r="I19" s="34" t="n">
        <v>21684.05</v>
      </c>
      <c r="J19" s="14" t="n">
        <f aca="false">IFERROR((H19-I19)/H19,"")</f>
        <v>0.513442783772219</v>
      </c>
      <c r="K19" s="24" t="n">
        <v>1</v>
      </c>
      <c r="L19" s="33" t="str">
        <f aca="false">IF(K19=0,"Not started",IF(J19&gt;=0.9999,"Value complete","Partial"))</f>
        <v>Partial</v>
      </c>
      <c r="M19" s="33" t="str">
        <f aca="false">IF(AND(C19&gt;3,I19&gt;25000),"ESCALATE",IF(I19&gt;100000,"High value",IF(C19&gt;3,"Aged","Monitor")))</f>
        <v>Monitor</v>
      </c>
    </row>
    <row r="20" customFormat="false" ht="15" hidden="false" customHeight="false" outlineLevel="0" collapsed="false">
      <c r="A20" s="24" t="s">
        <v>239</v>
      </c>
      <c r="B20" s="32" t="n">
        <v>46227</v>
      </c>
      <c r="C20" s="33" t="n">
        <f aca="false">$B$3-B20</f>
        <v>2</v>
      </c>
      <c r="D20" s="24" t="s">
        <v>240</v>
      </c>
      <c r="E20" s="24" t="s">
        <v>176</v>
      </c>
      <c r="F20" s="24" t="s">
        <v>101</v>
      </c>
      <c r="G20" s="24" t="n">
        <v>431</v>
      </c>
      <c r="H20" s="34" t="n">
        <v>317462.31</v>
      </c>
      <c r="I20" s="34" t="n">
        <v>20918.97</v>
      </c>
      <c r="J20" s="14" t="n">
        <f aca="false">IFERROR((H20-I20)/H20,"")</f>
        <v>0.934105658085837</v>
      </c>
      <c r="K20" s="24" t="n">
        <v>1</v>
      </c>
      <c r="L20" s="33" t="str">
        <f aca="false">IF(K20=0,"Not started",IF(J20&gt;=0.9999,"Value complete","Partial"))</f>
        <v>Partial</v>
      </c>
      <c r="M20" s="33" t="str">
        <f aca="false">IF(AND(C20&gt;3,I20&gt;25000),"ESCALATE",IF(I20&gt;100000,"High value",IF(C20&gt;3,"Aged","Monitor")))</f>
        <v>Monitor</v>
      </c>
    </row>
    <row r="21" customFormat="false" ht="15" hidden="false" customHeight="false" outlineLevel="0" collapsed="false">
      <c r="A21" s="24" t="s">
        <v>151</v>
      </c>
      <c r="B21" s="32" t="n">
        <v>46225</v>
      </c>
      <c r="C21" s="33" t="n">
        <f aca="false">$B$3-B21</f>
        <v>4</v>
      </c>
      <c r="D21" s="24" t="s">
        <v>152</v>
      </c>
      <c r="E21" s="24" t="s">
        <v>152</v>
      </c>
      <c r="F21" s="24" t="s">
        <v>108</v>
      </c>
      <c r="G21" s="24" t="n">
        <v>19</v>
      </c>
      <c r="H21" s="34" t="n">
        <v>56024.14</v>
      </c>
      <c r="I21" s="34" t="n">
        <v>19600</v>
      </c>
      <c r="J21" s="14" t="n">
        <f aca="false">IFERROR((H21-I21)/H21,"")</f>
        <v>0.650150809990122</v>
      </c>
      <c r="K21" s="24" t="n">
        <v>1</v>
      </c>
      <c r="L21" s="33" t="str">
        <f aca="false">IF(K21=0,"Not started",IF(J21&gt;=0.9999,"Value complete","Partial"))</f>
        <v>Partial</v>
      </c>
      <c r="M21" s="33" t="str">
        <f aca="false">IF(AND(C21&gt;3,I21&gt;25000),"ESCALATE",IF(I21&gt;100000,"High value",IF(C21&gt;3,"Aged","Monitor")))</f>
        <v>Aged</v>
      </c>
    </row>
    <row r="22" customFormat="false" ht="15" hidden="false" customHeight="false" outlineLevel="0" collapsed="false">
      <c r="A22" s="24" t="s">
        <v>241</v>
      </c>
      <c r="B22" s="32" t="n">
        <v>46227</v>
      </c>
      <c r="C22" s="33" t="n">
        <f aca="false">$B$3-B22</f>
        <v>2</v>
      </c>
      <c r="D22" s="24" t="s">
        <v>242</v>
      </c>
      <c r="E22" s="24" t="s">
        <v>242</v>
      </c>
      <c r="F22" s="24" t="s">
        <v>108</v>
      </c>
      <c r="G22" s="24" t="n">
        <v>116</v>
      </c>
      <c r="H22" s="34" t="n">
        <v>57635.42</v>
      </c>
      <c r="I22" s="34" t="n">
        <v>19168.06</v>
      </c>
      <c r="J22" s="14" t="n">
        <f aca="false">IFERROR((H22-I22)/H22,"")</f>
        <v>0.667425690660361</v>
      </c>
      <c r="K22" s="24" t="n">
        <v>1</v>
      </c>
      <c r="L22" s="33" t="str">
        <f aca="false">IF(K22=0,"Not started",IF(J22&gt;=0.9999,"Value complete","Partial"))</f>
        <v>Partial</v>
      </c>
      <c r="M22" s="33" t="str">
        <f aca="false">IF(AND(C22&gt;3,I22&gt;25000),"ESCALATE",IF(I22&gt;100000,"High value",IF(C22&gt;3,"Aged","Monitor")))</f>
        <v>Monitor</v>
      </c>
    </row>
    <row r="23" customFormat="false" ht="15" hidden="false" customHeight="false" outlineLevel="0" collapsed="false">
      <c r="A23" s="24" t="s">
        <v>243</v>
      </c>
      <c r="B23" s="32" t="n">
        <v>46227</v>
      </c>
      <c r="C23" s="33" t="n">
        <f aca="false">$B$3-B23</f>
        <v>2</v>
      </c>
      <c r="D23" s="24" t="s">
        <v>244</v>
      </c>
      <c r="E23" s="24" t="s">
        <v>232</v>
      </c>
      <c r="F23" s="24" t="s">
        <v>173</v>
      </c>
      <c r="G23" s="24" t="n">
        <v>51</v>
      </c>
      <c r="H23" s="34" t="n">
        <v>70937.75</v>
      </c>
      <c r="I23" s="34" t="n">
        <v>18721.58</v>
      </c>
      <c r="J23" s="14" t="n">
        <f aca="false">IFERROR((H23-I23)/H23,"")</f>
        <v>0.736084383843581</v>
      </c>
      <c r="K23" s="24" t="n">
        <v>1</v>
      </c>
      <c r="L23" s="33" t="str">
        <f aca="false">IF(K23=0,"Not started",IF(J23&gt;=0.9999,"Value complete","Partial"))</f>
        <v>Partial</v>
      </c>
      <c r="M23" s="33" t="str">
        <f aca="false">IF(AND(C23&gt;3,I23&gt;25000),"ESCALATE",IF(I23&gt;100000,"High value",IF(C23&gt;3,"Aged","Monitor")))</f>
        <v>Monitor</v>
      </c>
    </row>
    <row r="24" customFormat="false" ht="15" hidden="false" customHeight="false" outlineLevel="0" collapsed="false">
      <c r="A24" s="24" t="s">
        <v>179</v>
      </c>
      <c r="B24" s="32" t="n">
        <v>46226</v>
      </c>
      <c r="C24" s="33" t="n">
        <f aca="false">$B$3-B24</f>
        <v>3</v>
      </c>
      <c r="D24" s="24" t="s">
        <v>171</v>
      </c>
      <c r="E24" s="24" t="s">
        <v>172</v>
      </c>
      <c r="F24" s="24" t="s">
        <v>173</v>
      </c>
      <c r="G24" s="24" t="n">
        <v>92</v>
      </c>
      <c r="H24" s="34" t="n">
        <v>27530.08</v>
      </c>
      <c r="I24" s="34" t="n">
        <v>17944.56</v>
      </c>
      <c r="J24" s="14" t="n">
        <f aca="false">IFERROR((H24-I24)/H24,"")</f>
        <v>0.348183514177946</v>
      </c>
      <c r="K24" s="24" t="n">
        <v>1</v>
      </c>
      <c r="L24" s="33" t="str">
        <f aca="false">IF(K24=0,"Not started",IF(J24&gt;=0.9999,"Value complete","Partial"))</f>
        <v>Partial</v>
      </c>
      <c r="M24" s="33" t="str">
        <f aca="false">IF(AND(C24&gt;3,I24&gt;25000),"ESCALATE",IF(I24&gt;100000,"High value",IF(C24&gt;3,"Aged","Monitor")))</f>
        <v>Monitor</v>
      </c>
    </row>
    <row r="25" customFormat="false" ht="15" hidden="false" customHeight="false" outlineLevel="0" collapsed="false">
      <c r="A25" s="24" t="s">
        <v>245</v>
      </c>
      <c r="B25" s="32" t="n">
        <v>46227</v>
      </c>
      <c r="C25" s="33" t="n">
        <f aca="false">$B$3-B25</f>
        <v>2</v>
      </c>
      <c r="D25" s="24" t="s">
        <v>246</v>
      </c>
      <c r="E25" s="24" t="s">
        <v>246</v>
      </c>
      <c r="F25" s="24" t="s">
        <v>101</v>
      </c>
      <c r="G25" s="24" t="n">
        <v>43</v>
      </c>
      <c r="H25" s="34" t="n">
        <v>46809.21</v>
      </c>
      <c r="I25" s="34" t="n">
        <v>16938.45</v>
      </c>
      <c r="J25" s="14" t="n">
        <f aca="false">IFERROR((H25-I25)/H25,"")</f>
        <v>0.638138520175837</v>
      </c>
      <c r="K25" s="24" t="n">
        <v>1</v>
      </c>
      <c r="L25" s="33" t="str">
        <f aca="false">IF(K25=0,"Not started",IF(J25&gt;=0.9999,"Value complete","Partial"))</f>
        <v>Partial</v>
      </c>
      <c r="M25" s="33" t="str">
        <f aca="false">IF(AND(C25&gt;3,I25&gt;25000),"ESCALATE",IF(I25&gt;100000,"High value",IF(C25&gt;3,"Aged","Monitor")))</f>
        <v>Monitor</v>
      </c>
    </row>
    <row r="26" customFormat="false" ht="15" hidden="false" customHeight="false" outlineLevel="0" collapsed="false">
      <c r="A26" s="24" t="s">
        <v>180</v>
      </c>
      <c r="B26" s="32" t="n">
        <v>46226</v>
      </c>
      <c r="C26" s="33" t="n">
        <f aca="false">$B$3-B26</f>
        <v>3</v>
      </c>
      <c r="D26" s="24" t="s">
        <v>171</v>
      </c>
      <c r="E26" s="24" t="s">
        <v>172</v>
      </c>
      <c r="F26" s="24" t="s">
        <v>173</v>
      </c>
      <c r="G26" s="24" t="n">
        <v>336</v>
      </c>
      <c r="H26" s="34" t="n">
        <v>57314.34</v>
      </c>
      <c r="I26" s="34" t="n">
        <v>16648.28</v>
      </c>
      <c r="J26" s="14" t="n">
        <f aca="false">IFERROR((H26-I26)/H26,"")</f>
        <v>0.709526795562856</v>
      </c>
      <c r="K26" s="24" t="n">
        <v>1</v>
      </c>
      <c r="L26" s="33" t="str">
        <f aca="false">IF(K26=0,"Not started",IF(J26&gt;=0.9999,"Value complete","Partial"))</f>
        <v>Partial</v>
      </c>
      <c r="M26" s="33" t="str">
        <f aca="false">IF(AND(C26&gt;3,I26&gt;25000),"ESCALATE",IF(I26&gt;100000,"High value",IF(C26&gt;3,"Aged","Monitor")))</f>
        <v>Monitor</v>
      </c>
    </row>
    <row r="27" customFormat="false" ht="15" hidden="false" customHeight="false" outlineLevel="0" collapsed="false">
      <c r="A27" s="24" t="s">
        <v>181</v>
      </c>
      <c r="B27" s="32" t="n">
        <v>46226</v>
      </c>
      <c r="C27" s="33" t="n">
        <f aca="false">$B$3-B27</f>
        <v>3</v>
      </c>
      <c r="D27" s="24" t="s">
        <v>182</v>
      </c>
      <c r="E27" s="24" t="s">
        <v>182</v>
      </c>
      <c r="F27" s="24" t="s">
        <v>101</v>
      </c>
      <c r="G27" s="24" t="n">
        <v>646</v>
      </c>
      <c r="H27" s="34" t="n">
        <v>488214.1</v>
      </c>
      <c r="I27" s="34" t="n">
        <v>14681.03</v>
      </c>
      <c r="J27" s="14" t="n">
        <f aca="false">IFERROR((H27-I27)/H27,"")</f>
        <v>0.969929115115684</v>
      </c>
      <c r="K27" s="24" t="n">
        <v>1</v>
      </c>
      <c r="L27" s="33" t="str">
        <f aca="false">IF(K27=0,"Not started",IF(J27&gt;=0.9999,"Value complete","Partial"))</f>
        <v>Partial</v>
      </c>
      <c r="M27" s="33" t="str">
        <f aca="false">IF(AND(C27&gt;3,I27&gt;25000),"ESCALATE",IF(I27&gt;100000,"High value",IF(C27&gt;3,"Aged","Monitor")))</f>
        <v>Monitor</v>
      </c>
    </row>
    <row r="28" customFormat="false" ht="15" hidden="false" customHeight="false" outlineLevel="0" collapsed="false">
      <c r="A28" s="24" t="s">
        <v>247</v>
      </c>
      <c r="B28" s="32" t="n">
        <v>46227</v>
      </c>
      <c r="C28" s="33" t="n">
        <f aca="false">$B$3-B28</f>
        <v>2</v>
      </c>
      <c r="D28" s="24" t="s">
        <v>248</v>
      </c>
      <c r="E28" s="24" t="s">
        <v>232</v>
      </c>
      <c r="F28" s="24" t="s">
        <v>173</v>
      </c>
      <c r="G28" s="24" t="n">
        <v>77</v>
      </c>
      <c r="H28" s="34" t="n">
        <v>87705.85</v>
      </c>
      <c r="I28" s="34" t="n">
        <v>14534.99</v>
      </c>
      <c r="J28" s="14" t="n">
        <f aca="false">IFERROR((H28-I28)/H28,"")</f>
        <v>0.834275706808611</v>
      </c>
      <c r="K28" s="24" t="n">
        <v>1</v>
      </c>
      <c r="L28" s="33" t="str">
        <f aca="false">IF(K28=0,"Not started",IF(J28&gt;=0.9999,"Value complete","Partial"))</f>
        <v>Partial</v>
      </c>
      <c r="M28" s="33" t="str">
        <f aca="false">IF(AND(C28&gt;3,I28&gt;25000),"ESCALATE",IF(I28&gt;100000,"High value",IF(C28&gt;3,"Aged","Monitor")))</f>
        <v>Monitor</v>
      </c>
    </row>
    <row r="29" customFormat="false" ht="15" hidden="false" customHeight="false" outlineLevel="0" collapsed="false">
      <c r="A29" s="24" t="s">
        <v>249</v>
      </c>
      <c r="B29" s="32" t="n">
        <v>46227</v>
      </c>
      <c r="C29" s="33" t="n">
        <f aca="false">$B$3-B29</f>
        <v>2</v>
      </c>
      <c r="D29" s="24" t="s">
        <v>250</v>
      </c>
      <c r="E29" s="24" t="s">
        <v>232</v>
      </c>
      <c r="F29" s="24" t="s">
        <v>173</v>
      </c>
      <c r="G29" s="24" t="n">
        <v>25</v>
      </c>
      <c r="H29" s="34" t="n">
        <v>36401.74</v>
      </c>
      <c r="I29" s="34" t="n">
        <v>13523.91</v>
      </c>
      <c r="J29" s="14" t="n">
        <f aca="false">IFERROR((H29-I29)/H29,"")</f>
        <v>0.628481770376911</v>
      </c>
      <c r="K29" s="24" t="n">
        <v>1</v>
      </c>
      <c r="L29" s="33" t="str">
        <f aca="false">IF(K29=0,"Not started",IF(J29&gt;=0.9999,"Value complete","Partial"))</f>
        <v>Partial</v>
      </c>
      <c r="M29" s="33" t="str">
        <f aca="false">IF(AND(C29&gt;3,I29&gt;25000),"ESCALATE",IF(I29&gt;100000,"High value",IF(C29&gt;3,"Aged","Monitor")))</f>
        <v>Monitor</v>
      </c>
    </row>
    <row r="30" customFormat="false" ht="15" hidden="false" customHeight="false" outlineLevel="0" collapsed="false">
      <c r="A30" s="24" t="s">
        <v>251</v>
      </c>
      <c r="B30" s="32" t="n">
        <v>46227</v>
      </c>
      <c r="C30" s="33" t="n">
        <f aca="false">$B$3-B30</f>
        <v>2</v>
      </c>
      <c r="D30" s="24" t="s">
        <v>252</v>
      </c>
      <c r="E30" s="24" t="s">
        <v>232</v>
      </c>
      <c r="F30" s="24" t="s">
        <v>173</v>
      </c>
      <c r="G30" s="24" t="n">
        <v>33</v>
      </c>
      <c r="H30" s="34" t="n">
        <v>47983</v>
      </c>
      <c r="I30" s="34" t="n">
        <v>13431.44</v>
      </c>
      <c r="J30" s="14" t="n">
        <f aca="false">IFERROR((H30-I30)/H30,"")</f>
        <v>0.720079194714795</v>
      </c>
      <c r="K30" s="24" t="n">
        <v>1</v>
      </c>
      <c r="L30" s="33" t="str">
        <f aca="false">IF(K30=0,"Not started",IF(J30&gt;=0.9999,"Value complete","Partial"))</f>
        <v>Partial</v>
      </c>
      <c r="M30" s="33" t="str">
        <f aca="false">IF(AND(C30&gt;3,I30&gt;25000),"ESCALATE",IF(I30&gt;100000,"High value",IF(C30&gt;3,"Aged","Monitor")))</f>
        <v>Monitor</v>
      </c>
    </row>
    <row r="31" customFormat="false" ht="15" hidden="false" customHeight="false" outlineLevel="0" collapsed="false">
      <c r="A31" s="24" t="s">
        <v>253</v>
      </c>
      <c r="B31" s="32" t="n">
        <v>46227</v>
      </c>
      <c r="C31" s="33" t="n">
        <f aca="false">$B$3-B31</f>
        <v>2</v>
      </c>
      <c r="D31" s="24" t="s">
        <v>254</v>
      </c>
      <c r="E31" s="24" t="s">
        <v>232</v>
      </c>
      <c r="F31" s="24" t="s">
        <v>173</v>
      </c>
      <c r="G31" s="24" t="n">
        <v>19</v>
      </c>
      <c r="H31" s="34" t="n">
        <v>32357.97</v>
      </c>
      <c r="I31" s="34" t="n">
        <v>12699.76</v>
      </c>
      <c r="J31" s="14" t="n">
        <f aca="false">IFERROR((H31-I31)/H31,"")</f>
        <v>0.607522968838898</v>
      </c>
      <c r="K31" s="24" t="n">
        <v>1</v>
      </c>
      <c r="L31" s="33" t="str">
        <f aca="false">IF(K31=0,"Not started",IF(J31&gt;=0.9999,"Value complete","Partial"))</f>
        <v>Partial</v>
      </c>
      <c r="M31" s="33" t="str">
        <f aca="false">IF(AND(C31&gt;3,I31&gt;25000),"ESCALATE",IF(I31&gt;100000,"High value",IF(C31&gt;3,"Aged","Monitor")))</f>
        <v>Monitor</v>
      </c>
    </row>
    <row r="32" customFormat="false" ht="15" hidden="false" customHeight="false" outlineLevel="0" collapsed="false">
      <c r="A32" s="24" t="s">
        <v>183</v>
      </c>
      <c r="B32" s="32" t="n">
        <v>46226</v>
      </c>
      <c r="C32" s="33" t="n">
        <f aca="false">$B$3-B32</f>
        <v>3</v>
      </c>
      <c r="D32" s="24" t="s">
        <v>184</v>
      </c>
      <c r="E32" s="24" t="s">
        <v>184</v>
      </c>
      <c r="F32" s="24" t="s">
        <v>101</v>
      </c>
      <c r="G32" s="24" t="n">
        <v>80</v>
      </c>
      <c r="H32" s="34" t="n">
        <v>118458.74</v>
      </c>
      <c r="I32" s="34" t="n">
        <v>12420</v>
      </c>
      <c r="J32" s="14" t="n">
        <f aca="false">IFERROR((H32-I32)/H32,"")</f>
        <v>0.895153367324353</v>
      </c>
      <c r="K32" s="24" t="n">
        <v>1</v>
      </c>
      <c r="L32" s="33" t="str">
        <f aca="false">IF(K32=0,"Not started",IF(J32&gt;=0.9999,"Value complete","Partial"))</f>
        <v>Partial</v>
      </c>
      <c r="M32" s="33" t="str">
        <f aca="false">IF(AND(C32&gt;3,I32&gt;25000),"ESCALATE",IF(I32&gt;100000,"High value",IF(C32&gt;3,"Aged","Monitor")))</f>
        <v>Monitor</v>
      </c>
    </row>
    <row r="33" customFormat="false" ht="15" hidden="false" customHeight="false" outlineLevel="0" collapsed="false">
      <c r="A33" s="24" t="s">
        <v>255</v>
      </c>
      <c r="B33" s="32" t="n">
        <v>46227</v>
      </c>
      <c r="C33" s="33" t="n">
        <f aca="false">$B$3-B33</f>
        <v>2</v>
      </c>
      <c r="D33" s="24" t="s">
        <v>256</v>
      </c>
      <c r="E33" s="24" t="s">
        <v>256</v>
      </c>
      <c r="F33" s="24" t="s">
        <v>101</v>
      </c>
      <c r="G33" s="24" t="n">
        <v>12</v>
      </c>
      <c r="H33" s="34" t="n">
        <v>12420</v>
      </c>
      <c r="I33" s="34" t="n">
        <v>12420</v>
      </c>
      <c r="J33" s="14" t="n">
        <f aca="false">IFERROR((H33-I33)/H33,"")</f>
        <v>0</v>
      </c>
      <c r="K33" s="24" t="n">
        <v>0</v>
      </c>
      <c r="L33" s="33" t="str">
        <f aca="false">IF(K33=0,"Not started",IF(J33&gt;=0.9999,"Value complete","Partial"))</f>
        <v>Not started</v>
      </c>
      <c r="M33" s="33" t="str">
        <f aca="false">IF(AND(C33&gt;3,I33&gt;25000),"ESCALATE",IF(I33&gt;100000,"High value",IF(C33&gt;3,"Aged","Monitor")))</f>
        <v>Monitor</v>
      </c>
    </row>
    <row r="34" customFormat="false" ht="15" hidden="false" customHeight="false" outlineLevel="0" collapsed="false">
      <c r="A34" s="24" t="s">
        <v>257</v>
      </c>
      <c r="B34" s="32" t="n">
        <v>46227</v>
      </c>
      <c r="C34" s="33" t="n">
        <f aca="false">$B$3-B34</f>
        <v>2</v>
      </c>
      <c r="D34" s="24" t="s">
        <v>258</v>
      </c>
      <c r="E34" s="24" t="s">
        <v>176</v>
      </c>
      <c r="F34" s="24" t="s">
        <v>101</v>
      </c>
      <c r="G34" s="24" t="n">
        <v>14</v>
      </c>
      <c r="H34" s="34" t="n">
        <v>18022.59</v>
      </c>
      <c r="I34" s="34" t="n">
        <v>12420</v>
      </c>
      <c r="J34" s="14" t="n">
        <f aca="false">IFERROR((H34-I34)/H34,"")</f>
        <v>0.310864864594933</v>
      </c>
      <c r="K34" s="24" t="n">
        <v>1</v>
      </c>
      <c r="L34" s="33" t="str">
        <f aca="false">IF(K34=0,"Not started",IF(J34&gt;=0.9999,"Value complete","Partial"))</f>
        <v>Partial</v>
      </c>
      <c r="M34" s="33" t="str">
        <f aca="false">IF(AND(C34&gt;3,I34&gt;25000),"ESCALATE",IF(I34&gt;100000,"High value",IF(C34&gt;3,"Aged","Monitor")))</f>
        <v>Monitor</v>
      </c>
    </row>
    <row r="35" customFormat="false" ht="15" hidden="false" customHeight="false" outlineLevel="0" collapsed="false">
      <c r="A35" s="24" t="s">
        <v>259</v>
      </c>
      <c r="B35" s="32" t="n">
        <v>46227</v>
      </c>
      <c r="C35" s="33" t="n">
        <f aca="false">$B$3-B35</f>
        <v>2</v>
      </c>
      <c r="D35" s="24" t="s">
        <v>260</v>
      </c>
      <c r="E35" s="24" t="s">
        <v>232</v>
      </c>
      <c r="F35" s="24" t="s">
        <v>173</v>
      </c>
      <c r="G35" s="24" t="n">
        <v>36</v>
      </c>
      <c r="H35" s="34" t="n">
        <v>59197.33</v>
      </c>
      <c r="I35" s="34" t="n">
        <v>11978.57</v>
      </c>
      <c r="J35" s="14" t="n">
        <f aca="false">IFERROR((H35-I35)/H35,"")</f>
        <v>0.797650164289504</v>
      </c>
      <c r="K35" s="24" t="n">
        <v>1</v>
      </c>
      <c r="L35" s="33" t="str">
        <f aca="false">IF(K35=0,"Not started",IF(J35&gt;=0.9999,"Value complete","Partial"))</f>
        <v>Partial</v>
      </c>
      <c r="M35" s="33" t="str">
        <f aca="false">IF(AND(C35&gt;3,I35&gt;25000),"ESCALATE",IF(I35&gt;100000,"High value",IF(C35&gt;3,"Aged","Monitor")))</f>
        <v>Monitor</v>
      </c>
    </row>
    <row r="36" customFormat="false" ht="15" hidden="false" customHeight="false" outlineLevel="0" collapsed="false">
      <c r="A36" s="24" t="s">
        <v>261</v>
      </c>
      <c r="B36" s="32" t="n">
        <v>46227</v>
      </c>
      <c r="C36" s="33" t="n">
        <f aca="false">$B$3-B36</f>
        <v>2</v>
      </c>
      <c r="D36" s="24" t="s">
        <v>262</v>
      </c>
      <c r="E36" s="24" t="s">
        <v>262</v>
      </c>
      <c r="F36" s="24" t="s">
        <v>108</v>
      </c>
      <c r="G36" s="24" t="n">
        <v>66</v>
      </c>
      <c r="H36" s="34" t="n">
        <v>88662.38</v>
      </c>
      <c r="I36" s="34" t="n">
        <v>9590.5</v>
      </c>
      <c r="J36" s="14" t="n">
        <f aca="false">IFERROR((H36-I36)/H36,"")</f>
        <v>0.89183123665302</v>
      </c>
      <c r="K36" s="24" t="n">
        <v>2</v>
      </c>
      <c r="L36" s="33" t="str">
        <f aca="false">IF(K36=0,"Not started",IF(J36&gt;=0.9999,"Value complete","Partial"))</f>
        <v>Partial</v>
      </c>
      <c r="M36" s="33" t="str">
        <f aca="false">IF(AND(C36&gt;3,I36&gt;25000),"ESCALATE",IF(I36&gt;100000,"High value",IF(C36&gt;3,"Aged","Monitor")))</f>
        <v>Monitor</v>
      </c>
    </row>
    <row r="37" customFormat="false" ht="15" hidden="false" customHeight="false" outlineLevel="0" collapsed="false">
      <c r="A37" s="24" t="s">
        <v>263</v>
      </c>
      <c r="B37" s="32" t="n">
        <v>46227</v>
      </c>
      <c r="C37" s="33" t="n">
        <f aca="false">$B$3-B37</f>
        <v>2</v>
      </c>
      <c r="D37" s="24" t="s">
        <v>264</v>
      </c>
      <c r="E37" s="24" t="s">
        <v>232</v>
      </c>
      <c r="F37" s="24" t="s">
        <v>173</v>
      </c>
      <c r="G37" s="24" t="n">
        <v>15</v>
      </c>
      <c r="H37" s="34" t="n">
        <v>23352.65</v>
      </c>
      <c r="I37" s="34" t="n">
        <v>9029.32</v>
      </c>
      <c r="J37" s="14" t="n">
        <f aca="false">IFERROR((H37-I37)/H37,"")</f>
        <v>0.61334923445519</v>
      </c>
      <c r="K37" s="24" t="n">
        <v>1</v>
      </c>
      <c r="L37" s="33" t="str">
        <f aca="false">IF(K37=0,"Not started",IF(J37&gt;=0.9999,"Value complete","Partial"))</f>
        <v>Partial</v>
      </c>
      <c r="M37" s="33" t="str">
        <f aca="false">IF(AND(C37&gt;3,I37&gt;25000),"ESCALATE",IF(I37&gt;100000,"High value",IF(C37&gt;3,"Aged","Monitor")))</f>
        <v>Monitor</v>
      </c>
    </row>
    <row r="38" customFormat="false" ht="15" hidden="false" customHeight="false" outlineLevel="0" collapsed="false">
      <c r="A38" s="24" t="s">
        <v>265</v>
      </c>
      <c r="B38" s="32" t="n">
        <v>46227</v>
      </c>
      <c r="C38" s="33" t="n">
        <f aca="false">$B$3-B38</f>
        <v>2</v>
      </c>
      <c r="D38" s="24" t="s">
        <v>266</v>
      </c>
      <c r="E38" s="24" t="s">
        <v>266</v>
      </c>
      <c r="F38" s="24" t="s">
        <v>101</v>
      </c>
      <c r="G38" s="24" t="n">
        <v>26</v>
      </c>
      <c r="H38" s="34" t="n">
        <v>19679.1</v>
      </c>
      <c r="I38" s="34" t="n">
        <v>8567.99</v>
      </c>
      <c r="J38" s="14" t="n">
        <f aca="false">IFERROR((H38-I38)/H38,"")</f>
        <v>0.564614743560427</v>
      </c>
      <c r="K38" s="24" t="n">
        <v>1</v>
      </c>
      <c r="L38" s="33" t="str">
        <f aca="false">IF(K38=0,"Not started",IF(J38&gt;=0.9999,"Value complete","Partial"))</f>
        <v>Partial</v>
      </c>
      <c r="M38" s="33" t="str">
        <f aca="false">IF(AND(C38&gt;3,I38&gt;25000),"ESCALATE",IF(I38&gt;100000,"High value",IF(C38&gt;3,"Aged","Monitor")))</f>
        <v>Monitor</v>
      </c>
    </row>
    <row r="39" customFormat="false" ht="15" hidden="false" customHeight="false" outlineLevel="0" collapsed="false">
      <c r="A39" s="24" t="s">
        <v>267</v>
      </c>
      <c r="B39" s="32" t="n">
        <v>46227</v>
      </c>
      <c r="C39" s="33" t="n">
        <f aca="false">$B$3-B39</f>
        <v>2</v>
      </c>
      <c r="D39" s="24" t="s">
        <v>229</v>
      </c>
      <c r="E39" s="24" t="s">
        <v>229</v>
      </c>
      <c r="F39" s="24" t="s">
        <v>108</v>
      </c>
      <c r="G39" s="24" t="n">
        <v>6</v>
      </c>
      <c r="H39" s="34" t="n">
        <v>8100</v>
      </c>
      <c r="I39" s="34" t="n">
        <v>7200</v>
      </c>
      <c r="J39" s="14" t="n">
        <f aca="false">IFERROR((H39-I39)/H39,"")</f>
        <v>0.111111111111111</v>
      </c>
      <c r="K39" s="24" t="n">
        <v>1</v>
      </c>
      <c r="L39" s="33" t="str">
        <f aca="false">IF(K39=0,"Not started",IF(J39&gt;=0.9999,"Value complete","Partial"))</f>
        <v>Partial</v>
      </c>
      <c r="M39" s="33" t="str">
        <f aca="false">IF(AND(C39&gt;3,I39&gt;25000),"ESCALATE",IF(I39&gt;100000,"High value",IF(C39&gt;3,"Aged","Monitor")))</f>
        <v>Monitor</v>
      </c>
    </row>
    <row r="40" customFormat="false" ht="15" hidden="false" customHeight="false" outlineLevel="0" collapsed="false">
      <c r="A40" s="24" t="s">
        <v>268</v>
      </c>
      <c r="B40" s="32" t="n">
        <v>46227</v>
      </c>
      <c r="C40" s="33" t="n">
        <f aca="false">$B$3-B40</f>
        <v>2</v>
      </c>
      <c r="D40" s="24" t="s">
        <v>269</v>
      </c>
      <c r="E40" s="24" t="s">
        <v>269</v>
      </c>
      <c r="F40" s="24" t="s">
        <v>101</v>
      </c>
      <c r="G40" s="24" t="n">
        <v>349</v>
      </c>
      <c r="H40" s="34" t="n">
        <v>276969.31</v>
      </c>
      <c r="I40" s="34" t="n">
        <v>3582.62</v>
      </c>
      <c r="J40" s="14" t="n">
        <f aca="false">IFERROR((H40-I40)/H40,"")</f>
        <v>0.987064920658538</v>
      </c>
      <c r="K40" s="24" t="n">
        <v>1</v>
      </c>
      <c r="L40" s="33" t="str">
        <f aca="false">IF(K40=0,"Not started",IF(J40&gt;=0.9999,"Value complete","Partial"))</f>
        <v>Partial</v>
      </c>
      <c r="M40" s="33" t="str">
        <f aca="false">IF(AND(C40&gt;3,I40&gt;25000),"ESCALATE",IF(I40&gt;100000,"High value",IF(C40&gt;3,"Aged","Monitor")))</f>
        <v>Monitor</v>
      </c>
    </row>
    <row r="41" customFormat="false" ht="15" hidden="false" customHeight="false" outlineLevel="0" collapsed="false">
      <c r="A41" s="24" t="s">
        <v>270</v>
      </c>
      <c r="B41" s="32" t="n">
        <v>46227</v>
      </c>
      <c r="C41" s="33" t="n">
        <f aca="false">$B$3-B41</f>
        <v>2</v>
      </c>
      <c r="D41" s="24" t="s">
        <v>271</v>
      </c>
      <c r="E41" s="24" t="s">
        <v>271</v>
      </c>
      <c r="F41" s="24" t="s">
        <v>108</v>
      </c>
      <c r="G41" s="24" t="n">
        <v>25</v>
      </c>
      <c r="H41" s="34" t="n">
        <v>50460.28</v>
      </c>
      <c r="I41" s="34" t="n">
        <v>3563.38</v>
      </c>
      <c r="J41" s="14" t="n">
        <f aca="false">IFERROR((H41-I41)/H41,"")</f>
        <v>0.929382476672741</v>
      </c>
      <c r="K41" s="24" t="n">
        <v>1</v>
      </c>
      <c r="L41" s="33" t="str">
        <f aca="false">IF(K41=0,"Not started",IF(J41&gt;=0.9999,"Value complete","Partial"))</f>
        <v>Partial</v>
      </c>
      <c r="M41" s="33" t="str">
        <f aca="false">IF(AND(C41&gt;3,I41&gt;25000),"ESCALATE",IF(I41&gt;100000,"High value",IF(C41&gt;3,"Aged","Monitor")))</f>
        <v>Monitor</v>
      </c>
    </row>
    <row r="42" customFormat="false" ht="15" hidden="false" customHeight="false" outlineLevel="0" collapsed="false">
      <c r="A42" s="24" t="s">
        <v>272</v>
      </c>
      <c r="B42" s="32" t="n">
        <v>46228</v>
      </c>
      <c r="C42" s="33" t="n">
        <f aca="false">$B$3-B42</f>
        <v>1</v>
      </c>
      <c r="D42" s="24" t="s">
        <v>229</v>
      </c>
      <c r="E42" s="24" t="s">
        <v>229</v>
      </c>
      <c r="F42" s="24" t="s">
        <v>108</v>
      </c>
      <c r="G42" s="24" t="n">
        <v>49</v>
      </c>
      <c r="H42" s="34" t="n">
        <v>77552.22</v>
      </c>
      <c r="I42" s="34" t="n">
        <v>3500</v>
      </c>
      <c r="J42" s="14" t="n">
        <f aca="false">IFERROR((H42-I42)/H42,"")</f>
        <v>0.954869119156099</v>
      </c>
      <c r="K42" s="24" t="n">
        <v>1</v>
      </c>
      <c r="L42" s="33" t="str">
        <f aca="false">IF(K42=0,"Not started",IF(J42&gt;=0.9999,"Value complete","Partial"))</f>
        <v>Partial</v>
      </c>
      <c r="M42" s="33" t="str">
        <f aca="false">IF(AND(C42&gt;3,I42&gt;25000),"ESCALATE",IF(I42&gt;100000,"High value",IF(C42&gt;3,"Aged","Monitor")))</f>
        <v>Monitor</v>
      </c>
    </row>
    <row r="43" customFormat="false" ht="15" hidden="false" customHeight="false" outlineLevel="0" collapsed="false">
      <c r="A43" s="24" t="s">
        <v>185</v>
      </c>
      <c r="B43" s="32" t="n">
        <v>46226</v>
      </c>
      <c r="C43" s="33" t="n">
        <f aca="false">$B$3-B43</f>
        <v>3</v>
      </c>
      <c r="D43" s="24" t="s">
        <v>186</v>
      </c>
      <c r="E43" s="24" t="s">
        <v>172</v>
      </c>
      <c r="F43" s="24" t="s">
        <v>173</v>
      </c>
      <c r="G43" s="24" t="n">
        <v>10</v>
      </c>
      <c r="H43" s="34" t="n">
        <v>13501.07</v>
      </c>
      <c r="I43" s="34" t="n">
        <v>3328.45</v>
      </c>
      <c r="J43" s="14" t="n">
        <f aca="false">IFERROR((H43-I43)/H43,"")</f>
        <v>0.753467688116571</v>
      </c>
      <c r="K43" s="24" t="n">
        <v>2</v>
      </c>
      <c r="L43" s="33" t="str">
        <f aca="false">IF(K43=0,"Not started",IF(J43&gt;=0.9999,"Value complete","Partial"))</f>
        <v>Partial</v>
      </c>
      <c r="M43" s="33" t="str">
        <f aca="false">IF(AND(C43&gt;3,I43&gt;25000),"ESCALATE",IF(I43&gt;100000,"High value",IF(C43&gt;3,"Aged","Monitor")))</f>
        <v>Monitor</v>
      </c>
    </row>
    <row r="44" customFormat="false" ht="15" hidden="false" customHeight="false" outlineLevel="0" collapsed="false">
      <c r="A44" s="24" t="s">
        <v>187</v>
      </c>
      <c r="B44" s="32" t="n">
        <v>46226</v>
      </c>
      <c r="C44" s="33" t="n">
        <f aca="false">$B$3-B44</f>
        <v>3</v>
      </c>
      <c r="D44" s="24" t="s">
        <v>188</v>
      </c>
      <c r="E44" s="24" t="s">
        <v>172</v>
      </c>
      <c r="F44" s="24" t="s">
        <v>173</v>
      </c>
      <c r="G44" s="24" t="n">
        <v>198</v>
      </c>
      <c r="H44" s="34" t="n">
        <v>30455.17</v>
      </c>
      <c r="I44" s="34" t="n">
        <v>1448.28</v>
      </c>
      <c r="J44" s="14" t="n">
        <f aca="false">IFERROR((H44-I44)/H44,"")</f>
        <v>0.95244551253531</v>
      </c>
      <c r="K44" s="24" t="n">
        <v>2</v>
      </c>
      <c r="L44" s="33" t="str">
        <f aca="false">IF(K44=0,"Not started",IF(J44&gt;=0.9999,"Value complete","Partial"))</f>
        <v>Partial</v>
      </c>
      <c r="M44" s="33" t="str">
        <f aca="false">IF(AND(C44&gt;3,I44&gt;25000),"ESCALATE",IF(I44&gt;100000,"High value",IF(C44&gt;3,"Aged","Monitor")))</f>
        <v>Monitor</v>
      </c>
    </row>
    <row r="45" customFormat="false" ht="15" hidden="false" customHeight="false" outlineLevel="0" collapsed="false">
      <c r="A45" s="24" t="s">
        <v>273</v>
      </c>
      <c r="B45" s="32" t="n">
        <v>46227</v>
      </c>
      <c r="C45" s="33" t="n">
        <f aca="false">$B$3-B45</f>
        <v>2</v>
      </c>
      <c r="D45" s="24" t="s">
        <v>274</v>
      </c>
      <c r="E45" s="24" t="s">
        <v>274</v>
      </c>
      <c r="F45" s="24" t="s">
        <v>108</v>
      </c>
      <c r="G45" s="24" t="n">
        <v>10</v>
      </c>
      <c r="H45" s="34" t="n">
        <v>5247.73</v>
      </c>
      <c r="I45" s="34" t="n">
        <v>10</v>
      </c>
      <c r="J45" s="14" t="n">
        <f aca="false">IFERROR((H45-I45)/H45,"")</f>
        <v>0.998094414156216</v>
      </c>
      <c r="K45" s="24" t="n">
        <v>2</v>
      </c>
      <c r="L45" s="33" t="str">
        <f aca="false">IF(K45=0,"Not started",IF(J45&gt;=0.9999,"Value complete","Partial"))</f>
        <v>Partial</v>
      </c>
      <c r="M45" s="33" t="str">
        <f aca="false">IF(AND(C45&gt;3,I45&gt;25000),"ESCALATE",IF(I45&gt;100000,"High value",IF(C45&gt;3,"Aged","Monitor")))</f>
        <v>Monitor</v>
      </c>
    </row>
    <row r="46" customFormat="false" ht="15" hidden="false" customHeight="false" outlineLevel="0" collapsed="false">
      <c r="A46" s="19" t="s">
        <v>153</v>
      </c>
      <c r="B46" s="36"/>
      <c r="C46" s="36"/>
      <c r="D46" s="36"/>
      <c r="E46" s="36"/>
      <c r="F46" s="36"/>
      <c r="G46" s="20" t="n">
        <f aca="false">SUM(G6:G45)</f>
        <v>5901</v>
      </c>
      <c r="H46" s="21" t="n">
        <f aca="false">SUM(H6:H45)</f>
        <v>5127380.95</v>
      </c>
      <c r="I46" s="21" t="n">
        <f aca="false">SUM(I6:I45)</f>
        <v>2828510.37</v>
      </c>
      <c r="J46" s="22" t="n">
        <f aca="false">IFERROR((H46-I46)/H46,"")</f>
        <v>0.448351819850639</v>
      </c>
      <c r="K46" s="36"/>
      <c r="L46" s="36"/>
      <c r="M46" s="36"/>
    </row>
  </sheetData>
  <autoFilter ref="A5:M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4"/>
    <col collapsed="false" customWidth="true" hidden="false" outlineLevel="0" max="4" min="4" style="0" width="40"/>
    <col collapsed="false" customWidth="true" hidden="false" outlineLevel="0" max="5" min="5" style="0" width="28"/>
    <col collapsed="false" customWidth="true" hidden="false" outlineLevel="0" max="6" min="6" style="0" width="17"/>
    <col collapsed="false" customWidth="true" hidden="false" outlineLevel="0" max="7" min="7" style="0" width="16"/>
    <col collapsed="false" customWidth="true" hidden="false" outlineLevel="0" max="8" min="8" style="0" width="20"/>
    <col collapsed="false" customWidth="true" hidden="false" outlineLevel="0" max="9" min="9" style="0" width="16"/>
  </cols>
  <sheetData>
    <row r="1" customFormat="false" ht="17.35" hidden="false" customHeight="false" outlineLevel="0" collapsed="false">
      <c r="A1" s="1" t="s">
        <v>275</v>
      </c>
    </row>
    <row r="2" customFormat="false" ht="15" hidden="false" customHeight="false" outlineLevel="0" collapsed="false">
      <c r="A2" s="2" t="s">
        <v>276</v>
      </c>
    </row>
    <row r="5" customFormat="false" ht="30" hidden="false" customHeight="true" outlineLevel="0" collapsed="false">
      <c r="A5" s="3" t="s">
        <v>83</v>
      </c>
      <c r="B5" s="3" t="s">
        <v>84</v>
      </c>
      <c r="C5" s="3" t="s">
        <v>277</v>
      </c>
      <c r="D5" s="3" t="s">
        <v>89</v>
      </c>
      <c r="E5" s="3" t="s">
        <v>90</v>
      </c>
      <c r="F5" s="3" t="s">
        <v>91</v>
      </c>
      <c r="G5" s="3" t="s">
        <v>43</v>
      </c>
      <c r="H5" s="3" t="s">
        <v>44</v>
      </c>
      <c r="I5" s="3" t="s">
        <v>278</v>
      </c>
    </row>
    <row r="6" customFormat="false" ht="15" hidden="false" customHeight="false" outlineLevel="0" collapsed="false">
      <c r="A6" s="24" t="s">
        <v>279</v>
      </c>
      <c r="B6" s="32" t="n">
        <v>46213</v>
      </c>
      <c r="C6" s="24" t="n">
        <v>13</v>
      </c>
      <c r="D6" s="24" t="s">
        <v>231</v>
      </c>
      <c r="E6" s="24" t="s">
        <v>232</v>
      </c>
      <c r="F6" s="24" t="s">
        <v>173</v>
      </c>
      <c r="G6" s="34" t="n">
        <v>193337.3</v>
      </c>
      <c r="H6" s="34" t="n">
        <v>94472.29</v>
      </c>
      <c r="I6" s="37" t="n">
        <f aca="false">IFERROR((G6-H6)/G6,"")</f>
        <v>0.511360249677636</v>
      </c>
    </row>
    <row r="7" customFormat="false" ht="15" hidden="false" customHeight="false" outlineLevel="0" collapsed="false">
      <c r="A7" s="24" t="s">
        <v>280</v>
      </c>
      <c r="B7" s="32" t="n">
        <v>46223</v>
      </c>
      <c r="C7" s="24" t="n">
        <v>3</v>
      </c>
      <c r="D7" s="24" t="s">
        <v>281</v>
      </c>
      <c r="E7" s="24" t="s">
        <v>281</v>
      </c>
      <c r="F7" s="24" t="s">
        <v>101</v>
      </c>
      <c r="G7" s="34" t="n">
        <v>842970.73</v>
      </c>
      <c r="H7" s="34" t="n">
        <v>92770.72</v>
      </c>
      <c r="I7" s="37" t="n">
        <f aca="false">IFERROR((G7-H7)/G7,"")</f>
        <v>0.889947875177113</v>
      </c>
    </row>
    <row r="8" customFormat="false" ht="15" hidden="false" customHeight="false" outlineLevel="0" collapsed="false">
      <c r="A8" s="24" t="s">
        <v>282</v>
      </c>
      <c r="B8" s="32" t="n">
        <v>46213</v>
      </c>
      <c r="C8" s="24" t="n">
        <v>13</v>
      </c>
      <c r="D8" s="24" t="s">
        <v>283</v>
      </c>
      <c r="E8" s="24" t="s">
        <v>232</v>
      </c>
      <c r="F8" s="24" t="s">
        <v>173</v>
      </c>
      <c r="G8" s="34" t="n">
        <v>157062.68</v>
      </c>
      <c r="H8" s="34" t="n">
        <v>85936.8</v>
      </c>
      <c r="I8" s="37" t="n">
        <f aca="false">IFERROR((G8-H8)/G8,"")</f>
        <v>0.452850288814631</v>
      </c>
    </row>
    <row r="9" customFormat="false" ht="15" hidden="false" customHeight="false" outlineLevel="0" collapsed="false">
      <c r="A9" s="24" t="s">
        <v>284</v>
      </c>
      <c r="B9" s="32" t="n">
        <v>46213</v>
      </c>
      <c r="C9" s="24" t="n">
        <v>13</v>
      </c>
      <c r="D9" s="24" t="s">
        <v>285</v>
      </c>
      <c r="E9" s="24" t="s">
        <v>232</v>
      </c>
      <c r="F9" s="24" t="s">
        <v>173</v>
      </c>
      <c r="G9" s="34" t="n">
        <v>151791.69</v>
      </c>
      <c r="H9" s="34" t="n">
        <v>72864.28</v>
      </c>
      <c r="I9" s="37" t="n">
        <f aca="false">IFERROR((G9-H9)/G9,"")</f>
        <v>0.519971877248353</v>
      </c>
    </row>
    <row r="10" customFormat="false" ht="15" hidden="false" customHeight="false" outlineLevel="0" collapsed="false">
      <c r="A10" s="24" t="s">
        <v>286</v>
      </c>
      <c r="B10" s="32" t="n">
        <v>46213</v>
      </c>
      <c r="C10" s="24" t="n">
        <v>13</v>
      </c>
      <c r="D10" s="24" t="s">
        <v>287</v>
      </c>
      <c r="E10" s="24" t="s">
        <v>232</v>
      </c>
      <c r="F10" s="24" t="s">
        <v>173</v>
      </c>
      <c r="G10" s="34" t="n">
        <v>123528.38</v>
      </c>
      <c r="H10" s="34" t="n">
        <v>72472.52</v>
      </c>
      <c r="I10" s="37" t="n">
        <f aca="false">IFERROR((G10-H10)/G10,"")</f>
        <v>0.413312795003059</v>
      </c>
    </row>
    <row r="11" customFormat="false" ht="15" hidden="false" customHeight="false" outlineLevel="0" collapsed="false">
      <c r="A11" s="24" t="s">
        <v>288</v>
      </c>
      <c r="B11" s="32" t="n">
        <v>46213</v>
      </c>
      <c r="C11" s="24" t="n">
        <v>13</v>
      </c>
      <c r="D11" s="24" t="s">
        <v>289</v>
      </c>
      <c r="E11" s="24" t="s">
        <v>232</v>
      </c>
      <c r="F11" s="24" t="s">
        <v>173</v>
      </c>
      <c r="G11" s="34" t="n">
        <v>148325.31</v>
      </c>
      <c r="H11" s="34" t="n">
        <v>70744.52</v>
      </c>
      <c r="I11" s="37" t="n">
        <f aca="false">IFERROR((G11-H11)/G11,"")</f>
        <v>0.523044853235095</v>
      </c>
    </row>
    <row r="12" customFormat="false" ht="15" hidden="false" customHeight="false" outlineLevel="0" collapsed="false">
      <c r="A12" s="24" t="s">
        <v>290</v>
      </c>
      <c r="B12" s="32" t="n">
        <v>46213</v>
      </c>
      <c r="C12" s="24" t="n">
        <v>13</v>
      </c>
      <c r="D12" s="24" t="s">
        <v>291</v>
      </c>
      <c r="E12" s="24" t="s">
        <v>232</v>
      </c>
      <c r="F12" s="24" t="s">
        <v>173</v>
      </c>
      <c r="G12" s="34" t="n">
        <v>142850.14</v>
      </c>
      <c r="H12" s="34" t="n">
        <v>69457.45</v>
      </c>
      <c r="I12" s="37" t="n">
        <f aca="false">IFERROR((G12-H12)/G12,"")</f>
        <v>0.513774015202225</v>
      </c>
    </row>
    <row r="13" customFormat="false" ht="15" hidden="false" customHeight="false" outlineLevel="0" collapsed="false">
      <c r="A13" s="24" t="s">
        <v>292</v>
      </c>
      <c r="B13" s="32" t="n">
        <v>46213</v>
      </c>
      <c r="C13" s="24" t="n">
        <v>13</v>
      </c>
      <c r="D13" s="24" t="s">
        <v>293</v>
      </c>
      <c r="E13" s="24" t="s">
        <v>232</v>
      </c>
      <c r="F13" s="24" t="s">
        <v>173</v>
      </c>
      <c r="G13" s="34" t="n">
        <v>104301.95</v>
      </c>
      <c r="H13" s="34" t="n">
        <v>68926.51</v>
      </c>
      <c r="I13" s="37" t="n">
        <f aca="false">IFERROR((G13-H13)/G13,"")</f>
        <v>0.339163745260755</v>
      </c>
    </row>
    <row r="14" customFormat="false" ht="15" hidden="false" customHeight="false" outlineLevel="0" collapsed="false">
      <c r="A14" s="24" t="s">
        <v>294</v>
      </c>
      <c r="B14" s="32" t="n">
        <v>46213</v>
      </c>
      <c r="C14" s="24" t="n">
        <v>13</v>
      </c>
      <c r="D14" s="24" t="s">
        <v>295</v>
      </c>
      <c r="E14" s="24" t="s">
        <v>232</v>
      </c>
      <c r="F14" s="24" t="s">
        <v>173</v>
      </c>
      <c r="G14" s="34" t="n">
        <v>99131.63</v>
      </c>
      <c r="H14" s="34" t="n">
        <v>49312.97</v>
      </c>
      <c r="I14" s="37" t="n">
        <f aca="false">IFERROR((G14-H14)/G14,"")</f>
        <v>0.502550598633353</v>
      </c>
    </row>
    <row r="15" customFormat="false" ht="15" hidden="false" customHeight="false" outlineLevel="0" collapsed="false">
      <c r="A15" s="24" t="s">
        <v>296</v>
      </c>
      <c r="B15" s="32" t="n">
        <v>46213</v>
      </c>
      <c r="C15" s="24" t="n">
        <v>13</v>
      </c>
      <c r="D15" s="24" t="s">
        <v>297</v>
      </c>
      <c r="E15" s="24" t="s">
        <v>232</v>
      </c>
      <c r="F15" s="24" t="s">
        <v>173</v>
      </c>
      <c r="G15" s="34" t="n">
        <v>98961.71</v>
      </c>
      <c r="H15" s="34" t="n">
        <v>47526.68</v>
      </c>
      <c r="I15" s="37" t="n">
        <f aca="false">IFERROR((G15-H15)/G15,"")</f>
        <v>0.519746778829913</v>
      </c>
    </row>
    <row r="16" customFormat="false" ht="15" hidden="false" customHeight="false" outlineLevel="0" collapsed="false">
      <c r="A16" s="24" t="s">
        <v>298</v>
      </c>
      <c r="B16" s="32" t="n">
        <v>46213</v>
      </c>
      <c r="C16" s="24" t="n">
        <v>13</v>
      </c>
      <c r="D16" s="24" t="s">
        <v>250</v>
      </c>
      <c r="E16" s="24" t="s">
        <v>232</v>
      </c>
      <c r="F16" s="24" t="s">
        <v>173</v>
      </c>
      <c r="G16" s="34" t="n">
        <v>104706.21</v>
      </c>
      <c r="H16" s="34" t="n">
        <v>43254.82</v>
      </c>
      <c r="I16" s="37" t="n">
        <f aca="false">IFERROR((G16-H16)/G16,"")</f>
        <v>0.586893461237877</v>
      </c>
    </row>
    <row r="17" customFormat="false" ht="15" hidden="false" customHeight="false" outlineLevel="0" collapsed="false">
      <c r="A17" s="24" t="s">
        <v>299</v>
      </c>
      <c r="B17" s="32" t="n">
        <v>46213</v>
      </c>
      <c r="C17" s="24" t="n">
        <v>13</v>
      </c>
      <c r="D17" s="24" t="s">
        <v>300</v>
      </c>
      <c r="E17" s="24" t="s">
        <v>232</v>
      </c>
      <c r="F17" s="24" t="s">
        <v>173</v>
      </c>
      <c r="G17" s="34" t="n">
        <v>93882.4</v>
      </c>
      <c r="H17" s="34" t="n">
        <v>41748.85</v>
      </c>
      <c r="I17" s="37" t="n">
        <f aca="false">IFERROR((G17-H17)/G17,"")</f>
        <v>0.555306958492753</v>
      </c>
    </row>
    <row r="18" customFormat="false" ht="15" hidden="false" customHeight="false" outlineLevel="0" collapsed="false">
      <c r="A18" s="24" t="s">
        <v>301</v>
      </c>
      <c r="B18" s="32" t="n">
        <v>46213</v>
      </c>
      <c r="C18" s="24" t="n">
        <v>13</v>
      </c>
      <c r="D18" s="24" t="s">
        <v>252</v>
      </c>
      <c r="E18" s="24" t="s">
        <v>232</v>
      </c>
      <c r="F18" s="24" t="s">
        <v>173</v>
      </c>
      <c r="G18" s="34" t="n">
        <v>95272.24</v>
      </c>
      <c r="H18" s="34" t="n">
        <v>39668.28</v>
      </c>
      <c r="I18" s="37" t="n">
        <f aca="false">IFERROR((G18-H18)/G18,"")</f>
        <v>0.583632336134849</v>
      </c>
    </row>
    <row r="19" customFormat="false" ht="15" hidden="false" customHeight="false" outlineLevel="0" collapsed="false">
      <c r="A19" s="24" t="s">
        <v>302</v>
      </c>
      <c r="B19" s="32" t="n">
        <v>46213</v>
      </c>
      <c r="C19" s="24" t="n">
        <v>13</v>
      </c>
      <c r="D19" s="24" t="s">
        <v>236</v>
      </c>
      <c r="E19" s="24" t="s">
        <v>232</v>
      </c>
      <c r="F19" s="24" t="s">
        <v>173</v>
      </c>
      <c r="G19" s="34" t="n">
        <v>64175.4</v>
      </c>
      <c r="H19" s="34" t="n">
        <v>39412.2</v>
      </c>
      <c r="I19" s="37" t="n">
        <f aca="false">IFERROR((G19-H19)/G19,"")</f>
        <v>0.385867481932329</v>
      </c>
    </row>
    <row r="20" customFormat="false" ht="15" hidden="false" customHeight="false" outlineLevel="0" collapsed="false">
      <c r="A20" s="24" t="s">
        <v>303</v>
      </c>
      <c r="B20" s="32" t="n">
        <v>46213</v>
      </c>
      <c r="C20" s="24" t="n">
        <v>13</v>
      </c>
      <c r="D20" s="24" t="s">
        <v>244</v>
      </c>
      <c r="E20" s="24" t="s">
        <v>232</v>
      </c>
      <c r="F20" s="24" t="s">
        <v>173</v>
      </c>
      <c r="G20" s="34" t="n">
        <v>84837.94</v>
      </c>
      <c r="H20" s="34" t="n">
        <v>39392.84</v>
      </c>
      <c r="I20" s="37" t="n">
        <f aca="false">IFERROR((G20-H20)/G20,"")</f>
        <v>0.535669536530472</v>
      </c>
    </row>
    <row r="21" customFormat="false" ht="15" hidden="false" customHeight="false" outlineLevel="0" collapsed="false">
      <c r="A21" s="24" t="s">
        <v>304</v>
      </c>
      <c r="B21" s="32" t="n">
        <v>46213</v>
      </c>
      <c r="C21" s="24" t="n">
        <v>13</v>
      </c>
      <c r="D21" s="24" t="s">
        <v>305</v>
      </c>
      <c r="E21" s="24" t="s">
        <v>232</v>
      </c>
      <c r="F21" s="24" t="s">
        <v>173</v>
      </c>
      <c r="G21" s="34" t="n">
        <v>48315.75</v>
      </c>
      <c r="H21" s="34" t="n">
        <v>37356.43</v>
      </c>
      <c r="I21" s="37" t="n">
        <f aca="false">IFERROR((G21-H21)/G21,"")</f>
        <v>0.226827069847824</v>
      </c>
    </row>
    <row r="22" customFormat="false" ht="15" hidden="false" customHeight="false" outlineLevel="0" collapsed="false">
      <c r="A22" s="24" t="s">
        <v>306</v>
      </c>
      <c r="B22" s="32" t="n">
        <v>46213</v>
      </c>
      <c r="C22" s="24" t="n">
        <v>13</v>
      </c>
      <c r="D22" s="24" t="s">
        <v>260</v>
      </c>
      <c r="E22" s="24" t="s">
        <v>232</v>
      </c>
      <c r="F22" s="24" t="s">
        <v>173</v>
      </c>
      <c r="G22" s="34" t="n">
        <v>85405.08</v>
      </c>
      <c r="H22" s="34" t="n">
        <v>34941.45</v>
      </c>
      <c r="I22" s="37" t="n">
        <f aca="false">IFERROR((G22-H22)/G22,"")</f>
        <v>0.59087386839284</v>
      </c>
    </row>
    <row r="23" customFormat="false" ht="15" hidden="false" customHeight="false" outlineLevel="0" collapsed="false">
      <c r="A23" s="24" t="s">
        <v>307</v>
      </c>
      <c r="B23" s="32" t="n">
        <v>46219</v>
      </c>
      <c r="C23" s="24" t="n">
        <v>7</v>
      </c>
      <c r="D23" s="24" t="s">
        <v>308</v>
      </c>
      <c r="E23" s="24" t="s">
        <v>200</v>
      </c>
      <c r="F23" s="24" t="s">
        <v>117</v>
      </c>
      <c r="G23" s="34" t="n">
        <v>46396.55</v>
      </c>
      <c r="H23" s="34" t="n">
        <v>33082.76</v>
      </c>
      <c r="I23" s="37" t="n">
        <f aca="false">IFERROR((G23-H23)/G23,"")</f>
        <v>0.286956465513061</v>
      </c>
    </row>
    <row r="24" customFormat="false" ht="15" hidden="false" customHeight="false" outlineLevel="0" collapsed="false">
      <c r="A24" s="24" t="s">
        <v>309</v>
      </c>
      <c r="B24" s="32" t="n">
        <v>46213</v>
      </c>
      <c r="C24" s="24" t="n">
        <v>13</v>
      </c>
      <c r="D24" s="24" t="s">
        <v>310</v>
      </c>
      <c r="E24" s="24" t="s">
        <v>232</v>
      </c>
      <c r="F24" s="24" t="s">
        <v>173</v>
      </c>
      <c r="G24" s="34" t="n">
        <v>69951.17</v>
      </c>
      <c r="H24" s="34" t="n">
        <v>32752.19</v>
      </c>
      <c r="I24" s="37" t="n">
        <f aca="false">IFERROR((G24-H24)/G24,"")</f>
        <v>0.53178495799284</v>
      </c>
    </row>
    <row r="25" customFormat="false" ht="15" hidden="false" customHeight="false" outlineLevel="0" collapsed="false">
      <c r="A25" s="24" t="s">
        <v>311</v>
      </c>
      <c r="B25" s="32" t="n">
        <v>46213</v>
      </c>
      <c r="C25" s="24" t="n">
        <v>13</v>
      </c>
      <c r="D25" s="24" t="s">
        <v>264</v>
      </c>
      <c r="E25" s="24" t="s">
        <v>232</v>
      </c>
      <c r="F25" s="24" t="s">
        <v>173</v>
      </c>
      <c r="G25" s="34" t="n">
        <v>62004</v>
      </c>
      <c r="H25" s="34" t="n">
        <v>32404.35</v>
      </c>
      <c r="I25" s="37" t="n">
        <f aca="false">IFERROR((G25-H25)/G25,"")</f>
        <v>0.47738291077995</v>
      </c>
    </row>
    <row r="26" customFormat="false" ht="15" hidden="false" customHeight="false" outlineLevel="0" collapsed="false">
      <c r="A26" s="24" t="s">
        <v>312</v>
      </c>
      <c r="B26" s="32" t="n">
        <v>46213</v>
      </c>
      <c r="C26" s="24" t="n">
        <v>13</v>
      </c>
      <c r="D26" s="24" t="s">
        <v>313</v>
      </c>
      <c r="E26" s="24" t="s">
        <v>232</v>
      </c>
      <c r="F26" s="24" t="s">
        <v>173</v>
      </c>
      <c r="G26" s="34" t="n">
        <v>73456.54</v>
      </c>
      <c r="H26" s="34" t="n">
        <v>30718.67</v>
      </c>
      <c r="I26" s="37" t="n">
        <f aca="false">IFERROR((G26-H26)/G26,"")</f>
        <v>0.581811639916609</v>
      </c>
    </row>
    <row r="27" customFormat="false" ht="15" hidden="false" customHeight="false" outlineLevel="0" collapsed="false">
      <c r="A27" s="24" t="s">
        <v>314</v>
      </c>
      <c r="B27" s="32" t="n">
        <v>46219</v>
      </c>
      <c r="C27" s="24" t="n">
        <v>7</v>
      </c>
      <c r="D27" s="24" t="s">
        <v>206</v>
      </c>
      <c r="E27" s="24" t="s">
        <v>200</v>
      </c>
      <c r="F27" s="24" t="s">
        <v>117</v>
      </c>
      <c r="G27" s="34" t="n">
        <v>30510.31</v>
      </c>
      <c r="H27" s="34" t="n">
        <v>30510.31</v>
      </c>
      <c r="I27" s="37" t="n">
        <f aca="false">IFERROR((G27-H27)/G27,"")</f>
        <v>0</v>
      </c>
    </row>
    <row r="28" customFormat="false" ht="15" hidden="false" customHeight="false" outlineLevel="0" collapsed="false">
      <c r="A28" s="24" t="s">
        <v>315</v>
      </c>
      <c r="B28" s="32" t="n">
        <v>46223</v>
      </c>
      <c r="C28" s="24" t="n">
        <v>3</v>
      </c>
      <c r="D28" s="24" t="s">
        <v>115</v>
      </c>
      <c r="E28" s="24" t="s">
        <v>116</v>
      </c>
      <c r="F28" s="24" t="s">
        <v>117</v>
      </c>
      <c r="G28" s="34" t="n">
        <v>30510.31</v>
      </c>
      <c r="H28" s="34" t="n">
        <v>30510.31</v>
      </c>
      <c r="I28" s="37" t="n">
        <f aca="false">IFERROR((G28-H28)/G28,"")</f>
        <v>0</v>
      </c>
    </row>
    <row r="29" customFormat="false" ht="15" hidden="false" customHeight="false" outlineLevel="0" collapsed="false">
      <c r="A29" s="24" t="s">
        <v>316</v>
      </c>
      <c r="B29" s="32" t="n">
        <v>46213</v>
      </c>
      <c r="C29" s="24" t="n">
        <v>13</v>
      </c>
      <c r="D29" s="24" t="s">
        <v>317</v>
      </c>
      <c r="E29" s="24" t="s">
        <v>232</v>
      </c>
      <c r="F29" s="24" t="s">
        <v>173</v>
      </c>
      <c r="G29" s="34" t="n">
        <v>57073.7</v>
      </c>
      <c r="H29" s="34" t="n">
        <v>28625.65</v>
      </c>
      <c r="I29" s="37" t="n">
        <f aca="false">IFERROR((G29-H29)/G29,"")</f>
        <v>0.49844411699259</v>
      </c>
    </row>
    <row r="30" customFormat="false" ht="15" hidden="false" customHeight="false" outlineLevel="0" collapsed="false">
      <c r="A30" s="24" t="s">
        <v>318</v>
      </c>
      <c r="B30" s="32" t="n">
        <v>46205</v>
      </c>
      <c r="C30" s="24" t="n">
        <v>21</v>
      </c>
      <c r="D30" s="24" t="s">
        <v>319</v>
      </c>
      <c r="E30" s="24" t="s">
        <v>319</v>
      </c>
      <c r="F30" s="24" t="s">
        <v>108</v>
      </c>
      <c r="G30" s="34" t="n">
        <v>63046.55</v>
      </c>
      <c r="H30" s="34" t="n">
        <v>25350</v>
      </c>
      <c r="I30" s="37" t="n">
        <f aca="false">IFERROR((G30-H30)/G30,"")</f>
        <v>0.597916142913451</v>
      </c>
    </row>
    <row r="31" customFormat="false" ht="15" hidden="false" customHeight="false" outlineLevel="0" collapsed="false">
      <c r="A31" s="24" t="s">
        <v>320</v>
      </c>
      <c r="B31" s="32" t="n">
        <v>46213</v>
      </c>
      <c r="C31" s="24" t="n">
        <v>13</v>
      </c>
      <c r="D31" s="24" t="s">
        <v>321</v>
      </c>
      <c r="E31" s="24" t="s">
        <v>172</v>
      </c>
      <c r="F31" s="24" t="s">
        <v>173</v>
      </c>
      <c r="G31" s="34" t="n">
        <v>77230.12</v>
      </c>
      <c r="H31" s="34" t="n">
        <v>25199.49</v>
      </c>
      <c r="I31" s="37" t="n">
        <f aca="false">IFERROR((G31-H31)/G31,"")</f>
        <v>0.673709039944519</v>
      </c>
    </row>
    <row r="32" customFormat="false" ht="15" hidden="false" customHeight="false" outlineLevel="0" collapsed="false">
      <c r="A32" s="24" t="s">
        <v>322</v>
      </c>
      <c r="B32" s="32" t="n">
        <v>46213</v>
      </c>
      <c r="C32" s="24" t="n">
        <v>13</v>
      </c>
      <c r="D32" s="24" t="s">
        <v>323</v>
      </c>
      <c r="E32" s="24" t="s">
        <v>172</v>
      </c>
      <c r="F32" s="24" t="s">
        <v>173</v>
      </c>
      <c r="G32" s="34" t="n">
        <v>68621.54</v>
      </c>
      <c r="H32" s="34" t="n">
        <v>25199.49</v>
      </c>
      <c r="I32" s="37" t="n">
        <f aca="false">IFERROR((G32-H32)/G32,"")</f>
        <v>0.632775801883782</v>
      </c>
    </row>
    <row r="33" customFormat="false" ht="15" hidden="false" customHeight="false" outlineLevel="0" collapsed="false">
      <c r="A33" s="24" t="s">
        <v>324</v>
      </c>
      <c r="B33" s="32" t="n">
        <v>46219</v>
      </c>
      <c r="C33" s="24" t="n">
        <v>7</v>
      </c>
      <c r="D33" s="24" t="s">
        <v>325</v>
      </c>
      <c r="E33" s="24" t="s">
        <v>200</v>
      </c>
      <c r="F33" s="24" t="s">
        <v>117</v>
      </c>
      <c r="G33" s="34" t="n">
        <v>24812.07</v>
      </c>
      <c r="H33" s="34" t="n">
        <v>24812.07</v>
      </c>
      <c r="I33" s="37" t="n">
        <f aca="false">IFERROR((G33-H33)/G33,"")</f>
        <v>0</v>
      </c>
    </row>
    <row r="34" customFormat="false" ht="15" hidden="false" customHeight="false" outlineLevel="0" collapsed="false">
      <c r="A34" s="24" t="s">
        <v>326</v>
      </c>
      <c r="B34" s="32" t="n">
        <v>46213</v>
      </c>
      <c r="C34" s="24" t="n">
        <v>13</v>
      </c>
      <c r="D34" s="24" t="s">
        <v>254</v>
      </c>
      <c r="E34" s="24" t="s">
        <v>232</v>
      </c>
      <c r="F34" s="24" t="s">
        <v>173</v>
      </c>
      <c r="G34" s="34" t="n">
        <v>52220.63</v>
      </c>
      <c r="H34" s="34" t="n">
        <v>23262.37</v>
      </c>
      <c r="I34" s="37" t="n">
        <f aca="false">IFERROR((G34-H34)/G34,"")</f>
        <v>0.554536779812882</v>
      </c>
    </row>
    <row r="35" customFormat="false" ht="15" hidden="false" customHeight="false" outlineLevel="0" collapsed="false">
      <c r="A35" s="24" t="s">
        <v>327</v>
      </c>
      <c r="B35" s="32" t="n">
        <v>46211</v>
      </c>
      <c r="C35" s="24" t="n">
        <v>15</v>
      </c>
      <c r="D35" s="24" t="s">
        <v>319</v>
      </c>
      <c r="E35" s="24" t="s">
        <v>319</v>
      </c>
      <c r="F35" s="24" t="s">
        <v>108</v>
      </c>
      <c r="G35" s="34" t="n">
        <v>39362.16</v>
      </c>
      <c r="H35" s="34" t="n">
        <v>19500</v>
      </c>
      <c r="I35" s="37" t="n">
        <f aca="false">IFERROR((G35-H35)/G35,"")</f>
        <v>0.504600357297465</v>
      </c>
    </row>
    <row r="36" customFormat="false" ht="15" hidden="false" customHeight="false" outlineLevel="0" collapsed="false">
      <c r="A36" s="24" t="s">
        <v>328</v>
      </c>
      <c r="B36" s="32" t="n">
        <v>46213</v>
      </c>
      <c r="C36" s="24" t="n">
        <v>13</v>
      </c>
      <c r="D36" s="24" t="s">
        <v>329</v>
      </c>
      <c r="E36" s="24" t="s">
        <v>329</v>
      </c>
      <c r="F36" s="24" t="s">
        <v>173</v>
      </c>
      <c r="G36" s="34" t="n">
        <v>173810.56</v>
      </c>
      <c r="H36" s="34" t="n">
        <v>16835.19</v>
      </c>
      <c r="I36" s="37" t="n">
        <f aca="false">IFERROR((G36-H36)/G36,"")</f>
        <v>0.903140580181089</v>
      </c>
    </row>
    <row r="37" customFormat="false" ht="15" hidden="false" customHeight="false" outlineLevel="0" collapsed="false">
      <c r="A37" s="24" t="s">
        <v>330</v>
      </c>
      <c r="B37" s="32" t="n">
        <v>46218</v>
      </c>
      <c r="C37" s="24" t="n">
        <v>8</v>
      </c>
      <c r="D37" s="24" t="s">
        <v>331</v>
      </c>
      <c r="E37" s="24" t="s">
        <v>200</v>
      </c>
      <c r="F37" s="24" t="s">
        <v>117</v>
      </c>
      <c r="G37" s="34" t="n">
        <v>16541.38</v>
      </c>
      <c r="H37" s="34" t="n">
        <v>16541.38</v>
      </c>
      <c r="I37" s="37" t="n">
        <f aca="false">IFERROR((G37-H37)/G37,"")</f>
        <v>0</v>
      </c>
    </row>
    <row r="38" customFormat="false" ht="15" hidden="false" customHeight="false" outlineLevel="0" collapsed="false">
      <c r="A38" s="24" t="s">
        <v>332</v>
      </c>
      <c r="B38" s="32" t="n">
        <v>46218</v>
      </c>
      <c r="C38" s="24" t="n">
        <v>8</v>
      </c>
      <c r="D38" s="24" t="s">
        <v>333</v>
      </c>
      <c r="E38" s="24" t="s">
        <v>200</v>
      </c>
      <c r="F38" s="24" t="s">
        <v>117</v>
      </c>
      <c r="G38" s="34" t="n">
        <v>16541.38</v>
      </c>
      <c r="H38" s="34" t="n">
        <v>16541.38</v>
      </c>
      <c r="I38" s="37" t="n">
        <f aca="false">IFERROR((G38-H38)/G38,"")</f>
        <v>0</v>
      </c>
    </row>
    <row r="39" customFormat="false" ht="15" hidden="false" customHeight="false" outlineLevel="0" collapsed="false">
      <c r="A39" s="24" t="s">
        <v>334</v>
      </c>
      <c r="B39" s="32" t="n">
        <v>46224</v>
      </c>
      <c r="C39" s="24" t="n">
        <v>2</v>
      </c>
      <c r="D39" s="24" t="s">
        <v>335</v>
      </c>
      <c r="E39" s="24" t="s">
        <v>335</v>
      </c>
      <c r="F39" s="24" t="s">
        <v>108</v>
      </c>
      <c r="G39" s="34" t="n">
        <v>74210.05</v>
      </c>
      <c r="H39" s="34" t="n">
        <v>13965.51</v>
      </c>
      <c r="I39" s="37" t="n">
        <f aca="false">IFERROR((G39-H39)/G39,"")</f>
        <v>0.811811068716434</v>
      </c>
    </row>
    <row r="40" customFormat="false" ht="15" hidden="false" customHeight="false" outlineLevel="0" collapsed="false">
      <c r="A40" s="24" t="s">
        <v>336</v>
      </c>
      <c r="B40" s="32" t="n">
        <v>46213</v>
      </c>
      <c r="C40" s="24" t="n">
        <v>13</v>
      </c>
      <c r="D40" s="24" t="s">
        <v>321</v>
      </c>
      <c r="E40" s="24" t="s">
        <v>172</v>
      </c>
      <c r="F40" s="24" t="s">
        <v>173</v>
      </c>
      <c r="G40" s="34" t="n">
        <v>64568.27</v>
      </c>
      <c r="H40" s="34" t="n">
        <v>12827.58</v>
      </c>
      <c r="I40" s="37" t="n">
        <f aca="false">IFERROR((G40-H40)/G40,"")</f>
        <v>0.801333069633119</v>
      </c>
    </row>
    <row r="41" customFormat="false" ht="15" hidden="false" customHeight="false" outlineLevel="0" collapsed="false">
      <c r="A41" s="24" t="s">
        <v>337</v>
      </c>
      <c r="B41" s="32" t="n">
        <v>46213</v>
      </c>
      <c r="C41" s="24" t="n">
        <v>13</v>
      </c>
      <c r="D41" s="24" t="s">
        <v>323</v>
      </c>
      <c r="E41" s="24" t="s">
        <v>172</v>
      </c>
      <c r="F41" s="24" t="s">
        <v>173</v>
      </c>
      <c r="G41" s="34" t="n">
        <v>54531.06</v>
      </c>
      <c r="H41" s="34" t="n">
        <v>12496.56</v>
      </c>
      <c r="I41" s="37" t="n">
        <f aca="false">IFERROR((G41-H41)/G41,"")</f>
        <v>0.770835923600238</v>
      </c>
    </row>
    <row r="42" customFormat="false" ht="15" hidden="false" customHeight="false" outlineLevel="0" collapsed="false">
      <c r="A42" s="24" t="s">
        <v>338</v>
      </c>
      <c r="B42" s="32" t="n">
        <v>46213</v>
      </c>
      <c r="C42" s="24" t="n">
        <v>13</v>
      </c>
      <c r="D42" s="24" t="s">
        <v>323</v>
      </c>
      <c r="E42" s="24" t="s">
        <v>172</v>
      </c>
      <c r="F42" s="24" t="s">
        <v>173</v>
      </c>
      <c r="G42" s="34" t="n">
        <v>95834.81</v>
      </c>
      <c r="H42" s="34" t="n">
        <v>12270.66</v>
      </c>
      <c r="I42" s="37" t="n">
        <f aca="false">IFERROR((G42-H42)/G42,"")</f>
        <v>0.8719603033595</v>
      </c>
    </row>
    <row r="43" customFormat="false" ht="15" hidden="false" customHeight="false" outlineLevel="0" collapsed="false">
      <c r="A43" s="24" t="s">
        <v>339</v>
      </c>
      <c r="B43" s="32" t="n">
        <v>46219</v>
      </c>
      <c r="C43" s="24" t="n">
        <v>7</v>
      </c>
      <c r="D43" s="24" t="s">
        <v>340</v>
      </c>
      <c r="E43" s="24" t="s">
        <v>340</v>
      </c>
      <c r="F43" s="24" t="s">
        <v>108</v>
      </c>
      <c r="G43" s="34" t="n">
        <v>26767.46</v>
      </c>
      <c r="H43" s="34" t="n">
        <v>9310.56</v>
      </c>
      <c r="I43" s="37" t="n">
        <f aca="false">IFERROR((G43-H43)/G43,"")</f>
        <v>0.652168715298351</v>
      </c>
    </row>
    <row r="44" customFormat="false" ht="15" hidden="false" customHeight="false" outlineLevel="0" collapsed="false">
      <c r="A44" s="24" t="s">
        <v>341</v>
      </c>
      <c r="B44" s="32" t="n">
        <v>46213</v>
      </c>
      <c r="C44" s="24" t="n">
        <v>13</v>
      </c>
      <c r="D44" s="24" t="s">
        <v>323</v>
      </c>
      <c r="E44" s="24" t="s">
        <v>172</v>
      </c>
      <c r="F44" s="24" t="s">
        <v>173</v>
      </c>
      <c r="G44" s="34" t="n">
        <v>50723.34</v>
      </c>
      <c r="H44" s="34" t="n">
        <v>8952.83</v>
      </c>
      <c r="I44" s="37" t="n">
        <f aca="false">IFERROR((G44-H44)/G44,"")</f>
        <v>0.823496835973341</v>
      </c>
    </row>
    <row r="45" customFormat="false" ht="15" hidden="false" customHeight="false" outlineLevel="0" collapsed="false">
      <c r="A45" s="24" t="s">
        <v>342</v>
      </c>
      <c r="B45" s="32" t="n">
        <v>46213</v>
      </c>
      <c r="C45" s="24" t="n">
        <v>13</v>
      </c>
      <c r="D45" s="24" t="s">
        <v>343</v>
      </c>
      <c r="E45" s="24" t="s">
        <v>172</v>
      </c>
      <c r="F45" s="24" t="s">
        <v>173</v>
      </c>
      <c r="G45" s="34" t="n">
        <v>31025.69</v>
      </c>
      <c r="H45" s="34" t="n">
        <v>8631.2</v>
      </c>
      <c r="I45" s="37" t="n">
        <f aca="false">IFERROR((G45-H45)/G45,"")</f>
        <v>0.721804736655333</v>
      </c>
    </row>
    <row r="46" customFormat="false" ht="15" hidden="false" customHeight="false" outlineLevel="0" collapsed="false">
      <c r="A46" s="24" t="s">
        <v>344</v>
      </c>
      <c r="B46" s="32" t="n">
        <v>46213</v>
      </c>
      <c r="C46" s="24" t="n">
        <v>13</v>
      </c>
      <c r="D46" s="24" t="s">
        <v>321</v>
      </c>
      <c r="E46" s="24" t="s">
        <v>172</v>
      </c>
      <c r="F46" s="24" t="s">
        <v>173</v>
      </c>
      <c r="G46" s="34" t="n">
        <v>93268.94</v>
      </c>
      <c r="H46" s="34" t="n">
        <v>6502.19</v>
      </c>
      <c r="I46" s="37" t="n">
        <f aca="false">IFERROR((G46-H46)/G46,"")</f>
        <v>0.930285580601645</v>
      </c>
    </row>
    <row r="47" customFormat="false" ht="15" hidden="false" customHeight="false" outlineLevel="0" collapsed="false">
      <c r="A47" s="24" t="s">
        <v>345</v>
      </c>
      <c r="B47" s="32" t="n">
        <v>46210</v>
      </c>
      <c r="C47" s="24" t="n">
        <v>16</v>
      </c>
      <c r="D47" s="24" t="s">
        <v>346</v>
      </c>
      <c r="E47" s="24" t="s">
        <v>346</v>
      </c>
      <c r="F47" s="24" t="s">
        <v>108</v>
      </c>
      <c r="G47" s="34" t="n">
        <v>68124.84</v>
      </c>
      <c r="H47" s="34" t="n">
        <v>6350</v>
      </c>
      <c r="I47" s="37" t="n">
        <f aca="false">IFERROR((G47-H47)/G47,"")</f>
        <v>0.906788771907574</v>
      </c>
    </row>
    <row r="48" customFormat="false" ht="15" hidden="false" customHeight="false" outlineLevel="0" collapsed="false">
      <c r="A48" s="24" t="s">
        <v>347</v>
      </c>
      <c r="B48" s="32" t="n">
        <v>46213</v>
      </c>
      <c r="C48" s="24" t="n">
        <v>13</v>
      </c>
      <c r="D48" s="24" t="s">
        <v>321</v>
      </c>
      <c r="E48" s="24" t="s">
        <v>172</v>
      </c>
      <c r="F48" s="24" t="s">
        <v>173</v>
      </c>
      <c r="G48" s="34" t="n">
        <v>44449.65</v>
      </c>
      <c r="H48" s="34" t="n">
        <v>6234.82</v>
      </c>
      <c r="I48" s="37" t="n">
        <f aca="false">IFERROR((G48-H48)/G48,"")</f>
        <v>0.859732978774861</v>
      </c>
    </row>
    <row r="49" customFormat="false" ht="15" hidden="false" customHeight="false" outlineLevel="0" collapsed="false">
      <c r="A49" s="24" t="s">
        <v>348</v>
      </c>
      <c r="B49" s="32" t="n">
        <v>46213</v>
      </c>
      <c r="C49" s="24" t="n">
        <v>13</v>
      </c>
      <c r="D49" s="24" t="s">
        <v>349</v>
      </c>
      <c r="E49" s="24" t="s">
        <v>172</v>
      </c>
      <c r="F49" s="24" t="s">
        <v>173</v>
      </c>
      <c r="G49" s="34" t="n">
        <v>10741.31</v>
      </c>
      <c r="H49" s="34" t="n">
        <v>6054.58</v>
      </c>
      <c r="I49" s="37" t="n">
        <f aca="false">IFERROR((G49-H49)/G49,"")</f>
        <v>0.436327598775196</v>
      </c>
    </row>
    <row r="50" customFormat="false" ht="15" hidden="false" customHeight="false" outlineLevel="0" collapsed="false">
      <c r="A50" s="24" t="s">
        <v>350</v>
      </c>
      <c r="B50" s="32" t="n">
        <v>46220</v>
      </c>
      <c r="C50" s="24" t="n">
        <v>6</v>
      </c>
      <c r="D50" s="24" t="s">
        <v>351</v>
      </c>
      <c r="E50" s="24" t="s">
        <v>351</v>
      </c>
      <c r="F50" s="24" t="s">
        <v>108</v>
      </c>
      <c r="G50" s="34" t="n">
        <v>11120.8</v>
      </c>
      <c r="H50" s="34" t="n">
        <v>4655.28</v>
      </c>
      <c r="I50" s="37" t="n">
        <f aca="false">IFERROR((G50-H50)/G50,"")</f>
        <v>0.581389828069923</v>
      </c>
    </row>
    <row r="51" customFormat="false" ht="15" hidden="false" customHeight="false" outlineLevel="0" collapsed="false">
      <c r="A51" s="24" t="s">
        <v>352</v>
      </c>
      <c r="B51" s="32" t="n">
        <v>46224</v>
      </c>
      <c r="C51" s="24" t="n">
        <v>2</v>
      </c>
      <c r="D51" s="24" t="s">
        <v>346</v>
      </c>
      <c r="E51" s="24" t="s">
        <v>346</v>
      </c>
      <c r="F51" s="24" t="s">
        <v>108</v>
      </c>
      <c r="G51" s="34" t="n">
        <v>70230.3</v>
      </c>
      <c r="H51" s="34" t="n">
        <v>3175</v>
      </c>
      <c r="I51" s="37" t="n">
        <f aca="false">IFERROR((G51-H51)/G51,"")</f>
        <v>0.954791592802537</v>
      </c>
    </row>
    <row r="52" customFormat="false" ht="15" hidden="false" customHeight="false" outlineLevel="0" collapsed="false">
      <c r="A52" s="24" t="s">
        <v>353</v>
      </c>
      <c r="B52" s="32" t="n">
        <v>46224</v>
      </c>
      <c r="C52" s="24" t="n">
        <v>2</v>
      </c>
      <c r="D52" s="24" t="s">
        <v>354</v>
      </c>
      <c r="E52" s="24" t="s">
        <v>354</v>
      </c>
      <c r="F52" s="24" t="s">
        <v>108</v>
      </c>
      <c r="G52" s="34" t="n">
        <v>2935</v>
      </c>
      <c r="H52" s="34" t="n">
        <v>2935</v>
      </c>
      <c r="I52" s="37" t="n">
        <f aca="false">IFERROR((G52-H52)/G52,"")</f>
        <v>0</v>
      </c>
    </row>
    <row r="53" customFormat="false" ht="15" hidden="false" customHeight="false" outlineLevel="0" collapsed="false">
      <c r="A53" s="24" t="s">
        <v>355</v>
      </c>
      <c r="B53" s="32" t="n">
        <v>46223</v>
      </c>
      <c r="C53" s="24" t="n">
        <v>3</v>
      </c>
      <c r="D53" s="24" t="s">
        <v>356</v>
      </c>
      <c r="E53" s="24" t="s">
        <v>356</v>
      </c>
      <c r="F53" s="24" t="s">
        <v>357</v>
      </c>
      <c r="G53" s="34" t="n">
        <v>4921.83</v>
      </c>
      <c r="H53" s="34" t="n">
        <v>2470</v>
      </c>
      <c r="I53" s="37" t="n">
        <f aca="false">IFERROR((G53-H53)/G53,"")</f>
        <v>0.498154141853741</v>
      </c>
    </row>
    <row r="54" customFormat="false" ht="15" hidden="false" customHeight="false" outlineLevel="0" collapsed="false">
      <c r="A54" s="24" t="s">
        <v>358</v>
      </c>
      <c r="B54" s="32" t="n">
        <v>46221</v>
      </c>
      <c r="C54" s="24" t="n">
        <v>5</v>
      </c>
      <c r="D54" s="24" t="s">
        <v>359</v>
      </c>
      <c r="E54" s="24" t="s">
        <v>360</v>
      </c>
      <c r="F54" s="24" t="s">
        <v>108</v>
      </c>
      <c r="G54" s="34" t="n">
        <v>4293.58</v>
      </c>
      <c r="H54" s="34" t="n">
        <v>1481.79</v>
      </c>
      <c r="I54" s="37" t="n">
        <f aca="false">IFERROR((G54-H54)/G54,"")</f>
        <v>0.65488240582451</v>
      </c>
    </row>
    <row r="55" customFormat="false" ht="15" hidden="false" customHeight="false" outlineLevel="0" collapsed="false">
      <c r="A55" s="24" t="s">
        <v>361</v>
      </c>
      <c r="B55" s="32" t="n">
        <v>46219</v>
      </c>
      <c r="C55" s="24" t="n">
        <v>7</v>
      </c>
      <c r="D55" s="24" t="s">
        <v>362</v>
      </c>
      <c r="E55" s="24" t="s">
        <v>362</v>
      </c>
      <c r="F55" s="24" t="s">
        <v>111</v>
      </c>
      <c r="G55" s="34" t="n">
        <v>7433.1</v>
      </c>
      <c r="H55" s="34" t="n">
        <v>699.83</v>
      </c>
      <c r="I55" s="37" t="n">
        <f aca="false">IFERROR((G55-H55)/G55,"")</f>
        <v>0.905849510971196</v>
      </c>
    </row>
    <row r="56" customFormat="false" ht="15" hidden="false" customHeight="false" outlineLevel="0" collapsed="false">
      <c r="A56" s="24" t="s">
        <v>363</v>
      </c>
      <c r="B56" s="32" t="n">
        <v>46214</v>
      </c>
      <c r="C56" s="24" t="n">
        <v>12</v>
      </c>
      <c r="D56" s="24" t="s">
        <v>356</v>
      </c>
      <c r="E56" s="24" t="s">
        <v>356</v>
      </c>
      <c r="F56" s="24" t="s">
        <v>357</v>
      </c>
      <c r="G56" s="34" t="n">
        <v>601.29</v>
      </c>
      <c r="H56" s="34" t="n">
        <v>520.47</v>
      </c>
      <c r="I56" s="37" t="n">
        <f aca="false">IFERROR((G56-H56)/G56,"")</f>
        <v>0.134411016314923</v>
      </c>
    </row>
    <row r="57" customFormat="false" ht="15" hidden="false" customHeight="false" outlineLevel="0" collapsed="false">
      <c r="A57" s="24" t="s">
        <v>364</v>
      </c>
      <c r="B57" s="32" t="n">
        <v>46209</v>
      </c>
      <c r="C57" s="24" t="n">
        <v>17</v>
      </c>
      <c r="D57" s="24" t="s">
        <v>362</v>
      </c>
      <c r="E57" s="24" t="s">
        <v>362</v>
      </c>
      <c r="F57" s="24" t="s">
        <v>111</v>
      </c>
      <c r="G57" s="34" t="n">
        <v>5329.15</v>
      </c>
      <c r="H57" s="34" t="n">
        <v>337.93</v>
      </c>
      <c r="I57" s="37" t="n">
        <f aca="false">IFERROR((G57-H57)/G57,"")</f>
        <v>0.936588386515673</v>
      </c>
    </row>
    <row r="58" customFormat="false" ht="15" hidden="false" customHeight="false" outlineLevel="0" collapsed="false">
      <c r="A58" s="24" t="s">
        <v>365</v>
      </c>
      <c r="B58" s="32" t="n">
        <v>46221</v>
      </c>
      <c r="C58" s="24" t="n">
        <v>5</v>
      </c>
      <c r="D58" s="24" t="s">
        <v>356</v>
      </c>
      <c r="E58" s="24" t="s">
        <v>356</v>
      </c>
      <c r="F58" s="24" t="s">
        <v>357</v>
      </c>
      <c r="G58" s="34" t="n">
        <v>2375</v>
      </c>
      <c r="H58" s="34" t="n">
        <v>306.68</v>
      </c>
      <c r="I58" s="37" t="n">
        <f aca="false">IFERROR((G58-H58)/G58,"")</f>
        <v>0.870871578947368</v>
      </c>
    </row>
    <row r="59" customFormat="false" ht="15" hidden="false" customHeight="false" outlineLevel="0" collapsed="false">
      <c r="A59" s="24" t="s">
        <v>366</v>
      </c>
      <c r="B59" s="32" t="n">
        <v>46220</v>
      </c>
      <c r="C59" s="24" t="n">
        <v>6</v>
      </c>
      <c r="D59" s="24" t="s">
        <v>356</v>
      </c>
      <c r="E59" s="24" t="s">
        <v>356</v>
      </c>
      <c r="F59" s="24" t="s">
        <v>357</v>
      </c>
      <c r="G59" s="34" t="n">
        <v>1034.87</v>
      </c>
      <c r="H59" s="34" t="n">
        <v>165.25</v>
      </c>
      <c r="I59" s="37" t="n">
        <f aca="false">IFERROR((G59-H59)/G59,"")</f>
        <v>0.840318107588393</v>
      </c>
    </row>
    <row r="60" customFormat="false" ht="15" hidden="false" customHeight="false" outlineLevel="0" collapsed="false">
      <c r="A60" s="24" t="s">
        <v>367</v>
      </c>
      <c r="B60" s="32" t="n">
        <v>46211</v>
      </c>
      <c r="C60" s="24" t="n">
        <v>15</v>
      </c>
      <c r="D60" s="24" t="s">
        <v>356</v>
      </c>
      <c r="E60" s="24" t="s">
        <v>356</v>
      </c>
      <c r="F60" s="24" t="s">
        <v>357</v>
      </c>
      <c r="G60" s="34" t="n">
        <v>644.93</v>
      </c>
      <c r="H60" s="34" t="n">
        <v>79.2</v>
      </c>
      <c r="I60" s="37" t="n">
        <f aca="false">IFERROR((G60-H60)/G60,"")</f>
        <v>0.87719597475695</v>
      </c>
    </row>
    <row r="61" customFormat="false" ht="15" hidden="false" customHeight="false" outlineLevel="0" collapsed="false">
      <c r="A61" s="24" t="s">
        <v>368</v>
      </c>
      <c r="B61" s="32" t="n">
        <v>46204</v>
      </c>
      <c r="C61" s="24" t="n">
        <v>22</v>
      </c>
      <c r="D61" s="24" t="s">
        <v>369</v>
      </c>
      <c r="E61" s="24" t="s">
        <v>369</v>
      </c>
      <c r="F61" s="24" t="s">
        <v>108</v>
      </c>
      <c r="G61" s="34" t="n">
        <v>15</v>
      </c>
      <c r="H61" s="34" t="n">
        <v>3.6</v>
      </c>
      <c r="I61" s="37" t="n">
        <f aca="false">IFERROR((G61-H61)/G61,"")</f>
        <v>0.76</v>
      </c>
    </row>
    <row r="62" customFormat="false" ht="15" hidden="false" customHeight="false" outlineLevel="0" collapsed="false">
      <c r="A62" s="24" t="s">
        <v>370</v>
      </c>
      <c r="B62" s="32" t="n">
        <v>46224</v>
      </c>
      <c r="C62" s="24" t="n">
        <v>2</v>
      </c>
      <c r="D62" s="24" t="s">
        <v>371</v>
      </c>
      <c r="E62" s="24" t="s">
        <v>371</v>
      </c>
      <c r="F62" s="24" t="s">
        <v>108</v>
      </c>
      <c r="G62" s="34" t="n">
        <v>2.6</v>
      </c>
      <c r="H62" s="34" t="n">
        <v>2.6</v>
      </c>
      <c r="I62" s="37" t="n">
        <f aca="false">IFERROR((G62-H62)/G62,"")</f>
        <v>0</v>
      </c>
    </row>
    <row r="63" customFormat="false" ht="15" hidden="false" customHeight="false" outlineLevel="0" collapsed="false">
      <c r="A63" s="24" t="s">
        <v>372</v>
      </c>
      <c r="B63" s="32" t="n">
        <v>46224</v>
      </c>
      <c r="C63" s="24" t="n">
        <v>2</v>
      </c>
      <c r="D63" s="24" t="s">
        <v>373</v>
      </c>
      <c r="E63" s="24" t="s">
        <v>373</v>
      </c>
      <c r="F63" s="24" t="s">
        <v>101</v>
      </c>
      <c r="G63" s="34" t="n">
        <v>186122.54</v>
      </c>
      <c r="H63" s="34" t="n">
        <v>0</v>
      </c>
      <c r="I63" s="37" t="n">
        <f aca="false">IFERROR((G63-H63)/G63,"")</f>
        <v>1</v>
      </c>
    </row>
    <row r="64" customFormat="false" ht="15" hidden="false" customHeight="false" outlineLevel="0" collapsed="false">
      <c r="A64" s="15" t="s">
        <v>374</v>
      </c>
      <c r="B64" s="15"/>
      <c r="C64" s="15"/>
      <c r="D64" s="15"/>
      <c r="E64" s="15"/>
      <c r="F64" s="15"/>
      <c r="G64" s="31" t="n">
        <f aca="false">SUM(G6:G63)</f>
        <v>4452250.92</v>
      </c>
      <c r="H64" s="31" t="n">
        <f aca="false">SUM(H6:H63)</f>
        <v>1532534.34</v>
      </c>
      <c r="I64" s="15"/>
    </row>
  </sheetData>
  <autoFilter ref="A5:I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72"/>
  </cols>
  <sheetData>
    <row r="1" customFormat="false" ht="17.35" hidden="false" customHeight="false" outlineLevel="0" collapsed="false">
      <c r="A1" s="1" t="s">
        <v>375</v>
      </c>
    </row>
    <row r="2" customFormat="false" ht="15" hidden="false" customHeight="false" outlineLevel="0" collapsed="false">
      <c r="A2" s="2" t="s">
        <v>376</v>
      </c>
    </row>
    <row r="4" customFormat="false" ht="30" hidden="false" customHeight="true" outlineLevel="0" collapsed="false">
      <c r="A4" s="3" t="s">
        <v>2</v>
      </c>
      <c r="B4" s="3" t="s">
        <v>377</v>
      </c>
      <c r="C4" s="3" t="s">
        <v>378</v>
      </c>
    </row>
    <row r="5" customFormat="false" ht="19.5" hidden="false" customHeight="true" outlineLevel="0" collapsed="false">
      <c r="A5" s="6" t="s">
        <v>379</v>
      </c>
      <c r="B5" s="6"/>
      <c r="C5" s="6"/>
    </row>
    <row r="6" customFormat="false" ht="49.5" hidden="false" customHeight="true" outlineLevel="0" collapsed="false">
      <c r="A6" s="5" t="s">
        <v>380</v>
      </c>
      <c r="B6" s="5" t="s">
        <v>381</v>
      </c>
      <c r="C6" s="5" t="s">
        <v>382</v>
      </c>
    </row>
    <row r="7" customFormat="false" ht="19.5" hidden="false" customHeight="true" outlineLevel="0" collapsed="false">
      <c r="A7" s="6" t="s">
        <v>383</v>
      </c>
      <c r="B7" s="6"/>
      <c r="C7" s="6"/>
    </row>
    <row r="8" customFormat="false" ht="37.5" hidden="false" customHeight="true" outlineLevel="0" collapsed="false">
      <c r="A8" s="5" t="s">
        <v>384</v>
      </c>
      <c r="B8" s="5" t="s">
        <v>385</v>
      </c>
      <c r="C8" s="5" t="s">
        <v>386</v>
      </c>
    </row>
    <row r="9" customFormat="false" ht="30" hidden="false" customHeight="true" outlineLevel="0" collapsed="false">
      <c r="A9" s="5" t="s">
        <v>387</v>
      </c>
      <c r="B9" s="5" t="s">
        <v>388</v>
      </c>
      <c r="C9" s="5" t="s">
        <v>389</v>
      </c>
    </row>
    <row r="10" customFormat="false" ht="37.5" hidden="false" customHeight="true" outlineLevel="0" collapsed="false">
      <c r="A10" s="5" t="s">
        <v>390</v>
      </c>
      <c r="B10" s="5" t="s">
        <v>391</v>
      </c>
      <c r="C10" s="5" t="s">
        <v>392</v>
      </c>
    </row>
    <row r="11" customFormat="false" ht="49.5" hidden="false" customHeight="true" outlineLevel="0" collapsed="false">
      <c r="A11" s="5" t="s">
        <v>393</v>
      </c>
      <c r="B11" s="5" t="s">
        <v>394</v>
      </c>
      <c r="C11" s="5" t="s">
        <v>395</v>
      </c>
    </row>
    <row r="12" customFormat="false" ht="19.5" hidden="false" customHeight="true" outlineLevel="0" collapsed="false">
      <c r="A12" s="6" t="s">
        <v>396</v>
      </c>
      <c r="B12" s="6"/>
      <c r="C12" s="6"/>
    </row>
    <row r="13" customFormat="false" ht="49.5" hidden="false" customHeight="true" outlineLevel="0" collapsed="false">
      <c r="A13" s="5" t="s">
        <v>397</v>
      </c>
      <c r="B13" s="5" t="s">
        <v>398</v>
      </c>
      <c r="C13" s="5" t="s">
        <v>399</v>
      </c>
    </row>
    <row r="14" customFormat="false" ht="37.5" hidden="false" customHeight="true" outlineLevel="0" collapsed="false">
      <c r="A14" s="5" t="s">
        <v>400</v>
      </c>
      <c r="B14" s="5" t="s">
        <v>401</v>
      </c>
      <c r="C14" s="5" t="s">
        <v>402</v>
      </c>
    </row>
    <row r="15" customFormat="false" ht="30" hidden="false" customHeight="true" outlineLevel="0" collapsed="false">
      <c r="A15" s="5" t="s">
        <v>403</v>
      </c>
      <c r="B15" s="5" t="s">
        <v>404</v>
      </c>
      <c r="C15" s="5" t="s">
        <v>405</v>
      </c>
    </row>
    <row r="16" customFormat="false" ht="37.5" hidden="false" customHeight="true" outlineLevel="0" collapsed="false">
      <c r="A16" s="5" t="s">
        <v>406</v>
      </c>
      <c r="B16" s="5" t="s">
        <v>407</v>
      </c>
      <c r="C16" s="5" t="s">
        <v>408</v>
      </c>
    </row>
    <row r="17" customFormat="false" ht="19.5" hidden="false" customHeight="true" outlineLevel="0" collapsed="false">
      <c r="A17" s="6" t="s">
        <v>409</v>
      </c>
      <c r="B17" s="6"/>
      <c r="C17" s="6"/>
    </row>
    <row r="18" customFormat="false" ht="49.5" hidden="false" customHeight="true" outlineLevel="0" collapsed="false">
      <c r="A18" s="5" t="s">
        <v>410</v>
      </c>
      <c r="B18" s="5" t="s">
        <v>411</v>
      </c>
      <c r="C18" s="5" t="s">
        <v>412</v>
      </c>
    </row>
    <row r="19" customFormat="false" ht="19.5" hidden="false" customHeight="true" outlineLevel="0" collapsed="false">
      <c r="A19" s="6" t="s">
        <v>413</v>
      </c>
      <c r="B19" s="6"/>
      <c r="C19" s="6"/>
    </row>
    <row r="20" customFormat="false" ht="30" hidden="false" customHeight="true" outlineLevel="0" collapsed="false">
      <c r="A20" s="5" t="s">
        <v>414</v>
      </c>
      <c r="B20" s="5" t="s">
        <v>415</v>
      </c>
      <c r="C20" s="5" t="s">
        <v>416</v>
      </c>
    </row>
    <row r="21" customFormat="false" ht="37.5" hidden="false" customHeight="true" outlineLevel="0" collapsed="false">
      <c r="A21" s="5" t="s">
        <v>417</v>
      </c>
      <c r="B21" s="5" t="s">
        <v>418</v>
      </c>
      <c r="C21" s="5" t="s">
        <v>419</v>
      </c>
    </row>
    <row r="22" customFormat="false" ht="62.25" hidden="false" customHeight="true" outlineLevel="0" collapsed="false">
      <c r="A22" s="5" t="s">
        <v>420</v>
      </c>
      <c r="B22" s="5" t="s">
        <v>421</v>
      </c>
      <c r="C22" s="5" t="s">
        <v>422</v>
      </c>
    </row>
    <row r="23" customFormat="false" ht="19.5" hidden="false" customHeight="true" outlineLevel="0" collapsed="false">
      <c r="A23" s="6" t="s">
        <v>423</v>
      </c>
      <c r="B23" s="6"/>
      <c r="C23" s="6"/>
    </row>
    <row r="24" customFormat="false" ht="37.5" hidden="false" customHeight="true" outlineLevel="0" collapsed="false">
      <c r="A24" s="5" t="s">
        <v>424</v>
      </c>
      <c r="B24" s="5" t="s">
        <v>425</v>
      </c>
      <c r="C24" s="5" t="s">
        <v>426</v>
      </c>
    </row>
    <row r="25" customFormat="false" ht="30" hidden="false" customHeight="true" outlineLevel="0" collapsed="false">
      <c r="A25" s="5" t="s">
        <v>427</v>
      </c>
      <c r="B25" s="5" t="s">
        <v>428</v>
      </c>
      <c r="C25" s="5" t="s">
        <v>429</v>
      </c>
    </row>
    <row r="26" customFormat="false" ht="37.5" hidden="false" customHeight="true" outlineLevel="0" collapsed="false">
      <c r="A26" s="5" t="s">
        <v>430</v>
      </c>
      <c r="B26" s="5" t="s">
        <v>431</v>
      </c>
      <c r="C26" s="5" t="s">
        <v>432</v>
      </c>
    </row>
    <row r="27" customFormat="false" ht="37.5" hidden="false" customHeight="true" outlineLevel="0" collapsed="false">
      <c r="A27" s="5" t="s">
        <v>433</v>
      </c>
      <c r="B27" s="5" t="s">
        <v>434</v>
      </c>
      <c r="C27" s="5"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66"/>
    <col collapsed="false" customWidth="true" hidden="false" outlineLevel="0" max="4" min="4" style="0" width="54"/>
  </cols>
  <sheetData>
    <row r="1" customFormat="false" ht="17.35" hidden="false" customHeight="false" outlineLevel="0" collapsed="false">
      <c r="A1" s="1" t="s">
        <v>436</v>
      </c>
    </row>
    <row r="2" customFormat="false" ht="15" hidden="false" customHeight="false" outlineLevel="0" collapsed="false">
      <c r="A2" s="2" t="s">
        <v>437</v>
      </c>
    </row>
    <row r="4" customFormat="false" ht="30" hidden="false" customHeight="true" outlineLevel="0" collapsed="false">
      <c r="A4" s="3" t="s">
        <v>438</v>
      </c>
      <c r="B4" s="3" t="s">
        <v>439</v>
      </c>
      <c r="C4" s="3" t="s">
        <v>440</v>
      </c>
      <c r="D4" s="3" t="s">
        <v>441</v>
      </c>
    </row>
    <row r="5" customFormat="false" ht="78" hidden="false" customHeight="true" outlineLevel="0" collapsed="false">
      <c r="A5" s="5" t="s">
        <v>442</v>
      </c>
      <c r="B5" s="41" t="s">
        <v>443</v>
      </c>
      <c r="C5" s="5" t="s">
        <v>444</v>
      </c>
      <c r="D5" s="5" t="s">
        <v>445</v>
      </c>
    </row>
    <row r="6" customFormat="false" ht="78" hidden="false" customHeight="true" outlineLevel="0" collapsed="false">
      <c r="A6" s="5" t="s">
        <v>446</v>
      </c>
      <c r="B6" s="42" t="s">
        <v>447</v>
      </c>
      <c r="C6" s="5" t="s">
        <v>448</v>
      </c>
      <c r="D6" s="5" t="s">
        <v>449</v>
      </c>
    </row>
    <row r="7" customFormat="false" ht="78" hidden="false" customHeight="true" outlineLevel="0" collapsed="false">
      <c r="A7" s="5" t="s">
        <v>450</v>
      </c>
      <c r="B7" s="43" t="s">
        <v>451</v>
      </c>
      <c r="C7" s="5" t="s">
        <v>452</v>
      </c>
      <c r="D7" s="5" t="s">
        <v>453</v>
      </c>
    </row>
    <row r="8" customFormat="false" ht="78" hidden="false" customHeight="true" outlineLevel="0" collapsed="false">
      <c r="A8" s="5" t="s">
        <v>454</v>
      </c>
      <c r="B8" s="42" t="s">
        <v>455</v>
      </c>
      <c r="C8" s="5" t="s">
        <v>456</v>
      </c>
      <c r="D8" s="5" t="s">
        <v>457</v>
      </c>
    </row>
    <row r="9" customFormat="false" ht="78" hidden="false" customHeight="true" outlineLevel="0" collapsed="false">
      <c r="A9" s="5" t="s">
        <v>458</v>
      </c>
      <c r="B9" s="41" t="s">
        <v>443</v>
      </c>
      <c r="C9" s="5" t="s">
        <v>459</v>
      </c>
      <c r="D9" s="5" t="s">
        <v>460</v>
      </c>
    </row>
    <row r="10" customFormat="false" ht="78" hidden="false" customHeight="true" outlineLevel="0" collapsed="false">
      <c r="A10" s="5" t="s">
        <v>461</v>
      </c>
      <c r="B10" s="43" t="s">
        <v>462</v>
      </c>
      <c r="C10" s="5" t="s">
        <v>463</v>
      </c>
      <c r="D10" s="5" t="s">
        <v>464</v>
      </c>
    </row>
    <row r="11" customFormat="false" ht="78" hidden="false" customHeight="true" outlineLevel="0" collapsed="false">
      <c r="A11" s="5" t="s">
        <v>465</v>
      </c>
      <c r="B11" s="43" t="s">
        <v>462</v>
      </c>
      <c r="C11" s="5" t="s">
        <v>466</v>
      </c>
      <c r="D11" s="5"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2026-07-26T10:01:45Z</dcterms:created>
  <dc:creator>openpyxl</dc:creator>
  <dc:description/>
  <dc:language>en-US</dc:language>
  <cp:lastModifiedBy/>
  <dcterms:modified xsi:type="dcterms:W3CDTF">2026-07-26T10:01:45Z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