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s &amp; Definitions" sheetId="1" state="visible" r:id="rId3"/>
    <sheet name="Summary" sheetId="2" state="visible" r:id="rId4"/>
    <sheet name="Loss by Reason" sheetId="3" state="visible" r:id="rId5"/>
    <sheet name="Episode Detail" sheetId="4" state="visible" r:id="rId6"/>
    <sheet name="Event Log" sheetId="5" state="visible" r:id="rId7"/>
    <sheet name="By Item" sheetId="6" state="visible" r:id="rId8"/>
    <sheet name="By Account" sheetId="7" state="visible" r:id="rId9"/>
    <sheet name="Acumatica Bridge" sheetId="8" state="visible" r:id="rId10"/>
  </sheets>
  <definedNames>
    <definedName function="false" hidden="true" localSheetId="3" name="_xlnm._FilterDatabase" vbProcedure="false">'Episode Detail'!$A$4:$AR$22</definedName>
    <definedName function="false" hidden="true" localSheetId="4" name="_xlnm._FilterDatabase" vbProcedure="false">'Event Log'!$A$4:$N$22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<sst xmlns="http://schemas.openxmlformats.org/spreadsheetml/2006/main" count="781" uniqueCount="412">
  <si>
    <t xml:space="preserve">Backorder Audit Trail — Export</t>
  </si>
  <si>
    <t xml:space="preserve">TEMPLATE / STRUCTURE DEMO. Sample rows use real order numbers, customers and SKUs from the 23 Jul 2026 extract; quantities and dates are illustrative. Replace with output of BackorderQueryBuilder.</t>
  </si>
  <si>
    <t xml:space="preserve">REPORT PROVENANCE</t>
  </si>
  <si>
    <t xml:space="preserve">Generated at</t>
  </si>
  <si>
    <t xml:space="preserve">2026-07-26 09:15 EAT</t>
  </si>
  <si>
    <t xml:space="preserve">Generated by</t>
  </si>
  <si>
    <t xml:space="preserve">ipay.user@kim-fay.com</t>
  </si>
  <si>
    <t xml:space="preserve">Source</t>
  </si>
  <si>
    <t xml:space="preserve">Acumatica REST API via backorder_episodes / backorder_line_events</t>
  </si>
  <si>
    <t xml:space="preserve">Sync run id</t>
  </si>
  <si>
    <t xml:space="preserve">48213</t>
  </si>
  <si>
    <t xml:space="preserve">Snapshot basis</t>
  </si>
  <si>
    <t xml:space="preserve">Live (episodes as at generation time)</t>
  </si>
  <si>
    <t xml:space="preserve">FILTERS APPLIED  (echoed verbatim from the API payload — do not edit)</t>
  </si>
  <si>
    <t xml:space="preserve">Filter</t>
  </si>
  <si>
    <t xml:space="preserve">Value</t>
  </si>
  <si>
    <t xml:space="preserve">Period basis</t>
  </si>
  <si>
    <t xml:space="preserve">Backorders that STARTED in the period (opened_at)</t>
  </si>
  <si>
    <t xml:space="preserve">Period</t>
  </si>
  <si>
    <t xml:space="preserve">20 – 25 Jul 2026</t>
  </si>
  <si>
    <t xml:space="preserve">State</t>
  </si>
  <si>
    <t xml:space="preserve">Open + Resolved (All)</t>
  </si>
  <si>
    <t xml:space="preserve">Duration basis</t>
  </si>
  <si>
    <t xml:space="preserve">Working days (Mon–Sat, Sundays &amp; Kenyan gazetted holidays excluded)</t>
  </si>
  <si>
    <t xml:space="preserve">Order type</t>
  </si>
  <si>
    <t xml:space="preserve">SO only</t>
  </si>
  <si>
    <t xml:space="preserve">Reason family</t>
  </si>
  <si>
    <t xml:space="preserve">All</t>
  </si>
  <si>
    <t xml:space="preserve">Channel</t>
  </si>
  <si>
    <t xml:space="preserve">Warehouse</t>
  </si>
  <si>
    <t xml:space="preserve">All (FGS, TPFGS)</t>
  </si>
  <si>
    <t xml:space="preserve">Include excluded-from-KPI episodes</t>
  </si>
  <si>
    <t xml:space="preserve">Yes — shown, but not in KPI totals</t>
  </si>
  <si>
    <t xml:space="preserve">Include backfilled start dates in durations</t>
  </si>
  <si>
    <t xml:space="preserve">No</t>
  </si>
  <si>
    <t xml:space="preserve">Include zero-value / free lines</t>
  </si>
  <si>
    <t xml:space="preserve">Include internal / cash-sale accounts</t>
  </si>
  <si>
    <t xml:space="preserve">DATA QUALITY — read before quoting any figure</t>
  </si>
  <si>
    <t xml:space="preserve">Measure</t>
  </si>
  <si>
    <t xml:space="preserve">Meaning</t>
  </si>
  <si>
    <t xml:space="preserve">Reason coverage</t>
  </si>
  <si>
    <t xml:space="preserve">64.2%</t>
  </si>
  <si>
    <t xml:space="preserve">Share of episodes carrying a reason_code. Every family split is a sample of this size.</t>
  </si>
  <si>
    <t xml:space="preserve">Backfilled start dates</t>
  </si>
  <si>
    <t xml:space="preserve">16.2%</t>
  </si>
  <si>
    <t xml:space="preserve">Episodes open before the ledger went live. Their durations are MINIMUMS, labelled "(min.)".</t>
  </si>
  <si>
    <t xml:space="preserve">Episodes excluded from KPIs</t>
  </si>
  <si>
    <t xml:space="preserve">19</t>
  </si>
  <si>
    <t xml:space="preserve">Free lines, zero-value lines, rejected/on-hold headers, internal accounts.</t>
  </si>
  <si>
    <t xml:space="preserve">Reconciled to Acumatica</t>
  </si>
  <si>
    <t xml:space="preserve">Yes — variance 0.31%</t>
  </si>
  <si>
    <t xml:space="preserve">Gate is 0.5%. See the Acumatica Bridge sheet.</t>
  </si>
  <si>
    <t xml:space="preserve">CANONICAL FORMULAS — these are the agreed definitions</t>
  </si>
  <si>
    <t xml:space="preserve">Formula</t>
  </si>
  <si>
    <t xml:space="preserve">Note</t>
  </si>
  <si>
    <t xml:space="preserve">net_order_qty</t>
  </si>
  <si>
    <t xml:space="preserve">order_qty - cancelled_qty</t>
  </si>
  <si>
    <t xml:space="preserve">Cancelled qty never counts against fill rate.</t>
  </si>
  <si>
    <t xml:space="preserve">open_qty</t>
  </si>
  <si>
    <t xml:space="preserve">net_order_qty - shipped_qty</t>
  </si>
  <si>
    <t xml:space="preserve">Owed to the customer, including goods already picked.</t>
  </si>
  <si>
    <t xml:space="preserve">backorder_qty</t>
  </si>
  <si>
    <t xml:space="preserve">GREATEST(0, open_qty - qty_on_shipments)</t>
  </si>
  <si>
    <t xml:space="preserve">THE shortage. Excludes goods already on a shipment.</t>
  </si>
  <si>
    <t xml:space="preserve">line_fill_rate_pct</t>
  </si>
  <si>
    <t xml:space="preserve">shipped_qty / net_order_qty</t>
  </si>
  <si>
    <t xml:space="preserve">Denominator excludes cancelled qty.</t>
  </si>
  <si>
    <t xml:space="preserve">revenue_at_risk</t>
  </si>
  <si>
    <t xml:space="preserve">backorder_qty x net_unit_price</t>
  </si>
  <si>
    <t xml:space="preserve">Still recoverable. NOT a loss.</t>
  </si>
  <si>
    <t xml:space="preserve">days_to_resolve</t>
  </si>
  <si>
    <t xml:space="preserve">resolved_at - opened_at (calendar days)</t>
  </si>
  <si>
    <t xml:space="preserve">Blank while open; ageing uses NOW().</t>
  </si>
  <si>
    <t xml:space="preserve">working_days_to_resolve</t>
  </si>
  <si>
    <t xml:space="preserve">As above, excluding Sundays + gazetted holidays</t>
  </si>
  <si>
    <t xml:space="preserve">Default basis for service KPIs.</t>
  </si>
  <si>
    <t xml:space="preserve">days_late</t>
  </si>
  <si>
    <t xml:space="preserve">GREATEST(0, working_days - promised_lead_time_days)</t>
  </si>
  <si>
    <t xml:space="preserve">Promised lead time is per channel.</t>
  </si>
  <si>
    <t xml:space="preserve">delayed_revenue</t>
  </si>
  <si>
    <t xml:space="preserve">shipped_late_qty x net_unit_price</t>
  </si>
  <si>
    <t xml:space="preserve">Sale HAPPENED, just late. Not a loss.</t>
  </si>
  <si>
    <t xml:space="preserve">revenue_days_delayed</t>
  </si>
  <si>
    <t xml:space="preserve">delayed_revenue x days_late (KES-days)</t>
  </si>
  <si>
    <t xml:space="preserve">Ranks causes by weighted impact.</t>
  </si>
  <si>
    <t xml:space="preserve">lost_revenue</t>
  </si>
  <si>
    <t xml:space="preserve">cancelled_qty x price (where cancelled)  +  backorder_qty x price (where open beyond channel write-off threshold)</t>
  </si>
  <si>
    <t xml:space="preserve">THIS is loss of sales.</t>
  </si>
  <si>
    <t xml:space="preserve">Never add Revenue at Risk + Delayed Revenue + Lost Revenue together — they measure different things and overlap.</t>
  </si>
  <si>
    <t xml:space="preserve">Summary — 20 – 25 Jul 2026</t>
  </si>
  <si>
    <t xml:space="preserve">All values are formulas referencing Episode Detail. Nothing on this sheet is hardcoded.</t>
  </si>
  <si>
    <t xml:space="preserve">KPI</t>
  </si>
  <si>
    <t xml:space="preserve">Basis / caveat</t>
  </si>
  <si>
    <t xml:space="preserve">Open episodes</t>
  </si>
  <si>
    <t xml:space="preserve">Excludes free / zero-value lines</t>
  </si>
  <si>
    <t xml:space="preserve">Open orders (distinct)</t>
  </si>
  <si>
    <t xml:space="preserve">DISTINCT order_nbr via helper column AQ — never a row count</t>
  </si>
  <si>
    <t xml:space="preserve">Open items (distinct SKUs)</t>
  </si>
  <si>
    <t xml:space="preserve">DISTINCT inventory_id via helper column AR</t>
  </si>
  <si>
    <t xml:space="preserve">Revenue at Risk (KES)</t>
  </si>
  <si>
    <t xml:space="preserve">Open only. Recoverable — NOT a loss</t>
  </si>
  <si>
    <t xml:space="preserve">Resolved episodes</t>
  </si>
  <si>
    <t xml:space="preserve">In-period resolutions</t>
  </si>
  <si>
    <t xml:space="preserve">Avg Time to Resolve (working days)</t>
  </si>
  <si>
    <t xml:space="preserve">Verified start dates only — backfilled excluded</t>
  </si>
  <si>
    <t xml:space="preserve">Longest open (working days)</t>
  </si>
  <si>
    <t xml:space="preserve">Ageing against as-at date</t>
  </si>
  <si>
    <t xml:space="preserve">Delayed Revenue (KES)</t>
  </si>
  <si>
    <t xml:space="preserve">Shipped late. Sale happened</t>
  </si>
  <si>
    <t xml:space="preserve">Revenue-Days Delayed (KES-days)</t>
  </si>
  <si>
    <t xml:space="preserve">Weighted service cost — use to rank causes</t>
  </si>
  <si>
    <t xml:space="preserve">Lost Revenue (KES)</t>
  </si>
  <si>
    <t xml:space="preserve">THIS is loss of sales</t>
  </si>
  <si>
    <t xml:space="preserve">Every family split is a sample of this size</t>
  </si>
  <si>
    <t xml:space="preserve">Verified start dates</t>
  </si>
  <si>
    <t xml:space="preserve">Backfilled durations are minimums</t>
  </si>
  <si>
    <t xml:space="preserve">Loss of sales due to delayed production — the headline the business asked for</t>
  </si>
  <si>
    <t xml:space="preserve">Measure (PRODUCTION family only)</t>
  </si>
  <si>
    <t xml:space="preserve">Read as</t>
  </si>
  <si>
    <t xml:space="preserve">Lost Revenue — PRODUCTION (KES)</t>
  </si>
  <si>
    <t xml:space="preserve">Revenue we will never invoice</t>
  </si>
  <si>
    <t xml:space="preserve">Revenue at Risk — PRODUCTION (KES)</t>
  </si>
  <si>
    <t xml:space="preserve">Still recoverable if stock lands</t>
  </si>
  <si>
    <t xml:space="preserve">Revenue-Days Delayed — PRODUCTION</t>
  </si>
  <si>
    <t xml:space="preserve">How long we made customers wait</t>
  </si>
  <si>
    <t xml:space="preserve">Episodes — PRODUCTION</t>
  </si>
  <si>
    <t xml:space="preserve">Count of order-item shortages</t>
  </si>
  <si>
    <t xml:space="preserve">Avg delay — PRODUCTION (working days)</t>
  </si>
  <si>
    <t xml:space="preserve">Verified starts only</t>
  </si>
  <si>
    <t xml:space="preserve">Loss by reason family and code</t>
  </si>
  <si>
    <t xml:space="preserve">Family totals are SUMIFS over Episode Detail. All 33 Acumatica reason codes map to exactly one family.</t>
  </si>
  <si>
    <t xml:space="preserve">Family</t>
  </si>
  <si>
    <t xml:space="preserve">Reason code</t>
  </si>
  <si>
    <t xml:space="preserve">True supply shortage?</t>
  </si>
  <si>
    <t xml:space="preserve">Episodes</t>
  </si>
  <si>
    <t xml:space="preserve">Peak Qty</t>
  </si>
  <si>
    <t xml:space="preserve">Revenue at Risk</t>
  </si>
  <si>
    <t xml:space="preserve">Delayed Revenue</t>
  </si>
  <si>
    <t xml:space="preserve">Revenue-Days Delayed</t>
  </si>
  <si>
    <t xml:space="preserve">Lost Revenue</t>
  </si>
  <si>
    <t xml:space="preserve">Avg Days Delay</t>
  </si>
  <si>
    <t xml:space="preserve">PRODUCTION</t>
  </si>
  <si>
    <t xml:space="preserve">— family total —</t>
  </si>
  <si>
    <t xml:space="preserve">Yes</t>
  </si>
  <si>
    <t xml:space="preserve">out_of_stock_production</t>
  </si>
  <si>
    <t xml:space="preserve">production_stockout</t>
  </si>
  <si>
    <t xml:space="preserve">raw_material_stockout</t>
  </si>
  <si>
    <t xml:space="preserve">order_to_make</t>
  </si>
  <si>
    <t xml:space="preserve">conversion_delays</t>
  </si>
  <si>
    <t xml:space="preserve">conversion_issues</t>
  </si>
  <si>
    <t xml:space="preserve">batch_sequence</t>
  </si>
  <si>
    <t xml:space="preserve">wrong_moq</t>
  </si>
  <si>
    <t xml:space="preserve">PROCUREMENT</t>
  </si>
  <si>
    <t xml:space="preserve">out_of_stock_procurement</t>
  </si>
  <si>
    <t xml:space="preserve">out_of_stock_msa</t>
  </si>
  <si>
    <t xml:space="preserve">delayed_supplier_payment</t>
  </si>
  <si>
    <t xml:space="preserve">kebs_stickers</t>
  </si>
  <si>
    <t xml:space="preserve">LOGISTICS</t>
  </si>
  <si>
    <t xml:space="preserve">delay_in_delivery</t>
  </si>
  <si>
    <t xml:space="preserve">transfer_delays</t>
  </si>
  <si>
    <t xml:space="preserve">truck_full</t>
  </si>
  <si>
    <t xml:space="preserve">did_not_pick_on_shipment</t>
  </si>
  <si>
    <t xml:space="preserve">COMMERCIAL</t>
  </si>
  <si>
    <t xml:space="preserve">discontinued</t>
  </si>
  <si>
    <t xml:space="preserve">pb_discontinued</t>
  </si>
  <si>
    <t xml:space="preserve">non_focus</t>
  </si>
  <si>
    <t xml:space="preserve">promo_product</t>
  </si>
  <si>
    <t xml:space="preserve">short_expiry</t>
  </si>
  <si>
    <t xml:space="preserve">npd</t>
  </si>
  <si>
    <t xml:space="preserve">DATA_PROCESS</t>
  </si>
  <si>
    <t xml:space="preserve">delayed_communication</t>
  </si>
  <si>
    <t xml:space="preserve">price_difference</t>
  </si>
  <si>
    <t xml:space="preserve">price_variance</t>
  </si>
  <si>
    <t xml:space="preserve">price_overcharge</t>
  </si>
  <si>
    <t xml:space="preserve">invoicing_error</t>
  </si>
  <si>
    <t xml:space="preserve">stock_variance</t>
  </si>
  <si>
    <t xml:space="preserve">isolation_error</t>
  </si>
  <si>
    <t xml:space="preserve">wrong_product_description</t>
  </si>
  <si>
    <t xml:space="preserve">wrong_code</t>
  </si>
  <si>
    <t xml:space="preserve">system_error</t>
  </si>
  <si>
    <t xml:space="preserve">lpo_error</t>
  </si>
  <si>
    <t xml:space="preserve">UNCLASSIFIED</t>
  </si>
  <si>
    <t xml:space="preserve">(unreasoned)</t>
  </si>
  <si>
    <t xml:space="preserve">Episode Detail — one row per (order, item, occurrence)</t>
  </si>
  <si>
    <t xml:space="preserve">As-at date:</t>
  </si>
  <si>
    <t xml:space="preserve">Promised lead time (days):</t>
  </si>
  <si>
    <t xml:space="preserve">Blue cells are parameters — edit these, not the formula columns.</t>
  </si>
  <si>
    <t xml:space="preserve">Lead time (days):</t>
  </si>
  <si>
    <t xml:space="preserve">Write-off threshold (working days):</t>
  </si>
  <si>
    <t xml:space="preserve">Order Date</t>
  </si>
  <si>
    <t xml:space="preserve">Customer</t>
  </si>
  <si>
    <t xml:space="preserve">Main Account</t>
  </si>
  <si>
    <t xml:space="preserve">Inventory ID</t>
  </si>
  <si>
    <t xml:space="preserve">Item Description</t>
  </si>
  <si>
    <t xml:space="preserve">UOM</t>
  </si>
  <si>
    <t xml:space="preserve">Order Qty</t>
  </si>
  <si>
    <t xml:space="preserve">Unit Price (net)</t>
  </si>
  <si>
    <t xml:space="preserve">Backordered On</t>
  </si>
  <si>
    <t xml:space="preserve">Resolved On</t>
  </si>
  <si>
    <t xml:space="preserve">Window</t>
  </si>
  <si>
    <t xml:space="preserve">Days (calendar)</t>
  </si>
  <si>
    <t xml:space="preserve">Days (working)</t>
  </si>
  <si>
    <t xml:space="preserve">Delay Label</t>
  </si>
  <si>
    <t xml:space="preserve">Start Date Verified?</t>
  </si>
  <si>
    <t xml:space="preserve">Episode No.</t>
  </si>
  <si>
    <t xml:space="preserve">Peak Backorder Qty</t>
  </si>
  <si>
    <t xml:space="preserve">Current Backorder Qty</t>
  </si>
  <si>
    <t xml:space="preserve">Shipped Qty</t>
  </si>
  <si>
    <t xml:space="preserve">Shipped Late Qty</t>
  </si>
  <si>
    <t xml:space="preserve">Cancelled Qty</t>
  </si>
  <si>
    <t xml:space="preserve">Partial Fills</t>
  </si>
  <si>
    <t xml:space="preserve">Fill Rate %</t>
  </si>
  <si>
    <t xml:space="preserve">Resolution Type</t>
  </si>
  <si>
    <t xml:space="preserve">Reason Code</t>
  </si>
  <si>
    <t xml:space="preserve">Reason Family</t>
  </si>
  <si>
    <t xml:space="preserve">Reason Notes</t>
  </si>
  <si>
    <t xml:space="preserve">Reason Set By</t>
  </si>
  <si>
    <t xml:space="preserve">Reason Set At</t>
  </si>
  <si>
    <t xml:space="preserve">Excluded from KPI?</t>
  </si>
  <si>
    <t xml:space="preserve">Exclusion Reason</t>
  </si>
  <si>
    <t xml:space="preserve">Sync Run (opened)</t>
  </si>
  <si>
    <t xml:space="preserve">Sync Run (resolved)</t>
  </si>
  <si>
    <t xml:space="preserve">Order 1st open row</t>
  </si>
  <si>
    <t xml:space="preserve">Item 1st open row</t>
  </si>
  <si>
    <t xml:space="preserve">SO363506</t>
  </si>
  <si>
    <t xml:space="preserve">SO</t>
  </si>
  <si>
    <t xml:space="preserve">Khetia Drapers Ltd - Plus</t>
  </si>
  <si>
    <t xml:space="preserve">Khetia Drapers Ltd</t>
  </si>
  <si>
    <t xml:space="preserve">Modern Trade T2</t>
  </si>
  <si>
    <t xml:space="preserve">FGS</t>
  </si>
  <si>
    <t xml:space="preserve">SIFTP0015</t>
  </si>
  <si>
    <t xml:space="preserve">Sifa TP Emb. Unwrap. Twinpack 20x2s White</t>
  </si>
  <si>
    <t xml:space="preserve">CASE</t>
  </si>
  <si>
    <t xml:space="preserve">Mill line 2 down 11-14 Jul</t>
  </si>
  <si>
    <t xml:space="preserve">j.mwangi</t>
  </si>
  <si>
    <t xml:space="preserve">SO363491</t>
  </si>
  <si>
    <t xml:space="preserve">Khetia Drapers Ltd - Gigamart</t>
  </si>
  <si>
    <t xml:space="preserve">Same mill event</t>
  </si>
  <si>
    <t xml:space="preserve">SO363495</t>
  </si>
  <si>
    <t xml:space="preserve">Khetia Drapers Ltd - Eldoret CBD</t>
  </si>
  <si>
    <t xml:space="preserve">COSTP0004</t>
  </si>
  <si>
    <t xml:space="preserve">Cosy TP Emb. Wrap. 40s Singles White</t>
  </si>
  <si>
    <t xml:space="preserve">Parent reel short shipped</t>
  </si>
  <si>
    <t xml:space="preserve">SO363507</t>
  </si>
  <si>
    <t xml:space="preserve">Khetia Drapers Ltd - Kakamega Poa</t>
  </si>
  <si>
    <t xml:space="preserve">COSTP0006</t>
  </si>
  <si>
    <t xml:space="preserve">Cosy TP Emb. Unwrap. 4x10s White</t>
  </si>
  <si>
    <t xml:space="preserve">shipped_full</t>
  </si>
  <si>
    <t xml:space="preserve">Cleared on 22 Jul run</t>
  </si>
  <si>
    <t xml:space="preserve">SO363603</t>
  </si>
  <si>
    <t xml:space="preserve">Khetia Drapers Ltd - Thika</t>
  </si>
  <si>
    <t xml:space="preserve">FAYTP0013</t>
  </si>
  <si>
    <t xml:space="preserve">Fay TP Emb. Wrap. 40s Singles White</t>
  </si>
  <si>
    <t xml:space="preserve">shipped_partial</t>
  </si>
  <si>
    <t xml:space="preserve">75 CASE cancelled by buyer</t>
  </si>
  <si>
    <t xml:space="preserve">SO367035</t>
  </si>
  <si>
    <t xml:space="preserve">Majid Al Futtaim Hypermarkets Ltd - Business Bay Square</t>
  </si>
  <si>
    <t xml:space="preserve">Majid Al Futtaim Hypermarkets Ltd</t>
  </si>
  <si>
    <t xml:space="preserve">Modern Trade T1</t>
  </si>
  <si>
    <t xml:space="preserve">FAYFL0010</t>
  </si>
  <si>
    <t xml:space="preserve">Fay Aluminium Foil Catering (45x50m)</t>
  </si>
  <si>
    <t xml:space="preserve">ROLL</t>
  </si>
  <si>
    <t xml:space="preserve">Import ETA 29 Jul</t>
  </si>
  <si>
    <t xml:space="preserve">a.otieno</t>
  </si>
  <si>
    <t xml:space="preserve">SO367021</t>
  </si>
  <si>
    <t xml:space="preserve">Majid Al Futtaim Hypermarkets Ltd - The Hub</t>
  </si>
  <si>
    <t xml:space="preserve">Same import</t>
  </si>
  <si>
    <t xml:space="preserve">SO364962</t>
  </si>
  <si>
    <t xml:space="preserve">Quick Mart Ltd- Nakuru Statehouse</t>
  </si>
  <si>
    <t xml:space="preserve">Quick Mart Ltd</t>
  </si>
  <si>
    <t xml:space="preserve">SO364948</t>
  </si>
  <si>
    <t xml:space="preserve">Quick Mart Ltd - Rongai</t>
  </si>
  <si>
    <t xml:space="preserve">FAYCL0009</t>
  </si>
  <si>
    <t xml:space="preserve">Fay Cling Film Catering 30cmx300m GP</t>
  </si>
  <si>
    <t xml:space="preserve">PIECE</t>
  </si>
  <si>
    <t xml:space="preserve">Awaiting converting slot</t>
  </si>
  <si>
    <t xml:space="preserve">SO364955</t>
  </si>
  <si>
    <t xml:space="preserve">Quick Mart Ltd - Nakuru</t>
  </si>
  <si>
    <t xml:space="preserve">SO365985</t>
  </si>
  <si>
    <t xml:space="preserve">Sam West Distributors LTD</t>
  </si>
  <si>
    <t xml:space="preserve">General Trade</t>
  </si>
  <si>
    <t xml:space="preserve">TISTP0008</t>
  </si>
  <si>
    <t xml:space="preserve">Tishu Poa TP Emb. Wrap. 4x10s White 100s</t>
  </si>
  <si>
    <t xml:space="preserve">Inter-warehouse transfer 2 days late</t>
  </si>
  <si>
    <t xml:space="preserve">p.kamau</t>
  </si>
  <si>
    <t xml:space="preserve">SO367051</t>
  </si>
  <si>
    <t xml:space="preserve">Stage Mattresses Ltd</t>
  </si>
  <si>
    <t xml:space="preserve">COWGT0001</t>
  </si>
  <si>
    <t xml:space="preserve">Cow &amp; Gate First 400g</t>
  </si>
  <si>
    <t xml:space="preserve">CAN</t>
  </si>
  <si>
    <t xml:space="preserve">No (estimated)</t>
  </si>
  <si>
    <t xml:space="preserve">MSA allocation pending</t>
  </si>
  <si>
    <t xml:space="preserve">SO367174</t>
  </si>
  <si>
    <t xml:space="preserve">Goodlife Pharmacy Ltd</t>
  </si>
  <si>
    <t xml:space="preserve">Pharmacy</t>
  </si>
  <si>
    <t xml:space="preserve">COWGT0002</t>
  </si>
  <si>
    <t xml:space="preserve">Cow &amp; Gate Follow Up 400g</t>
  </si>
  <si>
    <t xml:space="preserve">SO361051</t>
  </si>
  <si>
    <t xml:space="preserve">Nairobi Java House Ltd</t>
  </si>
  <si>
    <t xml:space="preserve">SIFTP0009</t>
  </si>
  <si>
    <t xml:space="preserve">Sifa TP Emb. Unwrap. 4x10s White</t>
  </si>
  <si>
    <t xml:space="preserve">Free-goods line — excluded</t>
  </si>
  <si>
    <t xml:space="preserve">Free / zero-value line</t>
  </si>
  <si>
    <t xml:space="preserve">SO363484</t>
  </si>
  <si>
    <t xml:space="preserve">Maguna's Superstore (K) Ltd - EMBU</t>
  </si>
  <si>
    <t xml:space="preserve">Maguna's Super Stores (K) Ltd</t>
  </si>
  <si>
    <t xml:space="preserve">FAYTP0008</t>
  </si>
  <si>
    <t xml:space="preserve">Fay TP Emb. Unwrap. 4x10s White</t>
  </si>
  <si>
    <t xml:space="preserve">Picked short on first shipment</t>
  </si>
  <si>
    <t xml:space="preserve">SO363482</t>
  </si>
  <si>
    <t xml:space="preserve">Re-opened after shipment cancel</t>
  </si>
  <si>
    <t xml:space="preserve">SO366429</t>
  </si>
  <si>
    <t xml:space="preserve">Sheal Limited</t>
  </si>
  <si>
    <t xml:space="preserve">(not classified)</t>
  </si>
  <si>
    <t xml:space="preserve">TPFGS</t>
  </si>
  <si>
    <t xml:space="preserve">Item code corrected 24 Jul</t>
  </si>
  <si>
    <t xml:space="preserve">c.wanjiru</t>
  </si>
  <si>
    <t xml:space="preserve">SO362943</t>
  </si>
  <si>
    <t xml:space="preserve">Bluewave Multisupplies Ltd</t>
  </si>
  <si>
    <t xml:space="preserve">COSTP0023</t>
  </si>
  <si>
    <t xml:space="preserve">Cosy Poa TP Emb. Wrap. 4x10s White 150s</t>
  </si>
  <si>
    <t xml:space="preserve">Made-to-order, batch not scheduled</t>
  </si>
  <si>
    <t xml:space="preserve">TOTAL</t>
  </si>
  <si>
    <t xml:space="preserve">Event Log — append-only audit trail</t>
  </si>
  <si>
    <t xml:space="preserve">One row per state transition, straight from backorder_line_events. No formulas: this sheet is evidence and must stay immutable.</t>
  </si>
  <si>
    <t xml:space="preserve">Episode ID</t>
  </si>
  <si>
    <t xml:space="preserve">Order Nbr.</t>
  </si>
  <si>
    <t xml:space="preserve">Occurred At</t>
  </si>
  <si>
    <t xml:space="preserve">Event Type</t>
  </si>
  <si>
    <t xml:space="preserve">Event Label</t>
  </si>
  <si>
    <t xml:space="preserve">BO Qty Before</t>
  </si>
  <si>
    <t xml:space="preserve">BO Qty After</t>
  </si>
  <si>
    <t xml:space="preserve">Delta Qty</t>
  </si>
  <si>
    <t xml:space="preserve">Delta Value (KES)</t>
  </si>
  <si>
    <t xml:space="preserve">Order Status at Event</t>
  </si>
  <si>
    <t xml:space="preserve">Reason Code at Event</t>
  </si>
  <si>
    <t xml:space="preserve">Actor</t>
  </si>
  <si>
    <t xml:space="preserve">Sync Run ID</t>
  </si>
  <si>
    <t xml:space="preserve">opened</t>
  </si>
  <si>
    <t xml:space="preserve">Entered backorder — 680 CASE short</t>
  </si>
  <si>
    <t xml:space="preserve">Back Order</t>
  </si>
  <si>
    <t xml:space="preserve">system</t>
  </si>
  <si>
    <t xml:space="preserve">reason_set</t>
  </si>
  <si>
    <t xml:space="preserve">Reason set: Out of stock — production</t>
  </si>
  <si>
    <t xml:space="preserve">partial_fill</t>
  </si>
  <si>
    <t xml:space="preserve">Partial fill — 180 CASE shipped</t>
  </si>
  <si>
    <t xml:space="preserve">Partial fill — 80 CASE shipped</t>
  </si>
  <si>
    <t xml:space="preserve">Entered backorder — 514 CASE short</t>
  </si>
  <si>
    <t xml:space="preserve">Partial fill — 214 CASE shipped</t>
  </si>
  <si>
    <t xml:space="preserve">Partial fill — 160 CASE shipped</t>
  </si>
  <si>
    <t xml:space="preserve">resolved</t>
  </si>
  <si>
    <t xml:space="preserve">Resolved — shipped in full (12 working days)</t>
  </si>
  <si>
    <t xml:space="preserve">Shipping</t>
  </si>
  <si>
    <t xml:space="preserve">Entered backorder — 182 CASE short</t>
  </si>
  <si>
    <t xml:space="preserve">Resolved — shipped in full (5 working days)</t>
  </si>
  <si>
    <t xml:space="preserve">Entered backorder — 120 CASE short (episode 1)</t>
  </si>
  <si>
    <t xml:space="preserve">Resolved — picked and shipped</t>
  </si>
  <si>
    <t xml:space="preserve">reopened</t>
  </si>
  <si>
    <t xml:space="preserve">Re-opened — shipment cancelled, 120 CASE short again (episode 2)</t>
  </si>
  <si>
    <t xml:space="preserve">Resolved — shipped in full (1 working day)</t>
  </si>
  <si>
    <t xml:space="preserve">Entered backorder — 24 ROLL short</t>
  </si>
  <si>
    <t xml:space="preserve">Reason set: Out of stock — procurement (import ETA 29 Jul)</t>
  </si>
  <si>
    <t xml:space="preserve">excluded</t>
  </si>
  <si>
    <t xml:space="preserve">Excluded from KPIs — free / zero-value promotional line</t>
  </si>
  <si>
    <t xml:space="preserve">By item — ranked by Revenue-Days Delayed</t>
  </si>
  <si>
    <t xml:space="preserve">Revenue-Days Delayed is the correct ranking measure: it weights a large order held briefly against a small one held for weeks.</t>
  </si>
  <si>
    <t xml:space="preserve">Description</t>
  </si>
  <si>
    <t xml:space="preserve">Distinct orders</t>
  </si>
  <si>
    <t xml:space="preserve">Peak Qty short</t>
  </si>
  <si>
    <t xml:space="preserve">Repeat episodes</t>
  </si>
  <si>
    <t xml:space="preserve">By account — main account rollup</t>
  </si>
  <si>
    <t xml:space="preserve">Parent / branch hierarchy comes from AcumaticaCustomer.parent_acumatica_id, matching the dashboard tree.</t>
  </si>
  <si>
    <t xml:space="preserve">Branches affected</t>
  </si>
  <si>
    <t xml:space="preserve">Oldest open (days)</t>
  </si>
  <si>
    <t xml:space="preserve">Reconciliation to the Acumatica Sales Orders screen</t>
  </si>
  <si>
    <t xml:space="preserve">Filter: Order Type = SO, Status = Back Order, Created On 01–23 Jul 2026, snapshot 23/07/2026 17:41 EAT. Gate: unexplained variance must be under 0.5%.</t>
  </si>
  <si>
    <t xml:space="preserve">STEP 1 — Acumatica raw export</t>
  </si>
  <si>
    <t xml:space="preserve">Line</t>
  </si>
  <si>
    <t xml:space="preserve">Orders</t>
  </si>
  <si>
    <t xml:space="preserve">Value (KES)</t>
  </si>
  <si>
    <t xml:space="preserve">Acumatica raw export rows</t>
  </si>
  <si>
    <t xml:space="preserve">Screen repeats an order once per shipment</t>
  </si>
  <si>
    <t xml:space="preserve">less duplicate rows (one per shipment)</t>
  </si>
  <si>
    <t xml:space="preserve">SO361051 x4, SO365985 x3, SO366417 x2 ...</t>
  </si>
  <si>
    <t xml:space="preserve">→ Acumatica DISTINCT orders</t>
  </si>
  <si>
    <t xml:space="preserve">This is the number to quote</t>
  </si>
  <si>
    <t xml:space="preserve">Acumatica "Unbilled Order Total"</t>
  </si>
  <si>
    <t xml:space="preserve">Finance view of open value</t>
  </si>
  <si>
    <t xml:space="preserve">STEP 2 — Bridge to dashboard Revenue at Risk</t>
  </si>
  <si>
    <t xml:space="preserve">Bridge line</t>
  </si>
  <si>
    <t xml:space="preserve">Why it differs</t>
  </si>
  <si>
    <t xml:space="preserve">Acumatica Unbilled Order Total</t>
  </si>
  <si>
    <t xml:space="preserve">Starting point — the ERP figure</t>
  </si>
  <si>
    <t xml:space="preserve">less shipped, not yet invoiced</t>
  </si>
  <si>
    <t xml:space="preserve">Unbilled includes goods already despatched</t>
  </si>
  <si>
    <t xml:space="preserve">less zero-value / free promotional lines</t>
  </si>
  <si>
    <t xml:space="preserve">e.g. SO366417 read Unbilled 0 while still Back Order</t>
  </si>
  <si>
    <t xml:space="preserve">less non-SO order types (PP)</t>
  </si>
  <si>
    <t xml:space="preserve">Screen filter said SO but export leaked 12 PP rows</t>
  </si>
  <si>
    <t xml:space="preserve">less rejected / on-hold headers</t>
  </si>
  <si>
    <t xml:space="preserve">Credit blocks — never reached the warehouse</t>
  </si>
  <si>
    <t xml:space="preserve">plus short lines on "Shipping" headers</t>
  </si>
  <si>
    <t xml:space="preserve">Line is short although the header has moved on</t>
  </si>
  <si>
    <t xml:space="preserve">plus qty picked but not shipped (committed)</t>
  </si>
  <si>
    <t xml:space="preserve">Held OPEN by design — customer still has nothing</t>
  </si>
  <si>
    <t xml:space="preserve">Sample-data adjustment  ** TEMPLATE ONLY — DELETE IN PRODUCTION **</t>
  </si>
  <si>
    <t xml:space="preserve">Exists only so this template demonstrates a PASSING gate. Real bridge lines must be derived from the ledger.</t>
  </si>
  <si>
    <t xml:space="preserve">→ Dashboard Revenue at Risk (expected)</t>
  </si>
  <si>
    <t xml:space="preserve">Dashboard Revenue at Risk (actual, from Summary)</t>
  </si>
  <si>
    <t xml:space="preserve">Unexplained variance</t>
  </si>
  <si>
    <t xml:space="preserve">Reconciled?</t>
  </si>
  <si>
    <t xml:space="preserve">The bridge amounts above are ILLUSTRATIVE. ReconcileWithAcumaticaJob must compute each line from the ledger, not by hand.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</si>
</sst>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;\(#,##0\);\-"/>
    <numFmt numFmtId="167" formatCode="#,##0.0"/>
    <numFmt numFmtId="168" formatCode="0.0%"/>
    <numFmt numFmtId="169" formatCode="dd\-mmm\-yy"/>
    <numFmt numFmtId="170" formatCode="#,##0.00"/>
    <numFmt numFmtId="171" formatCode="dd\-mmm\-yy\ 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1" customFormat="false" ht="15" hidden="false" customHeight="false" outlineLevel="0" collapsed="false">
      <c r="A11" s="3" t="s">
        <v>13</v>
      </c>
    </row>
    <row r="12" customFormat="false" ht="21.75" hidden="false" customHeight="true" outlineLevel="0" collapsed="false">
      <c r="A12" s="6" t="s">
        <v>14</v>
      </c>
      <c r="B12" s="6" t="s">
        <v>15</v>
      </c>
    </row>
    <row r="13" customFormat="false" ht="15" hidden="false" customHeight="false" outlineLevel="0" collapsed="false">
      <c r="A13" s="5" t="s">
        <v>16</v>
      </c>
      <c r="B13" s="5" t="s">
        <v>17</v>
      </c>
    </row>
    <row r="14" customFormat="false" ht="15" hidden="false" customHeight="false" outlineLevel="0" collapsed="false">
      <c r="A14" s="5" t="s">
        <v>18</v>
      </c>
      <c r="B14" s="5" t="s">
        <v>19</v>
      </c>
    </row>
    <row r="15" customFormat="false" ht="15" hidden="false" customHeight="false" outlineLevel="0" collapsed="false">
      <c r="A15" s="5" t="s">
        <v>20</v>
      </c>
      <c r="B15" s="5" t="s">
        <v>21</v>
      </c>
    </row>
    <row r="16" customFormat="false" ht="15" hidden="false" customHeight="false" outlineLevel="0" collapsed="false">
      <c r="A16" s="5" t="s">
        <v>22</v>
      </c>
      <c r="B16" s="5" t="s">
        <v>23</v>
      </c>
    </row>
    <row r="17" customFormat="false" ht="15" hidden="false" customHeight="false" outlineLevel="0" collapsed="false">
      <c r="A17" s="5" t="s">
        <v>24</v>
      </c>
      <c r="B17" s="5" t="s">
        <v>25</v>
      </c>
    </row>
    <row r="18" customFormat="false" ht="15" hidden="false" customHeight="false" outlineLevel="0" collapsed="false">
      <c r="A18" s="5" t="s">
        <v>26</v>
      </c>
      <c r="B18" s="5" t="s">
        <v>27</v>
      </c>
    </row>
    <row r="19" customFormat="false" ht="15" hidden="false" customHeight="false" outlineLevel="0" collapsed="false">
      <c r="A19" s="5" t="s">
        <v>28</v>
      </c>
      <c r="B19" s="5" t="s">
        <v>27</v>
      </c>
    </row>
    <row r="20" customFormat="false" ht="15" hidden="false" customHeight="false" outlineLevel="0" collapsed="false">
      <c r="A20" s="5" t="s">
        <v>29</v>
      </c>
      <c r="B20" s="5" t="s">
        <v>30</v>
      </c>
    </row>
    <row r="21" customFormat="false" ht="15" hidden="false" customHeight="false" outlineLevel="0" collapsed="false">
      <c r="A21" s="5" t="s">
        <v>31</v>
      </c>
      <c r="B21" s="5" t="s">
        <v>32</v>
      </c>
    </row>
    <row r="22" customFormat="false" ht="15" hidden="false" customHeight="false" outlineLevel="0" collapsed="false">
      <c r="A22" s="5" t="s">
        <v>33</v>
      </c>
      <c r="B22" s="5" t="s">
        <v>34</v>
      </c>
    </row>
    <row r="23" customFormat="false" ht="15" hidden="false" customHeight="false" outlineLevel="0" collapsed="false">
      <c r="A23" s="5" t="s">
        <v>35</v>
      </c>
      <c r="B23" s="5" t="s">
        <v>34</v>
      </c>
    </row>
    <row r="24" customFormat="false" ht="15" hidden="false" customHeight="false" outlineLevel="0" collapsed="false">
      <c r="A24" s="5" t="s">
        <v>36</v>
      </c>
      <c r="B24" s="5" t="s">
        <v>34</v>
      </c>
    </row>
    <row r="26" customFormat="false" ht="15" hidden="false" customHeight="false" outlineLevel="0" collapsed="false">
      <c r="A26" s="3" t="s">
        <v>37</v>
      </c>
    </row>
    <row r="27" customFormat="false" ht="21.75" hidden="false" customHeight="true" outlineLevel="0" collapsed="false">
      <c r="A27" s="6" t="s">
        <v>38</v>
      </c>
      <c r="B27" s="6" t="s">
        <v>15</v>
      </c>
      <c r="C27" s="6" t="s">
        <v>39</v>
      </c>
    </row>
    <row r="28" customFormat="false" ht="30" hidden="false" customHeight="true" outlineLevel="0" collapsed="false">
      <c r="A28" s="7" t="s">
        <v>40</v>
      </c>
      <c r="B28" s="8" t="s">
        <v>41</v>
      </c>
      <c r="C28" s="7" t="s">
        <v>42</v>
      </c>
    </row>
    <row r="29" customFormat="false" ht="30" hidden="false" customHeight="true" outlineLevel="0" collapsed="false">
      <c r="A29" s="7" t="s">
        <v>43</v>
      </c>
      <c r="B29" s="8" t="s">
        <v>44</v>
      </c>
      <c r="C29" s="7" t="s">
        <v>45</v>
      </c>
    </row>
    <row r="30" customFormat="false" ht="30" hidden="false" customHeight="true" outlineLevel="0" collapsed="false">
      <c r="A30" s="7" t="s">
        <v>46</v>
      </c>
      <c r="B30" s="8" t="s">
        <v>47</v>
      </c>
      <c r="C30" s="7" t="s">
        <v>48</v>
      </c>
    </row>
    <row r="31" customFormat="false" ht="30" hidden="false" customHeight="true" outlineLevel="0" collapsed="false">
      <c r="A31" s="7" t="s">
        <v>49</v>
      </c>
      <c r="B31" s="8" t="s">
        <v>50</v>
      </c>
      <c r="C31" s="7" t="s">
        <v>51</v>
      </c>
    </row>
    <row r="33" customFormat="false" ht="15" hidden="false" customHeight="false" outlineLevel="0" collapsed="false">
      <c r="A33" s="3" t="s">
        <v>52</v>
      </c>
    </row>
    <row r="34" customFormat="false" ht="21.75" hidden="false" customHeight="true" outlineLevel="0" collapsed="false">
      <c r="A34" s="6" t="s">
        <v>38</v>
      </c>
      <c r="B34" s="6" t="s">
        <v>53</v>
      </c>
      <c r="C34" s="6" t="s">
        <v>54</v>
      </c>
    </row>
    <row r="35" customFormat="false" ht="27.75" hidden="false" customHeight="true" outlineLevel="0" collapsed="false">
      <c r="A35" s="8" t="s">
        <v>55</v>
      </c>
      <c r="B35" s="7" t="s">
        <v>56</v>
      </c>
      <c r="C35" s="7" t="s">
        <v>57</v>
      </c>
    </row>
    <row r="36" customFormat="false" ht="27.75" hidden="false" customHeight="true" outlineLevel="0" collapsed="false">
      <c r="A36" s="8" t="s">
        <v>58</v>
      </c>
      <c r="B36" s="7" t="s">
        <v>59</v>
      </c>
      <c r="C36" s="7" t="s">
        <v>60</v>
      </c>
    </row>
    <row r="37" customFormat="false" ht="27.75" hidden="false" customHeight="true" outlineLevel="0" collapsed="false">
      <c r="A37" s="8" t="s">
        <v>61</v>
      </c>
      <c r="B37" s="7" t="s">
        <v>62</v>
      </c>
      <c r="C37" s="7" t="s">
        <v>63</v>
      </c>
    </row>
    <row r="38" customFormat="false" ht="27.75" hidden="false" customHeight="true" outlineLevel="0" collapsed="false">
      <c r="A38" s="8" t="s">
        <v>64</v>
      </c>
      <c r="B38" s="7" t="s">
        <v>65</v>
      </c>
      <c r="C38" s="7" t="s">
        <v>66</v>
      </c>
    </row>
    <row r="39" customFormat="false" ht="27.75" hidden="false" customHeight="true" outlineLevel="0" collapsed="false">
      <c r="A39" s="8" t="s">
        <v>67</v>
      </c>
      <c r="B39" s="7" t="s">
        <v>68</v>
      </c>
      <c r="C39" s="7" t="s">
        <v>69</v>
      </c>
    </row>
    <row r="40" customFormat="false" ht="27.75" hidden="false" customHeight="true" outlineLevel="0" collapsed="false">
      <c r="A40" s="8" t="s">
        <v>70</v>
      </c>
      <c r="B40" s="7" t="s">
        <v>71</v>
      </c>
      <c r="C40" s="7" t="s">
        <v>72</v>
      </c>
    </row>
    <row r="41" customFormat="false" ht="27.75" hidden="false" customHeight="true" outlineLevel="0" collapsed="false">
      <c r="A41" s="8" t="s">
        <v>73</v>
      </c>
      <c r="B41" s="7" t="s">
        <v>74</v>
      </c>
      <c r="C41" s="7" t="s">
        <v>75</v>
      </c>
    </row>
    <row r="42" customFormat="false" ht="27.75" hidden="false" customHeight="true" outlineLevel="0" collapsed="false">
      <c r="A42" s="8" t="s">
        <v>76</v>
      </c>
      <c r="B42" s="7" t="s">
        <v>77</v>
      </c>
      <c r="C42" s="7" t="s">
        <v>78</v>
      </c>
    </row>
    <row r="43" customFormat="false" ht="27.75" hidden="false" customHeight="true" outlineLevel="0" collapsed="false">
      <c r="A43" s="8" t="s">
        <v>79</v>
      </c>
      <c r="B43" s="7" t="s">
        <v>80</v>
      </c>
      <c r="C43" s="7" t="s">
        <v>81</v>
      </c>
    </row>
    <row r="44" customFormat="false" ht="27.75" hidden="false" customHeight="true" outlineLevel="0" collapsed="false">
      <c r="A44" s="8" t="s">
        <v>82</v>
      </c>
      <c r="B44" s="7" t="s">
        <v>83</v>
      </c>
      <c r="C44" s="7" t="s">
        <v>84</v>
      </c>
    </row>
    <row r="45" customFormat="false" ht="27.75" hidden="false" customHeight="true" outlineLevel="0" collapsed="false">
      <c r="A45" s="8" t="s">
        <v>85</v>
      </c>
      <c r="B45" s="7" t="s">
        <v>86</v>
      </c>
      <c r="C45" s="7" t="s">
        <v>87</v>
      </c>
    </row>
    <row r="47" customFormat="false" ht="15" hidden="false" customHeight="false" outlineLevel="0" collapsed="false">
      <c r="A47" s="9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24" hidden="false" customHeight="true" outlineLevel="0" collapsed="false">
      <c r="A4" s="6" t="s">
        <v>91</v>
      </c>
      <c r="B4" s="6" t="s">
        <v>15</v>
      </c>
      <c r="C4" s="6" t="s">
        <v>92</v>
      </c>
    </row>
    <row r="5" customFormat="false" ht="15" hidden="false" customHeight="false" outlineLevel="0" collapsed="false">
      <c r="A5" s="5" t="s">
        <v>93</v>
      </c>
      <c r="B5" s="10" t="n">
        <f aca="false">COUNTIFS('Episode Detail'!$AP$5:$AP$22,"Open",'Episode Detail'!$AL$5:$AL$22,"No")</f>
        <v>12</v>
      </c>
      <c r="C5" s="11" t="s">
        <v>94</v>
      </c>
    </row>
    <row r="6" customFormat="false" ht="15" hidden="false" customHeight="false" outlineLevel="0" collapsed="false">
      <c r="A6" s="5" t="s">
        <v>95</v>
      </c>
      <c r="B6" s="10" t="n">
        <f aca="false">SUM('Episode Detail'!$AQ$5:$AQ$22)</f>
        <v>12</v>
      </c>
      <c r="C6" s="11" t="s">
        <v>96</v>
      </c>
    </row>
    <row r="7" customFormat="false" ht="15" hidden="false" customHeight="false" outlineLevel="0" collapsed="false">
      <c r="A7" s="5" t="s">
        <v>97</v>
      </c>
      <c r="B7" s="10" t="n">
        <f aca="false">SUM('Episode Detail'!$AR$5:$AR$22)</f>
        <v>8</v>
      </c>
      <c r="C7" s="11" t="s">
        <v>98</v>
      </c>
    </row>
    <row r="8" customFormat="false" ht="15" hidden="false" customHeight="false" outlineLevel="0" collapsed="false">
      <c r="A8" s="5" t="s">
        <v>99</v>
      </c>
      <c r="B8" s="12" t="n">
        <f aca="false">SUMIFS('Episode Detail'!$AB$5:$AB$22,'Episode Detail'!$AP$5:$AP$22,"Open",'Episode Detail'!$AL$5:$AL$22,"No")</f>
        <v>2274582.82</v>
      </c>
      <c r="C8" s="11" t="s">
        <v>100</v>
      </c>
    </row>
    <row r="9" customFormat="false" ht="15" hidden="false" customHeight="false" outlineLevel="0" collapsed="false">
      <c r="A9" s="5" t="s">
        <v>101</v>
      </c>
      <c r="B9" s="10" t="n">
        <f aca="false">COUNTIFS('Episode Detail'!$AP$5:$AP$22,"Resolved",'Episode Detail'!$AL$5:$AL$22,"No")</f>
        <v>5</v>
      </c>
      <c r="C9" s="11" t="s">
        <v>102</v>
      </c>
    </row>
    <row r="10" customFormat="false" ht="15" hidden="false" customHeight="false" outlineLevel="0" collapsed="false">
      <c r="A10" s="5" t="s">
        <v>103</v>
      </c>
      <c r="B10" s="13" t="n">
        <f aca="false">IFERROR(AVERAGEIFS('Episode Detail'!$Q$5:$Q$22,'Episode Detail'!$AP$5:$AP$22,"Resolved",'Episode Detail'!$S$5:$S$22,"Yes",'Episode Detail'!$AL$5:$AL$22,"No"),"")</f>
        <v>5.6</v>
      </c>
      <c r="C10" s="11" t="s">
        <v>104</v>
      </c>
    </row>
    <row r="11" customFormat="false" ht="15" hidden="false" customHeight="false" outlineLevel="0" collapsed="false">
      <c r="A11" s="5" t="s">
        <v>105</v>
      </c>
      <c r="B11" s="10" t="n">
        <f aca="false">_xlfn.MAXIFS('Episode Detail'!$Q$5:$Q$22,'Episode Detail'!$AP$5:$AP$22,"Open",'Episode Detail'!$AL$5:$AL$22,"No")</f>
        <v>15</v>
      </c>
      <c r="C11" s="11" t="s">
        <v>106</v>
      </c>
    </row>
    <row r="12" customFormat="false" ht="15" hidden="false" customHeight="false" outlineLevel="0" collapsed="false">
      <c r="A12" s="5" t="s">
        <v>107</v>
      </c>
      <c r="B12" s="12" t="n">
        <f aca="false">SUMIFS('Episode Detail'!$AC$5:$AC$22,'Episode Detail'!$AL$5:$AL$22,"No")</f>
        <v>320488.84</v>
      </c>
      <c r="C12" s="11" t="s">
        <v>108</v>
      </c>
    </row>
    <row r="13" customFormat="false" ht="15" hidden="false" customHeight="false" outlineLevel="0" collapsed="false">
      <c r="A13" s="5" t="s">
        <v>109</v>
      </c>
      <c r="B13" s="12" t="n">
        <f aca="false">SUMIFS('Episode Detail'!$AD$5:$AD$22,'Episode Detail'!$AL$5:$AL$22,"No")</f>
        <v>534994.6</v>
      </c>
      <c r="C13" s="11" t="s">
        <v>110</v>
      </c>
    </row>
    <row r="14" customFormat="false" ht="15" hidden="false" customHeight="false" outlineLevel="0" collapsed="false">
      <c r="A14" s="5" t="s">
        <v>111</v>
      </c>
      <c r="B14" s="12" t="n">
        <f aca="false">SUMIFS('Episode Detail'!$AE$5:$AE$22,'Episode Detail'!$AL$5:$AL$22,"No")</f>
        <v>256648.56</v>
      </c>
      <c r="C14" s="11" t="s">
        <v>112</v>
      </c>
    </row>
    <row r="15" customFormat="false" ht="15" hidden="false" customHeight="false" outlineLevel="0" collapsed="false">
      <c r="A15" s="5" t="s">
        <v>40</v>
      </c>
      <c r="B15" s="14" t="n">
        <f aca="false">IFERROR(COUNTIFS('Episode Detail'!$AG$5:$AG$22,"&lt;&gt;(unreasoned)",'Episode Detail'!$AL$5:$AL$22,"No")/COUNTIFS('Episode Detail'!$AL$5:$AL$22,"No"),"")</f>
        <v>0.941176470588235</v>
      </c>
      <c r="C15" s="11" t="s">
        <v>113</v>
      </c>
    </row>
    <row r="16" customFormat="false" ht="15" hidden="false" customHeight="false" outlineLevel="0" collapsed="false">
      <c r="A16" s="5" t="s">
        <v>114</v>
      </c>
      <c r="B16" s="14" t="n">
        <f aca="false">IFERROR(COUNTIFS('Episode Detail'!$S$5:$S$22,"Yes",'Episode Detail'!$AL$5:$AL$22,"No")/COUNTIFS('Episode Detail'!$AL$5:$AL$22,"No"),"")</f>
        <v>0.882352941176471</v>
      </c>
      <c r="C16" s="11" t="s">
        <v>115</v>
      </c>
    </row>
    <row r="19" customFormat="false" ht="15" hidden="false" customHeight="false" outlineLevel="0" collapsed="false">
      <c r="A19" s="3" t="s">
        <v>116</v>
      </c>
    </row>
    <row r="20" customFormat="false" ht="24" hidden="false" customHeight="true" outlineLevel="0" collapsed="false">
      <c r="A20" s="6" t="s">
        <v>117</v>
      </c>
      <c r="B20" s="6" t="s">
        <v>15</v>
      </c>
      <c r="C20" s="6" t="s">
        <v>118</v>
      </c>
    </row>
    <row r="21" customFormat="false" ht="15" hidden="false" customHeight="false" outlineLevel="0" collapsed="false">
      <c r="A21" s="5" t="s">
        <v>119</v>
      </c>
      <c r="B21" s="12" t="n">
        <f aca="false">SUMIFS('Episode Detail'!$AE$5:$AE$22,'Episode Detail'!$AH$5:$AH$22,"PRODUCTION",'Episode Detail'!$AL$5:$AL$22,"No")</f>
        <v>226138.2</v>
      </c>
      <c r="C21" s="11" t="s">
        <v>120</v>
      </c>
    </row>
    <row r="22" customFormat="false" ht="15" hidden="false" customHeight="false" outlineLevel="0" collapsed="false">
      <c r="A22" s="5" t="s">
        <v>121</v>
      </c>
      <c r="B22" s="12" t="n">
        <f aca="false">SUMIFS('Episode Detail'!$AB$5:$AB$22,'Episode Detail'!$AH$5:$AH$22,"PRODUCTION",'Episode Detail'!$AP$5:$AP$22,"Open",'Episode Detail'!$AL$5:$AL$22,"No")</f>
        <v>220640.7</v>
      </c>
      <c r="C22" s="11" t="s">
        <v>122</v>
      </c>
    </row>
    <row r="23" customFormat="false" ht="15" hidden="false" customHeight="false" outlineLevel="0" collapsed="false">
      <c r="A23" s="5" t="s">
        <v>123</v>
      </c>
      <c r="B23" s="12" t="n">
        <f aca="false">SUMIFS('Episode Detail'!$AD$5:$AD$22,'Episode Detail'!$AH$5:$AH$22,"PRODUCTION",'Episode Detail'!$AL$5:$AL$22,"No")</f>
        <v>475654</v>
      </c>
      <c r="C23" s="11" t="s">
        <v>124</v>
      </c>
    </row>
    <row r="24" customFormat="false" ht="15" hidden="false" customHeight="false" outlineLevel="0" collapsed="false">
      <c r="A24" s="5" t="s">
        <v>125</v>
      </c>
      <c r="B24" s="10" t="n">
        <f aca="false">COUNTIFS('Episode Detail'!$AH$5:$AH$22,"PRODUCTION",'Episode Detail'!$AL$5:$AL$22,"No")</f>
        <v>8</v>
      </c>
      <c r="C24" s="11" t="s">
        <v>126</v>
      </c>
    </row>
    <row r="25" customFormat="false" ht="15" hidden="false" customHeight="false" outlineLevel="0" collapsed="false">
      <c r="A25" s="5" t="s">
        <v>127</v>
      </c>
      <c r="B25" s="13" t="n">
        <f aca="false">IFERROR(AVERAGEIFS('Episode Detail'!$Q$5:$Q$22,'Episode Detail'!$AH$5:$AH$22,"PRODUCTION",'Episode Detail'!$S$5:$S$22,"Yes",'Episode Detail'!$AL$5:$AL$22,"No"),"")</f>
        <v>10.7142857142857</v>
      </c>
      <c r="C25" s="11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17"/>
    <col collapsed="false" customWidth="true" hidden="false" outlineLevel="0" max="8" min="8" style="0" width="20"/>
    <col collapsed="false" customWidth="true" hidden="false" outlineLevel="0" max="10" min="9" style="0" width="15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42" hidden="false" customHeight="true" outlineLevel="0" collapsed="false">
      <c r="A4" s="6" t="s">
        <v>131</v>
      </c>
      <c r="B4" s="6" t="s">
        <v>132</v>
      </c>
      <c r="C4" s="6" t="s">
        <v>133</v>
      </c>
      <c r="D4" s="6" t="s">
        <v>134</v>
      </c>
      <c r="E4" s="6" t="s">
        <v>135</v>
      </c>
      <c r="F4" s="6" t="s">
        <v>136</v>
      </c>
      <c r="G4" s="6" t="s">
        <v>137</v>
      </c>
      <c r="H4" s="6" t="s">
        <v>138</v>
      </c>
      <c r="I4" s="6" t="s">
        <v>139</v>
      </c>
      <c r="J4" s="6" t="s">
        <v>140</v>
      </c>
    </row>
    <row r="5" customFormat="false" ht="15" hidden="false" customHeight="false" outlineLevel="0" collapsed="false">
      <c r="A5" s="15" t="s">
        <v>141</v>
      </c>
      <c r="B5" s="15" t="s">
        <v>142</v>
      </c>
      <c r="C5" s="15" t="s">
        <v>143</v>
      </c>
      <c r="D5" s="16" t="n">
        <f aca="false">COUNTIFS('Episode Detail'!$AH$5:$AH$22,$A5,'Episode Detail'!$AL$5:$AL$22,"No")</f>
        <v>8</v>
      </c>
      <c r="E5" s="17" t="n">
        <f aca="false">SUMIFS('Episode Detail'!$U$5:$U$22,'Episode Detail'!$AH$5:$AH$22,$A5,'Episode Detail'!$AL$5:$AL$22,"No")</f>
        <v>3080</v>
      </c>
      <c r="F5" s="17" t="n">
        <f aca="false">SUMIFS('Episode Detail'!$AB$5:$AB$22,'Episode Detail'!$AH$5:$AH$22,$A5,'Episode Detail'!$AP$5:$AP$22,"Open",'Episode Detail'!$AL$5:$AL$22,"No")</f>
        <v>220640.7</v>
      </c>
      <c r="G5" s="17" t="n">
        <f aca="false">SUMIFS('Episode Detail'!$AC$5:$AC$22,'Episode Detail'!$AH$5:$AH$22,$A5,'Episode Detail'!$AL$5:$AL$22,"No")</f>
        <v>68216.1</v>
      </c>
      <c r="H5" s="17" t="n">
        <f aca="false">SUMIFS('Episode Detail'!$AD$5:$AD$22,'Episode Detail'!$AH$5:$AH$22,$A5,'Episode Detail'!$AL$5:$AL$22,"No")</f>
        <v>475654</v>
      </c>
      <c r="I5" s="17" t="n">
        <f aca="false">SUMIFS('Episode Detail'!$AE$5:$AE$22,'Episode Detail'!$AH$5:$AH$22,$A5,'Episode Detail'!$AL$5:$AL$22,"No")</f>
        <v>226138.2</v>
      </c>
      <c r="J5" s="18" t="n">
        <f aca="false">IFERROR(AVERAGEIFS('Episode Detail'!$Q$5:$Q$22,'Episode Detail'!$AH$5:$AH$22,$A5,'Episode Detail'!$S$5:$S$22,"Yes",'Episode Detail'!$AL$5:$AL$22,"No"),"")</f>
        <v>10.7142857142857</v>
      </c>
    </row>
    <row r="6" customFormat="false" ht="15" hidden="false" customHeight="false" outlineLevel="0" collapsed="false">
      <c r="A6" s="5"/>
      <c r="B6" s="5" t="s">
        <v>144</v>
      </c>
      <c r="C6" s="5"/>
      <c r="D6" s="19" t="n">
        <f aca="false">COUNTIFS('Episode Detail'!$AG$5:$AG$22,$B6,'Episode Detail'!$AL$5:$AL$22,"No")</f>
        <v>4</v>
      </c>
      <c r="E6" s="20" t="n">
        <f aca="false">SUMIFS('Episode Detail'!$U$5:$U$22,'Episode Detail'!$AG$5:$AG$22,$B6,'Episode Detail'!$AL$5:$AL$22,"No")</f>
        <v>2266</v>
      </c>
      <c r="F6" s="20" t="n">
        <f aca="false">SUMIFS('Episode Detail'!$AB$5:$AB$22,'Episode Detail'!$AG$5:$AG$22,$B6,'Episode Detail'!$AP$5:$AP$22,"Open",'Episode Detail'!$AL$5:$AL$22,"No")</f>
        <v>135137.4</v>
      </c>
      <c r="G6" s="20" t="n">
        <f aca="false">SUMIFS('Episode Detail'!$AC$5:$AC$22,'Episode Detail'!$AG$5:$AG$22,$B6,'Episode Detail'!$AL$5:$AL$22,"No")</f>
        <v>68216.1</v>
      </c>
      <c r="H6" s="20" t="n">
        <f aca="false">SUMIFS('Episode Detail'!$AD$5:$AD$22,'Episode Detail'!$AG$5:$AG$22,$B6,'Episode Detail'!$AL$5:$AL$22,"No")</f>
        <v>475654</v>
      </c>
      <c r="I6" s="20" t="n">
        <f aca="false">SUMIFS('Episode Detail'!$AE$5:$AE$22,'Episode Detail'!$AG$5:$AG$22,$B6,'Episode Detail'!$AL$5:$AL$22,"No")</f>
        <v>140634.9</v>
      </c>
      <c r="J6" s="21" t="n">
        <f aca="false">IFERROR(AVERAGEIFS('Episode Detail'!$Q$5:$Q$22,'Episode Detail'!$AG$5:$AG$22,$B6,'Episode Detail'!$S$5:$S$22,"Yes",'Episode Detail'!$AL$5:$AL$22,"No"),"")</f>
        <v>11</v>
      </c>
    </row>
    <row r="7" customFormat="false" ht="15" hidden="false" customHeight="false" outlineLevel="0" collapsed="false">
      <c r="A7" s="5"/>
      <c r="B7" s="5" t="s">
        <v>145</v>
      </c>
      <c r="C7" s="5"/>
      <c r="D7" s="19" t="n">
        <f aca="false">COUNTIFS('Episode Detail'!$AG$5:$AG$22,$B7,'Episode Detail'!$AL$5:$AL$22,"No")</f>
        <v>0</v>
      </c>
      <c r="E7" s="20" t="n">
        <f aca="false">SUMIFS('Episode Detail'!$U$5:$U$22,'Episode Detail'!$AG$5:$AG$22,$B7,'Episode Detail'!$AL$5:$AL$22,"No")</f>
        <v>0</v>
      </c>
      <c r="F7" s="20" t="n">
        <f aca="false">SUMIFS('Episode Detail'!$AB$5:$AB$22,'Episode Detail'!$AG$5:$AG$22,$B7,'Episode Detail'!$AP$5:$AP$22,"Open",'Episode Detail'!$AL$5:$AL$22,"No")</f>
        <v>0</v>
      </c>
      <c r="G7" s="20" t="n">
        <f aca="false">SUMIFS('Episode Detail'!$AC$5:$AC$22,'Episode Detail'!$AG$5:$AG$22,$B7,'Episode Detail'!$AL$5:$AL$22,"No")</f>
        <v>0</v>
      </c>
      <c r="H7" s="20" t="n">
        <f aca="false">SUMIFS('Episode Detail'!$AD$5:$AD$22,'Episode Detail'!$AG$5:$AG$22,$B7,'Episode Detail'!$AL$5:$AL$22,"No")</f>
        <v>0</v>
      </c>
      <c r="I7" s="20" t="n">
        <f aca="false">SUMIFS('Episode Detail'!$AE$5:$AE$22,'Episode Detail'!$AG$5:$AG$22,$B7,'Episode Detail'!$AL$5:$AL$22,"No")</f>
        <v>0</v>
      </c>
      <c r="J7" s="21" t="str">
        <f aca="false">IFERROR(AVERAGEIFS('Episode Detail'!$Q$5:$Q$22,'Episode Detail'!$AG$5:$AG$22,$B7,'Episode Detail'!$S$5:$S$22,"Yes",'Episode Detail'!$AL$5:$AL$22,"No"),"")</f>
        <v/>
      </c>
    </row>
    <row r="8" customFormat="false" ht="15" hidden="false" customHeight="false" outlineLevel="0" collapsed="false">
      <c r="A8" s="5"/>
      <c r="B8" s="5" t="s">
        <v>146</v>
      </c>
      <c r="C8" s="5"/>
      <c r="D8" s="19" t="n">
        <f aca="false">COUNTIFS('Episode Detail'!$AG$5:$AG$22,$B8,'Episode Detail'!$AL$5:$AL$22,"No")</f>
        <v>1</v>
      </c>
      <c r="E8" s="20" t="n">
        <f aca="false">SUMIFS('Episode Detail'!$U$5:$U$22,'Episode Detail'!$AG$5:$AG$22,$B8,'Episode Detail'!$AL$5:$AL$22,"No")</f>
        <v>542</v>
      </c>
      <c r="F8" s="20" t="n">
        <f aca="false">SUMIFS('Episode Detail'!$AB$5:$AB$22,'Episode Detail'!$AG$5:$AG$22,$B8,'Episode Detail'!$AP$5:$AP$22,"Open",'Episode Detail'!$AL$5:$AL$22,"No")</f>
        <v>32920.5</v>
      </c>
      <c r="G8" s="20" t="n">
        <f aca="false">SUMIFS('Episode Detail'!$AC$5:$AC$22,'Episode Detail'!$AG$5:$AG$22,$B8,'Episode Detail'!$AL$5:$AL$22,"No")</f>
        <v>0</v>
      </c>
      <c r="H8" s="20" t="n">
        <f aca="false">SUMIFS('Episode Detail'!$AD$5:$AD$22,'Episode Detail'!$AG$5:$AG$22,$B8,'Episode Detail'!$AL$5:$AL$22,"No")</f>
        <v>0</v>
      </c>
      <c r="I8" s="20" t="n">
        <f aca="false">SUMIFS('Episode Detail'!$AE$5:$AE$22,'Episode Detail'!$AG$5:$AG$22,$B8,'Episode Detail'!$AL$5:$AL$22,"No")</f>
        <v>32920.5</v>
      </c>
      <c r="J8" s="21" t="n">
        <f aca="false">IFERROR(AVERAGEIFS('Episode Detail'!$Q$5:$Q$22,'Episode Detail'!$AG$5:$AG$22,$B8,'Episode Detail'!$S$5:$S$22,"Yes",'Episode Detail'!$AL$5:$AL$22,"No"),"")</f>
        <v>13</v>
      </c>
    </row>
    <row r="9" customFormat="false" ht="15" hidden="false" customHeight="false" outlineLevel="0" collapsed="false">
      <c r="A9" s="5"/>
      <c r="B9" s="5" t="s">
        <v>147</v>
      </c>
      <c r="C9" s="5"/>
      <c r="D9" s="19" t="n">
        <f aca="false">COUNTIFS('Episode Detail'!$AG$5:$AG$22,$B9,'Episode Detail'!$AL$5:$AL$22,"No")</f>
        <v>1</v>
      </c>
      <c r="E9" s="20" t="n">
        <f aca="false">SUMIFS('Episode Detail'!$U$5:$U$22,'Episode Detail'!$AG$5:$AG$22,$B9,'Episode Detail'!$AL$5:$AL$22,"No")</f>
        <v>260</v>
      </c>
      <c r="F9" s="20" t="n">
        <f aca="false">SUMIFS('Episode Detail'!$AB$5:$AB$22,'Episode Detail'!$AG$5:$AG$22,$B9,'Episode Detail'!$AP$5:$AP$22,"Open",'Episode Detail'!$AL$5:$AL$22,"No")</f>
        <v>19500</v>
      </c>
      <c r="G9" s="20" t="n">
        <f aca="false">SUMIFS('Episode Detail'!$AC$5:$AC$22,'Episode Detail'!$AG$5:$AG$22,$B9,'Episode Detail'!$AL$5:$AL$22,"No")</f>
        <v>0</v>
      </c>
      <c r="H9" s="20" t="n">
        <f aca="false">SUMIFS('Episode Detail'!$AD$5:$AD$22,'Episode Detail'!$AG$5:$AG$22,$B9,'Episode Detail'!$AL$5:$AL$22,"No")</f>
        <v>0</v>
      </c>
      <c r="I9" s="20" t="n">
        <f aca="false">SUMIFS('Episode Detail'!$AE$5:$AE$22,'Episode Detail'!$AG$5:$AG$22,$B9,'Episode Detail'!$AL$5:$AL$22,"No")</f>
        <v>19500</v>
      </c>
      <c r="J9" s="21" t="str">
        <f aca="false">IFERROR(AVERAGEIFS('Episode Detail'!$Q$5:$Q$22,'Episode Detail'!$AG$5:$AG$22,$B9,'Episode Detail'!$S$5:$S$22,"Yes",'Episode Detail'!$AL$5:$AL$22,"No"),"")</f>
        <v/>
      </c>
    </row>
    <row r="10" customFormat="false" ht="15" hidden="false" customHeight="false" outlineLevel="0" collapsed="false">
      <c r="A10" s="5"/>
      <c r="B10" s="5" t="s">
        <v>148</v>
      </c>
      <c r="C10" s="5"/>
      <c r="D10" s="19" t="n">
        <f aca="false">COUNTIFS('Episode Detail'!$AG$5:$AG$22,$B10,'Episode Detail'!$AL$5:$AL$22,"No")</f>
        <v>2</v>
      </c>
      <c r="E10" s="20" t="n">
        <f aca="false">SUMIFS('Episode Detail'!$U$5:$U$22,'Episode Detail'!$AG$5:$AG$22,$B10,'Episode Detail'!$AL$5:$AL$22,"No")</f>
        <v>12</v>
      </c>
      <c r="F10" s="20" t="n">
        <f aca="false">SUMIFS('Episode Detail'!$AB$5:$AB$22,'Episode Detail'!$AG$5:$AG$22,$B10,'Episode Detail'!$AP$5:$AP$22,"Open",'Episode Detail'!$AL$5:$AL$22,"No")</f>
        <v>33082.8</v>
      </c>
      <c r="G10" s="20" t="n">
        <f aca="false">SUMIFS('Episode Detail'!$AC$5:$AC$22,'Episode Detail'!$AG$5:$AG$22,$B10,'Episode Detail'!$AL$5:$AL$22,"No")</f>
        <v>0</v>
      </c>
      <c r="H10" s="20" t="n">
        <f aca="false">SUMIFS('Episode Detail'!$AD$5:$AD$22,'Episode Detail'!$AG$5:$AG$22,$B10,'Episode Detail'!$AL$5:$AL$22,"No")</f>
        <v>0</v>
      </c>
      <c r="I10" s="20" t="n">
        <f aca="false">SUMIFS('Episode Detail'!$AE$5:$AE$22,'Episode Detail'!$AG$5:$AG$22,$B10,'Episode Detail'!$AL$5:$AL$22,"No")</f>
        <v>33082.8</v>
      </c>
      <c r="J10" s="21" t="n">
        <f aca="false">IFERROR(AVERAGEIFS('Episode Detail'!$Q$5:$Q$22,'Episode Detail'!$AG$5:$AG$22,$B10,'Episode Detail'!$S$5:$S$22,"Yes",'Episode Detail'!$AL$5:$AL$22,"No"),"")</f>
        <v>9</v>
      </c>
    </row>
    <row r="11" customFormat="false" ht="15" hidden="false" customHeight="false" outlineLevel="0" collapsed="false">
      <c r="A11" s="5"/>
      <c r="B11" s="5" t="s">
        <v>149</v>
      </c>
      <c r="C11" s="5"/>
      <c r="D11" s="19" t="n">
        <f aca="false">COUNTIFS('Episode Detail'!$AG$5:$AG$22,$B11,'Episode Detail'!$AL$5:$AL$22,"No")</f>
        <v>0</v>
      </c>
      <c r="E11" s="20" t="n">
        <f aca="false">SUMIFS('Episode Detail'!$U$5:$U$22,'Episode Detail'!$AG$5:$AG$22,$B11,'Episode Detail'!$AL$5:$AL$22,"No")</f>
        <v>0</v>
      </c>
      <c r="F11" s="20" t="n">
        <f aca="false">SUMIFS('Episode Detail'!$AB$5:$AB$22,'Episode Detail'!$AG$5:$AG$22,$B11,'Episode Detail'!$AP$5:$AP$22,"Open",'Episode Detail'!$AL$5:$AL$22,"No")</f>
        <v>0</v>
      </c>
      <c r="G11" s="20" t="n">
        <f aca="false">SUMIFS('Episode Detail'!$AC$5:$AC$22,'Episode Detail'!$AG$5:$AG$22,$B11,'Episode Detail'!$AL$5:$AL$22,"No")</f>
        <v>0</v>
      </c>
      <c r="H11" s="20" t="n">
        <f aca="false">SUMIFS('Episode Detail'!$AD$5:$AD$22,'Episode Detail'!$AG$5:$AG$22,$B11,'Episode Detail'!$AL$5:$AL$22,"No")</f>
        <v>0</v>
      </c>
      <c r="I11" s="20" t="n">
        <f aca="false">SUMIFS('Episode Detail'!$AE$5:$AE$22,'Episode Detail'!$AG$5:$AG$22,$B11,'Episode Detail'!$AL$5:$AL$22,"No")</f>
        <v>0</v>
      </c>
      <c r="J11" s="21" t="str">
        <f aca="false">IFERROR(AVERAGEIFS('Episode Detail'!$Q$5:$Q$22,'Episode Detail'!$AG$5:$AG$22,$B11,'Episode Detail'!$S$5:$S$22,"Yes",'Episode Detail'!$AL$5:$AL$22,"No"),"")</f>
        <v/>
      </c>
    </row>
    <row r="12" customFormat="false" ht="15" hidden="false" customHeight="false" outlineLevel="0" collapsed="false">
      <c r="A12" s="5"/>
      <c r="B12" s="5" t="s">
        <v>150</v>
      </c>
      <c r="C12" s="5"/>
      <c r="D12" s="19" t="n">
        <f aca="false">COUNTIFS('Episode Detail'!$AG$5:$AG$22,$B12,'Episode Detail'!$AL$5:$AL$22,"No")</f>
        <v>0</v>
      </c>
      <c r="E12" s="20" t="n">
        <f aca="false">SUMIFS('Episode Detail'!$U$5:$U$22,'Episode Detail'!$AG$5:$AG$22,$B12,'Episode Detail'!$AL$5:$AL$22,"No")</f>
        <v>0</v>
      </c>
      <c r="F12" s="20" t="n">
        <f aca="false">SUMIFS('Episode Detail'!$AB$5:$AB$22,'Episode Detail'!$AG$5:$AG$22,$B12,'Episode Detail'!$AP$5:$AP$22,"Open",'Episode Detail'!$AL$5:$AL$22,"No")</f>
        <v>0</v>
      </c>
      <c r="G12" s="20" t="n">
        <f aca="false">SUMIFS('Episode Detail'!$AC$5:$AC$22,'Episode Detail'!$AG$5:$AG$22,$B12,'Episode Detail'!$AL$5:$AL$22,"No")</f>
        <v>0</v>
      </c>
      <c r="H12" s="20" t="n">
        <f aca="false">SUMIFS('Episode Detail'!$AD$5:$AD$22,'Episode Detail'!$AG$5:$AG$22,$B12,'Episode Detail'!$AL$5:$AL$22,"No")</f>
        <v>0</v>
      </c>
      <c r="I12" s="20" t="n">
        <f aca="false">SUMIFS('Episode Detail'!$AE$5:$AE$22,'Episode Detail'!$AG$5:$AG$22,$B12,'Episode Detail'!$AL$5:$AL$22,"No")</f>
        <v>0</v>
      </c>
      <c r="J12" s="21" t="str">
        <f aca="false">IFERROR(AVERAGEIFS('Episode Detail'!$Q$5:$Q$22,'Episode Detail'!$AG$5:$AG$22,$B12,'Episode Detail'!$S$5:$S$22,"Yes",'Episode Detail'!$AL$5:$AL$22,"No"),"")</f>
        <v/>
      </c>
    </row>
    <row r="13" customFormat="false" ht="15" hidden="false" customHeight="false" outlineLevel="0" collapsed="false">
      <c r="A13" s="5"/>
      <c r="B13" s="5" t="s">
        <v>151</v>
      </c>
      <c r="C13" s="5"/>
      <c r="D13" s="19" t="n">
        <f aca="false">COUNTIFS('Episode Detail'!$AG$5:$AG$22,$B13,'Episode Detail'!$AL$5:$AL$22,"No")</f>
        <v>0</v>
      </c>
      <c r="E13" s="20" t="n">
        <f aca="false">SUMIFS('Episode Detail'!$U$5:$U$22,'Episode Detail'!$AG$5:$AG$22,$B13,'Episode Detail'!$AL$5:$AL$22,"No")</f>
        <v>0</v>
      </c>
      <c r="F13" s="20" t="n">
        <f aca="false">SUMIFS('Episode Detail'!$AB$5:$AB$22,'Episode Detail'!$AG$5:$AG$22,$B13,'Episode Detail'!$AP$5:$AP$22,"Open",'Episode Detail'!$AL$5:$AL$22,"No")</f>
        <v>0</v>
      </c>
      <c r="G13" s="20" t="n">
        <f aca="false">SUMIFS('Episode Detail'!$AC$5:$AC$22,'Episode Detail'!$AG$5:$AG$22,$B13,'Episode Detail'!$AL$5:$AL$22,"No")</f>
        <v>0</v>
      </c>
      <c r="H13" s="20" t="n">
        <f aca="false">SUMIFS('Episode Detail'!$AD$5:$AD$22,'Episode Detail'!$AG$5:$AG$22,$B13,'Episode Detail'!$AL$5:$AL$22,"No")</f>
        <v>0</v>
      </c>
      <c r="I13" s="20" t="n">
        <f aca="false">SUMIFS('Episode Detail'!$AE$5:$AE$22,'Episode Detail'!$AG$5:$AG$22,$B13,'Episode Detail'!$AL$5:$AL$22,"No")</f>
        <v>0</v>
      </c>
      <c r="J13" s="21" t="str">
        <f aca="false">IFERROR(AVERAGEIFS('Episode Detail'!$Q$5:$Q$22,'Episode Detail'!$AG$5:$AG$22,$B13,'Episode Detail'!$S$5:$S$22,"Yes",'Episode Detail'!$AL$5:$AL$22,"No"),"")</f>
        <v/>
      </c>
    </row>
    <row r="14" customFormat="false" ht="15" hidden="false" customHeight="false" outlineLevel="0" collapsed="false">
      <c r="A14" s="15" t="s">
        <v>152</v>
      </c>
      <c r="B14" s="15" t="s">
        <v>142</v>
      </c>
      <c r="C14" s="15" t="s">
        <v>143</v>
      </c>
      <c r="D14" s="16" t="n">
        <f aca="false">COUNTIFS('Episode Detail'!$AH$5:$AH$22,$A14,'Episode Detail'!$AL$5:$AL$22,"No")</f>
        <v>4</v>
      </c>
      <c r="E14" s="17" t="n">
        <f aca="false">SUMIFS('Episode Detail'!$U$5:$U$22,'Episode Detail'!$AH$5:$AH$22,$A14,'Episode Detail'!$AL$5:$AL$22,"No")</f>
        <v>90</v>
      </c>
      <c r="F14" s="17" t="n">
        <f aca="false">SUMIFS('Episode Detail'!$AB$5:$AB$22,'Episode Detail'!$AH$5:$AH$22,$A14,'Episode Detail'!$AP$5:$AP$22,"Open",'Episode Detail'!$AL$5:$AL$22,"No")</f>
        <v>158475.6</v>
      </c>
      <c r="G14" s="17" t="n">
        <f aca="false">SUMIFS('Episode Detail'!$AC$5:$AC$22,'Episode Detail'!$AH$5:$AH$22,$A14,'Episode Detail'!$AL$5:$AL$22,"No")</f>
        <v>0</v>
      </c>
      <c r="H14" s="17" t="n">
        <f aca="false">SUMIFS('Episode Detail'!$AD$5:$AD$22,'Episode Detail'!$AH$5:$AH$22,$A14,'Episode Detail'!$AL$5:$AL$22,"No")</f>
        <v>0</v>
      </c>
      <c r="I14" s="17" t="n">
        <f aca="false">SUMIFS('Episode Detail'!$AE$5:$AE$22,'Episode Detail'!$AH$5:$AH$22,$A14,'Episode Detail'!$AL$5:$AL$22,"No")</f>
        <v>30510.36</v>
      </c>
      <c r="J14" s="18" t="n">
        <f aca="false">IFERROR(AVERAGEIFS('Episode Detail'!$Q$5:$Q$22,'Episode Detail'!$AH$5:$AH$22,$A14,'Episode Detail'!$S$5:$S$22,"Yes",'Episode Detail'!$AL$5:$AL$22,"No"),"")</f>
        <v>4</v>
      </c>
    </row>
    <row r="15" customFormat="false" ht="15" hidden="false" customHeight="false" outlineLevel="0" collapsed="false">
      <c r="A15" s="5"/>
      <c r="B15" s="5" t="s">
        <v>153</v>
      </c>
      <c r="C15" s="5"/>
      <c r="D15" s="19" t="n">
        <f aca="false">COUNTIFS('Episode Detail'!$AG$5:$AG$22,$B15,'Episode Detail'!$AL$5:$AL$22,"No")</f>
        <v>3</v>
      </c>
      <c r="E15" s="20" t="n">
        <f aca="false">SUMIFS('Episode Detail'!$U$5:$U$22,'Episode Detail'!$AG$5:$AG$22,$B15,'Episode Detail'!$AL$5:$AL$22,"No")</f>
        <v>54</v>
      </c>
      <c r="F15" s="20" t="n">
        <f aca="false">SUMIFS('Episode Detail'!$AB$5:$AB$22,'Episode Detail'!$AG$5:$AG$22,$B15,'Episode Detail'!$AP$5:$AP$22,"Open",'Episode Detail'!$AL$5:$AL$22,"No")</f>
        <v>121215.6</v>
      </c>
      <c r="G15" s="20" t="n">
        <f aca="false">SUMIFS('Episode Detail'!$AC$5:$AC$22,'Episode Detail'!$AG$5:$AG$22,$B15,'Episode Detail'!$AL$5:$AL$22,"No")</f>
        <v>0</v>
      </c>
      <c r="H15" s="20" t="n">
        <f aca="false">SUMIFS('Episode Detail'!$AD$5:$AD$22,'Episode Detail'!$AG$5:$AG$22,$B15,'Episode Detail'!$AL$5:$AL$22,"No")</f>
        <v>0</v>
      </c>
      <c r="I15" s="20" t="n">
        <f aca="false">SUMIFS('Episode Detail'!$AE$5:$AE$22,'Episode Detail'!$AG$5:$AG$22,$B15,'Episode Detail'!$AL$5:$AL$22,"No")</f>
        <v>30510.36</v>
      </c>
      <c r="J15" s="21" t="n">
        <f aca="false">IFERROR(AVERAGEIFS('Episode Detail'!$Q$5:$Q$22,'Episode Detail'!$AG$5:$AG$22,$B15,'Episode Detail'!$S$5:$S$22,"Yes",'Episode Detail'!$AL$5:$AL$22,"No"),"")</f>
        <v>4</v>
      </c>
    </row>
    <row r="16" customFormat="false" ht="15" hidden="false" customHeight="false" outlineLevel="0" collapsed="false">
      <c r="A16" s="5"/>
      <c r="B16" s="5" t="s">
        <v>154</v>
      </c>
      <c r="C16" s="5"/>
      <c r="D16" s="19" t="n">
        <f aca="false">COUNTIFS('Episode Detail'!$AG$5:$AG$22,$B16,'Episode Detail'!$AL$5:$AL$22,"No")</f>
        <v>1</v>
      </c>
      <c r="E16" s="20" t="n">
        <f aca="false">SUMIFS('Episode Detail'!$U$5:$U$22,'Episode Detail'!$AG$5:$AG$22,$B16,'Episode Detail'!$AL$5:$AL$22,"No")</f>
        <v>36</v>
      </c>
      <c r="F16" s="20" t="n">
        <f aca="false">SUMIFS('Episode Detail'!$AB$5:$AB$22,'Episode Detail'!$AG$5:$AG$22,$B16,'Episode Detail'!$AP$5:$AP$22,"Open",'Episode Detail'!$AL$5:$AL$22,"No")</f>
        <v>37260</v>
      </c>
      <c r="G16" s="20" t="n">
        <f aca="false">SUMIFS('Episode Detail'!$AC$5:$AC$22,'Episode Detail'!$AG$5:$AG$22,$B16,'Episode Detail'!$AL$5:$AL$22,"No")</f>
        <v>0</v>
      </c>
      <c r="H16" s="20" t="n">
        <f aca="false">SUMIFS('Episode Detail'!$AD$5:$AD$22,'Episode Detail'!$AG$5:$AG$22,$B16,'Episode Detail'!$AL$5:$AL$22,"No")</f>
        <v>0</v>
      </c>
      <c r="I16" s="20" t="n">
        <f aca="false">SUMIFS('Episode Detail'!$AE$5:$AE$22,'Episode Detail'!$AG$5:$AG$22,$B16,'Episode Detail'!$AL$5:$AL$22,"No")</f>
        <v>0</v>
      </c>
      <c r="J16" s="21" t="str">
        <f aca="false">IFERROR(AVERAGEIFS('Episode Detail'!$Q$5:$Q$22,'Episode Detail'!$AG$5:$AG$22,$B16,'Episode Detail'!$S$5:$S$22,"Yes",'Episode Detail'!$AL$5:$AL$22,"No"),"")</f>
        <v/>
      </c>
    </row>
    <row r="17" customFormat="false" ht="15" hidden="false" customHeight="false" outlineLevel="0" collapsed="false">
      <c r="A17" s="5"/>
      <c r="B17" s="5" t="s">
        <v>155</v>
      </c>
      <c r="C17" s="5"/>
      <c r="D17" s="19" t="n">
        <f aca="false">COUNTIFS('Episode Detail'!$AG$5:$AG$22,$B17,'Episode Detail'!$AL$5:$AL$22,"No")</f>
        <v>0</v>
      </c>
      <c r="E17" s="20" t="n">
        <f aca="false">SUMIFS('Episode Detail'!$U$5:$U$22,'Episode Detail'!$AG$5:$AG$22,$B17,'Episode Detail'!$AL$5:$AL$22,"No")</f>
        <v>0</v>
      </c>
      <c r="F17" s="20" t="n">
        <f aca="false">SUMIFS('Episode Detail'!$AB$5:$AB$22,'Episode Detail'!$AG$5:$AG$22,$B17,'Episode Detail'!$AP$5:$AP$22,"Open",'Episode Detail'!$AL$5:$AL$22,"No")</f>
        <v>0</v>
      </c>
      <c r="G17" s="20" t="n">
        <f aca="false">SUMIFS('Episode Detail'!$AC$5:$AC$22,'Episode Detail'!$AG$5:$AG$22,$B17,'Episode Detail'!$AL$5:$AL$22,"No")</f>
        <v>0</v>
      </c>
      <c r="H17" s="20" t="n">
        <f aca="false">SUMIFS('Episode Detail'!$AD$5:$AD$22,'Episode Detail'!$AG$5:$AG$22,$B17,'Episode Detail'!$AL$5:$AL$22,"No")</f>
        <v>0</v>
      </c>
      <c r="I17" s="20" t="n">
        <f aca="false">SUMIFS('Episode Detail'!$AE$5:$AE$22,'Episode Detail'!$AG$5:$AG$22,$B17,'Episode Detail'!$AL$5:$AL$22,"No")</f>
        <v>0</v>
      </c>
      <c r="J17" s="21" t="str">
        <f aca="false">IFERROR(AVERAGEIFS('Episode Detail'!$Q$5:$Q$22,'Episode Detail'!$AG$5:$AG$22,$B17,'Episode Detail'!$S$5:$S$22,"Yes",'Episode Detail'!$AL$5:$AL$22,"No"),"")</f>
        <v/>
      </c>
    </row>
    <row r="18" customFormat="false" ht="15" hidden="false" customHeight="false" outlineLevel="0" collapsed="false">
      <c r="A18" s="5"/>
      <c r="B18" s="5" t="s">
        <v>156</v>
      </c>
      <c r="C18" s="5"/>
      <c r="D18" s="19" t="n">
        <f aca="false">COUNTIFS('Episode Detail'!$AG$5:$AG$22,$B18,'Episode Detail'!$AL$5:$AL$22,"No")</f>
        <v>0</v>
      </c>
      <c r="E18" s="20" t="n">
        <f aca="false">SUMIFS('Episode Detail'!$U$5:$U$22,'Episode Detail'!$AG$5:$AG$22,$B18,'Episode Detail'!$AL$5:$AL$22,"No")</f>
        <v>0</v>
      </c>
      <c r="F18" s="20" t="n">
        <f aca="false">SUMIFS('Episode Detail'!$AB$5:$AB$22,'Episode Detail'!$AG$5:$AG$22,$B18,'Episode Detail'!$AP$5:$AP$22,"Open",'Episode Detail'!$AL$5:$AL$22,"No")</f>
        <v>0</v>
      </c>
      <c r="G18" s="20" t="n">
        <f aca="false">SUMIFS('Episode Detail'!$AC$5:$AC$22,'Episode Detail'!$AG$5:$AG$22,$B18,'Episode Detail'!$AL$5:$AL$22,"No")</f>
        <v>0</v>
      </c>
      <c r="H18" s="20" t="n">
        <f aca="false">SUMIFS('Episode Detail'!$AD$5:$AD$22,'Episode Detail'!$AG$5:$AG$22,$B18,'Episode Detail'!$AL$5:$AL$22,"No")</f>
        <v>0</v>
      </c>
      <c r="I18" s="20" t="n">
        <f aca="false">SUMIFS('Episode Detail'!$AE$5:$AE$22,'Episode Detail'!$AG$5:$AG$22,$B18,'Episode Detail'!$AL$5:$AL$22,"No")</f>
        <v>0</v>
      </c>
      <c r="J18" s="21" t="str">
        <f aca="false">IFERROR(AVERAGEIFS('Episode Detail'!$Q$5:$Q$22,'Episode Detail'!$AG$5:$AG$22,$B18,'Episode Detail'!$S$5:$S$22,"Yes",'Episode Detail'!$AL$5:$AL$22,"No"),"")</f>
        <v/>
      </c>
    </row>
    <row r="19" customFormat="false" ht="15" hidden="false" customHeight="false" outlineLevel="0" collapsed="false">
      <c r="A19" s="15" t="s">
        <v>157</v>
      </c>
      <c r="B19" s="15" t="s">
        <v>142</v>
      </c>
      <c r="C19" s="15" t="s">
        <v>34</v>
      </c>
      <c r="D19" s="16" t="n">
        <f aca="false">COUNTIFS('Episode Detail'!$AH$5:$AH$22,$A19,'Episode Detail'!$AL$5:$AL$22,"No")</f>
        <v>3</v>
      </c>
      <c r="E19" s="17" t="n">
        <f aca="false">SUMIFS('Episode Detail'!$U$5:$U$22,'Episode Detail'!$AH$5:$AH$22,$A19,'Episode Detail'!$AL$5:$AL$22,"No")</f>
        <v>564</v>
      </c>
      <c r="F19" s="17" t="n">
        <f aca="false">SUMIFS('Episode Detail'!$AB$5:$AB$22,'Episode Detail'!$AH$5:$AH$22,$A19,'Episode Detail'!$AP$5:$AP$22,"Open",'Episode Detail'!$AL$5:$AL$22,"No")</f>
        <v>0</v>
      </c>
      <c r="G19" s="17" t="n">
        <f aca="false">SUMIFS('Episode Detail'!$AC$5:$AC$22,'Episode Detail'!$AH$5:$AH$22,$A19,'Episode Detail'!$AL$5:$AL$22,"No")</f>
        <v>252272.74</v>
      </c>
      <c r="H19" s="17" t="n">
        <f aca="false">SUMIFS('Episode Detail'!$AD$5:$AD$22,'Episode Detail'!$AH$5:$AH$22,$A19,'Episode Detail'!$AL$5:$AL$22,"No")</f>
        <v>59340.6</v>
      </c>
      <c r="I19" s="17" t="n">
        <f aca="false">SUMIFS('Episode Detail'!$AE$5:$AE$22,'Episode Detail'!$AH$5:$AH$22,$A19,'Episode Detail'!$AL$5:$AL$22,"No")</f>
        <v>0</v>
      </c>
      <c r="J19" s="18" t="n">
        <f aca="false">IFERROR(AVERAGEIFS('Episode Detail'!$Q$5:$Q$22,'Episode Detail'!$AH$5:$AH$22,$A19,'Episode Detail'!$S$5:$S$22,"Yes",'Episode Detail'!$AL$5:$AL$22,"No"),"")</f>
        <v>3.33333333333333</v>
      </c>
    </row>
    <row r="20" customFormat="false" ht="15" hidden="false" customHeight="false" outlineLevel="0" collapsed="false">
      <c r="A20" s="5"/>
      <c r="B20" s="5" t="s">
        <v>158</v>
      </c>
      <c r="C20" s="5"/>
      <c r="D20" s="19" t="n">
        <f aca="false">COUNTIFS('Episode Detail'!$AG$5:$AG$22,$B20,'Episode Detail'!$AL$5:$AL$22,"No")</f>
        <v>0</v>
      </c>
      <c r="E20" s="20" t="n">
        <f aca="false">SUMIFS('Episode Detail'!$U$5:$U$22,'Episode Detail'!$AG$5:$AG$22,$B20,'Episode Detail'!$AL$5:$AL$22,"No")</f>
        <v>0</v>
      </c>
      <c r="F20" s="20" t="n">
        <f aca="false">SUMIFS('Episode Detail'!$AB$5:$AB$22,'Episode Detail'!$AG$5:$AG$22,$B20,'Episode Detail'!$AP$5:$AP$22,"Open",'Episode Detail'!$AL$5:$AL$22,"No")</f>
        <v>0</v>
      </c>
      <c r="G20" s="20" t="n">
        <f aca="false">SUMIFS('Episode Detail'!$AC$5:$AC$22,'Episode Detail'!$AG$5:$AG$22,$B20,'Episode Detail'!$AL$5:$AL$22,"No")</f>
        <v>0</v>
      </c>
      <c r="H20" s="20" t="n">
        <f aca="false">SUMIFS('Episode Detail'!$AD$5:$AD$22,'Episode Detail'!$AG$5:$AG$22,$B20,'Episode Detail'!$AL$5:$AL$22,"No")</f>
        <v>0</v>
      </c>
      <c r="I20" s="20" t="n">
        <f aca="false">SUMIFS('Episode Detail'!$AE$5:$AE$22,'Episode Detail'!$AG$5:$AG$22,$B20,'Episode Detail'!$AL$5:$AL$22,"No")</f>
        <v>0</v>
      </c>
      <c r="J20" s="21" t="str">
        <f aca="false">IFERROR(AVERAGEIFS('Episode Detail'!$Q$5:$Q$22,'Episode Detail'!$AG$5:$AG$22,$B20,'Episode Detail'!$S$5:$S$22,"Yes",'Episode Detail'!$AL$5:$AL$22,"No"),"")</f>
        <v/>
      </c>
    </row>
    <row r="21" customFormat="false" ht="15" hidden="false" customHeight="false" outlineLevel="0" collapsed="false">
      <c r="A21" s="5"/>
      <c r="B21" s="5" t="s">
        <v>159</v>
      </c>
      <c r="C21" s="5"/>
      <c r="D21" s="19" t="n">
        <f aca="false">COUNTIFS('Episode Detail'!$AG$5:$AG$22,$B21,'Episode Detail'!$AL$5:$AL$22,"No")</f>
        <v>1</v>
      </c>
      <c r="E21" s="20" t="n">
        <f aca="false">SUMIFS('Episode Detail'!$U$5:$U$22,'Episode Detail'!$AG$5:$AG$22,$B21,'Episode Detail'!$AL$5:$AL$22,"No")</f>
        <v>262</v>
      </c>
      <c r="F21" s="20" t="n">
        <f aca="false">SUMIFS('Episode Detail'!$AB$5:$AB$22,'Episode Detail'!$AG$5:$AG$22,$B21,'Episode Detail'!$AP$5:$AP$22,"Open",'Episode Detail'!$AL$5:$AL$22,"No")</f>
        <v>0</v>
      </c>
      <c r="G21" s="20" t="n">
        <f aca="false">SUMIFS('Episode Detail'!$AC$5:$AC$22,'Episode Detail'!$AG$5:$AG$22,$B21,'Episode Detail'!$AL$5:$AL$22,"No")</f>
        <v>225364.54</v>
      </c>
      <c r="H21" s="20" t="n">
        <f aca="false">SUMIFS('Episode Detail'!$AD$5:$AD$22,'Episode Detail'!$AG$5:$AG$22,$B21,'Episode Detail'!$AL$5:$AL$22,"No")</f>
        <v>0</v>
      </c>
      <c r="I21" s="20" t="n">
        <f aca="false">SUMIFS('Episode Detail'!$AE$5:$AE$22,'Episode Detail'!$AG$5:$AG$22,$B21,'Episode Detail'!$AL$5:$AL$22,"No")</f>
        <v>0</v>
      </c>
      <c r="J21" s="21" t="n">
        <f aca="false">IFERROR(AVERAGEIFS('Episode Detail'!$Q$5:$Q$22,'Episode Detail'!$AG$5:$AG$22,$B21,'Episode Detail'!$S$5:$S$22,"Yes",'Episode Detail'!$AL$5:$AL$22,"No"),"")</f>
        <v>2</v>
      </c>
    </row>
    <row r="22" customFormat="false" ht="15" hidden="false" customHeight="false" outlineLevel="0" collapsed="false">
      <c r="A22" s="5"/>
      <c r="B22" s="5" t="s">
        <v>160</v>
      </c>
      <c r="C22" s="5"/>
      <c r="D22" s="19" t="n">
        <f aca="false">COUNTIFS('Episode Detail'!$AG$5:$AG$22,$B22,'Episode Detail'!$AL$5:$AL$22,"No")</f>
        <v>0</v>
      </c>
      <c r="E22" s="20" t="n">
        <f aca="false">SUMIFS('Episode Detail'!$U$5:$U$22,'Episode Detail'!$AG$5:$AG$22,$B22,'Episode Detail'!$AL$5:$AL$22,"No")</f>
        <v>0</v>
      </c>
      <c r="F22" s="20" t="n">
        <f aca="false">SUMIFS('Episode Detail'!$AB$5:$AB$22,'Episode Detail'!$AG$5:$AG$22,$B22,'Episode Detail'!$AP$5:$AP$22,"Open",'Episode Detail'!$AL$5:$AL$22,"No")</f>
        <v>0</v>
      </c>
      <c r="G22" s="20" t="n">
        <f aca="false">SUMIFS('Episode Detail'!$AC$5:$AC$22,'Episode Detail'!$AG$5:$AG$22,$B22,'Episode Detail'!$AL$5:$AL$22,"No")</f>
        <v>0</v>
      </c>
      <c r="H22" s="20" t="n">
        <f aca="false">SUMIFS('Episode Detail'!$AD$5:$AD$22,'Episode Detail'!$AG$5:$AG$22,$B22,'Episode Detail'!$AL$5:$AL$22,"No")</f>
        <v>0</v>
      </c>
      <c r="I22" s="20" t="n">
        <f aca="false">SUMIFS('Episode Detail'!$AE$5:$AE$22,'Episode Detail'!$AG$5:$AG$22,$B22,'Episode Detail'!$AL$5:$AL$22,"No")</f>
        <v>0</v>
      </c>
      <c r="J22" s="21" t="str">
        <f aca="false">IFERROR(AVERAGEIFS('Episode Detail'!$Q$5:$Q$22,'Episode Detail'!$AG$5:$AG$22,$B22,'Episode Detail'!$S$5:$S$22,"Yes",'Episode Detail'!$AL$5:$AL$22,"No"),"")</f>
        <v/>
      </c>
    </row>
    <row r="23" customFormat="false" ht="15" hidden="false" customHeight="false" outlineLevel="0" collapsed="false">
      <c r="A23" s="5"/>
      <c r="B23" s="5" t="s">
        <v>161</v>
      </c>
      <c r="C23" s="5"/>
      <c r="D23" s="19" t="n">
        <f aca="false">COUNTIFS('Episode Detail'!$AG$5:$AG$22,$B23,'Episode Detail'!$AL$5:$AL$22,"No")</f>
        <v>2</v>
      </c>
      <c r="E23" s="20" t="n">
        <f aca="false">SUMIFS('Episode Detail'!$U$5:$U$22,'Episode Detail'!$AG$5:$AG$22,$B23,'Episode Detail'!$AL$5:$AL$22,"No")</f>
        <v>302</v>
      </c>
      <c r="F23" s="20" t="n">
        <f aca="false">SUMIFS('Episode Detail'!$AB$5:$AB$22,'Episode Detail'!$AG$5:$AG$22,$B23,'Episode Detail'!$AP$5:$AP$22,"Open",'Episode Detail'!$AL$5:$AL$22,"No")</f>
        <v>0</v>
      </c>
      <c r="G23" s="20" t="n">
        <f aca="false">SUMIFS('Episode Detail'!$AC$5:$AC$22,'Episode Detail'!$AG$5:$AG$22,$B23,'Episode Detail'!$AL$5:$AL$22,"No")</f>
        <v>26908.2</v>
      </c>
      <c r="H23" s="20" t="n">
        <f aca="false">SUMIFS('Episode Detail'!$AD$5:$AD$22,'Episode Detail'!$AG$5:$AG$22,$B23,'Episode Detail'!$AL$5:$AL$22,"No")</f>
        <v>59340.6</v>
      </c>
      <c r="I23" s="20" t="n">
        <f aca="false">SUMIFS('Episode Detail'!$AE$5:$AE$22,'Episode Detail'!$AG$5:$AG$22,$B23,'Episode Detail'!$AL$5:$AL$22,"No")</f>
        <v>0</v>
      </c>
      <c r="J23" s="21" t="n">
        <f aca="false">IFERROR(AVERAGEIFS('Episode Detail'!$Q$5:$Q$22,'Episode Detail'!$AG$5:$AG$22,$B23,'Episode Detail'!$S$5:$S$22,"Yes",'Episode Detail'!$AL$5:$AL$22,"No"),"")</f>
        <v>4</v>
      </c>
    </row>
    <row r="24" customFormat="false" ht="15" hidden="false" customHeight="false" outlineLevel="0" collapsed="false">
      <c r="A24" s="15" t="s">
        <v>162</v>
      </c>
      <c r="B24" s="15" t="s">
        <v>142</v>
      </c>
      <c r="C24" s="15" t="s">
        <v>34</v>
      </c>
      <c r="D24" s="16" t="n">
        <f aca="false">COUNTIFS('Episode Detail'!$AH$5:$AH$22,$A24,'Episode Detail'!$AL$5:$AL$22,"No")</f>
        <v>0</v>
      </c>
      <c r="E24" s="17" t="n">
        <f aca="false">SUMIFS('Episode Detail'!$U$5:$U$22,'Episode Detail'!$AH$5:$AH$22,$A24,'Episode Detail'!$AL$5:$AL$22,"No")</f>
        <v>0</v>
      </c>
      <c r="F24" s="17" t="n">
        <f aca="false">SUMIFS('Episode Detail'!$AB$5:$AB$22,'Episode Detail'!$AH$5:$AH$22,$A24,'Episode Detail'!$AP$5:$AP$22,"Open",'Episode Detail'!$AL$5:$AL$22,"No")</f>
        <v>0</v>
      </c>
      <c r="G24" s="17" t="n">
        <f aca="false">SUMIFS('Episode Detail'!$AC$5:$AC$22,'Episode Detail'!$AH$5:$AH$22,$A24,'Episode Detail'!$AL$5:$AL$22,"No")</f>
        <v>0</v>
      </c>
      <c r="H24" s="17" t="n">
        <f aca="false">SUMIFS('Episode Detail'!$AD$5:$AD$22,'Episode Detail'!$AH$5:$AH$22,$A24,'Episode Detail'!$AL$5:$AL$22,"No")</f>
        <v>0</v>
      </c>
      <c r="I24" s="17" t="n">
        <f aca="false">SUMIFS('Episode Detail'!$AE$5:$AE$22,'Episode Detail'!$AH$5:$AH$22,$A24,'Episode Detail'!$AL$5:$AL$22,"No")</f>
        <v>0</v>
      </c>
      <c r="J24" s="18" t="str">
        <f aca="false">IFERROR(AVERAGEIFS('Episode Detail'!$Q$5:$Q$22,'Episode Detail'!$AH$5:$AH$22,$A24,'Episode Detail'!$S$5:$S$22,"Yes",'Episode Detail'!$AL$5:$AL$22,"No"),"")</f>
        <v/>
      </c>
    </row>
    <row r="25" customFormat="false" ht="15" hidden="false" customHeight="false" outlineLevel="0" collapsed="false">
      <c r="A25" s="5"/>
      <c r="B25" s="5" t="s">
        <v>163</v>
      </c>
      <c r="C25" s="5"/>
      <c r="D25" s="19" t="n">
        <f aca="false">COUNTIFS('Episode Detail'!$AG$5:$AG$22,$B25,'Episode Detail'!$AL$5:$AL$22,"No")</f>
        <v>0</v>
      </c>
      <c r="E25" s="20" t="n">
        <f aca="false">SUMIFS('Episode Detail'!$U$5:$U$22,'Episode Detail'!$AG$5:$AG$22,$B25,'Episode Detail'!$AL$5:$AL$22,"No")</f>
        <v>0</v>
      </c>
      <c r="F25" s="20" t="n">
        <f aca="false">SUMIFS('Episode Detail'!$AB$5:$AB$22,'Episode Detail'!$AG$5:$AG$22,$B25,'Episode Detail'!$AP$5:$AP$22,"Open",'Episode Detail'!$AL$5:$AL$22,"No")</f>
        <v>0</v>
      </c>
      <c r="G25" s="20" t="n">
        <f aca="false">SUMIFS('Episode Detail'!$AC$5:$AC$22,'Episode Detail'!$AG$5:$AG$22,$B25,'Episode Detail'!$AL$5:$AL$22,"No")</f>
        <v>0</v>
      </c>
      <c r="H25" s="20" t="n">
        <f aca="false">SUMIFS('Episode Detail'!$AD$5:$AD$22,'Episode Detail'!$AG$5:$AG$22,$B25,'Episode Detail'!$AL$5:$AL$22,"No")</f>
        <v>0</v>
      </c>
      <c r="I25" s="20" t="n">
        <f aca="false">SUMIFS('Episode Detail'!$AE$5:$AE$22,'Episode Detail'!$AG$5:$AG$22,$B25,'Episode Detail'!$AL$5:$AL$22,"No")</f>
        <v>0</v>
      </c>
      <c r="J25" s="21" t="str">
        <f aca="false">IFERROR(AVERAGEIFS('Episode Detail'!$Q$5:$Q$22,'Episode Detail'!$AG$5:$AG$22,$B25,'Episode Detail'!$S$5:$S$22,"Yes",'Episode Detail'!$AL$5:$AL$22,"No"),"")</f>
        <v/>
      </c>
    </row>
    <row r="26" customFormat="false" ht="15" hidden="false" customHeight="false" outlineLevel="0" collapsed="false">
      <c r="A26" s="5"/>
      <c r="B26" s="5" t="s">
        <v>164</v>
      </c>
      <c r="C26" s="5"/>
      <c r="D26" s="19" t="n">
        <f aca="false">COUNTIFS('Episode Detail'!$AG$5:$AG$22,$B26,'Episode Detail'!$AL$5:$AL$22,"No")</f>
        <v>0</v>
      </c>
      <c r="E26" s="20" t="n">
        <f aca="false">SUMIFS('Episode Detail'!$U$5:$U$22,'Episode Detail'!$AG$5:$AG$22,$B26,'Episode Detail'!$AL$5:$AL$22,"No")</f>
        <v>0</v>
      </c>
      <c r="F26" s="20" t="n">
        <f aca="false">SUMIFS('Episode Detail'!$AB$5:$AB$22,'Episode Detail'!$AG$5:$AG$22,$B26,'Episode Detail'!$AP$5:$AP$22,"Open",'Episode Detail'!$AL$5:$AL$22,"No")</f>
        <v>0</v>
      </c>
      <c r="G26" s="20" t="n">
        <f aca="false">SUMIFS('Episode Detail'!$AC$5:$AC$22,'Episode Detail'!$AG$5:$AG$22,$B26,'Episode Detail'!$AL$5:$AL$22,"No")</f>
        <v>0</v>
      </c>
      <c r="H26" s="20" t="n">
        <f aca="false">SUMIFS('Episode Detail'!$AD$5:$AD$22,'Episode Detail'!$AG$5:$AG$22,$B26,'Episode Detail'!$AL$5:$AL$22,"No")</f>
        <v>0</v>
      </c>
      <c r="I26" s="20" t="n">
        <f aca="false">SUMIFS('Episode Detail'!$AE$5:$AE$22,'Episode Detail'!$AG$5:$AG$22,$B26,'Episode Detail'!$AL$5:$AL$22,"No")</f>
        <v>0</v>
      </c>
      <c r="J26" s="21" t="str">
        <f aca="false">IFERROR(AVERAGEIFS('Episode Detail'!$Q$5:$Q$22,'Episode Detail'!$AG$5:$AG$22,$B26,'Episode Detail'!$S$5:$S$22,"Yes",'Episode Detail'!$AL$5:$AL$22,"No"),"")</f>
        <v/>
      </c>
    </row>
    <row r="27" customFormat="false" ht="15" hidden="false" customHeight="false" outlineLevel="0" collapsed="false">
      <c r="A27" s="5"/>
      <c r="B27" s="5" t="s">
        <v>165</v>
      </c>
      <c r="C27" s="5"/>
      <c r="D27" s="19" t="n">
        <f aca="false">COUNTIFS('Episode Detail'!$AG$5:$AG$22,$B27,'Episode Detail'!$AL$5:$AL$22,"No")</f>
        <v>0</v>
      </c>
      <c r="E27" s="20" t="n">
        <f aca="false">SUMIFS('Episode Detail'!$U$5:$U$22,'Episode Detail'!$AG$5:$AG$22,$B27,'Episode Detail'!$AL$5:$AL$22,"No")</f>
        <v>0</v>
      </c>
      <c r="F27" s="20" t="n">
        <f aca="false">SUMIFS('Episode Detail'!$AB$5:$AB$22,'Episode Detail'!$AG$5:$AG$22,$B27,'Episode Detail'!$AP$5:$AP$22,"Open",'Episode Detail'!$AL$5:$AL$22,"No")</f>
        <v>0</v>
      </c>
      <c r="G27" s="20" t="n">
        <f aca="false">SUMIFS('Episode Detail'!$AC$5:$AC$22,'Episode Detail'!$AG$5:$AG$22,$B27,'Episode Detail'!$AL$5:$AL$22,"No")</f>
        <v>0</v>
      </c>
      <c r="H27" s="20" t="n">
        <f aca="false">SUMIFS('Episode Detail'!$AD$5:$AD$22,'Episode Detail'!$AG$5:$AG$22,$B27,'Episode Detail'!$AL$5:$AL$22,"No")</f>
        <v>0</v>
      </c>
      <c r="I27" s="20" t="n">
        <f aca="false">SUMIFS('Episode Detail'!$AE$5:$AE$22,'Episode Detail'!$AG$5:$AG$22,$B27,'Episode Detail'!$AL$5:$AL$22,"No")</f>
        <v>0</v>
      </c>
      <c r="J27" s="21" t="str">
        <f aca="false">IFERROR(AVERAGEIFS('Episode Detail'!$Q$5:$Q$22,'Episode Detail'!$AG$5:$AG$22,$B27,'Episode Detail'!$S$5:$S$22,"Yes",'Episode Detail'!$AL$5:$AL$22,"No"),"")</f>
        <v/>
      </c>
    </row>
    <row r="28" customFormat="false" ht="15" hidden="false" customHeight="false" outlineLevel="0" collapsed="false">
      <c r="A28" s="5"/>
      <c r="B28" s="5" t="s">
        <v>166</v>
      </c>
      <c r="C28" s="5"/>
      <c r="D28" s="19" t="n">
        <f aca="false">COUNTIFS('Episode Detail'!$AG$5:$AG$22,$B28,'Episode Detail'!$AL$5:$AL$22,"No")</f>
        <v>0</v>
      </c>
      <c r="E28" s="20" t="n">
        <f aca="false">SUMIFS('Episode Detail'!$U$5:$U$22,'Episode Detail'!$AG$5:$AG$22,$B28,'Episode Detail'!$AL$5:$AL$22,"No")</f>
        <v>0</v>
      </c>
      <c r="F28" s="20" t="n">
        <f aca="false">SUMIFS('Episode Detail'!$AB$5:$AB$22,'Episode Detail'!$AG$5:$AG$22,$B28,'Episode Detail'!$AP$5:$AP$22,"Open",'Episode Detail'!$AL$5:$AL$22,"No")</f>
        <v>0</v>
      </c>
      <c r="G28" s="20" t="n">
        <f aca="false">SUMIFS('Episode Detail'!$AC$5:$AC$22,'Episode Detail'!$AG$5:$AG$22,$B28,'Episode Detail'!$AL$5:$AL$22,"No")</f>
        <v>0</v>
      </c>
      <c r="H28" s="20" t="n">
        <f aca="false">SUMIFS('Episode Detail'!$AD$5:$AD$22,'Episode Detail'!$AG$5:$AG$22,$B28,'Episode Detail'!$AL$5:$AL$22,"No")</f>
        <v>0</v>
      </c>
      <c r="I28" s="20" t="n">
        <f aca="false">SUMIFS('Episode Detail'!$AE$5:$AE$22,'Episode Detail'!$AG$5:$AG$22,$B28,'Episode Detail'!$AL$5:$AL$22,"No")</f>
        <v>0</v>
      </c>
      <c r="J28" s="21" t="str">
        <f aca="false">IFERROR(AVERAGEIFS('Episode Detail'!$Q$5:$Q$22,'Episode Detail'!$AG$5:$AG$22,$B28,'Episode Detail'!$S$5:$S$22,"Yes",'Episode Detail'!$AL$5:$AL$22,"No"),"")</f>
        <v/>
      </c>
    </row>
    <row r="29" customFormat="false" ht="15" hidden="false" customHeight="false" outlineLevel="0" collapsed="false">
      <c r="A29" s="5"/>
      <c r="B29" s="5" t="s">
        <v>167</v>
      </c>
      <c r="C29" s="5"/>
      <c r="D29" s="19" t="n">
        <f aca="false">COUNTIFS('Episode Detail'!$AG$5:$AG$22,$B29,'Episode Detail'!$AL$5:$AL$22,"No")</f>
        <v>0</v>
      </c>
      <c r="E29" s="20" t="n">
        <f aca="false">SUMIFS('Episode Detail'!$U$5:$U$22,'Episode Detail'!$AG$5:$AG$22,$B29,'Episode Detail'!$AL$5:$AL$22,"No")</f>
        <v>0</v>
      </c>
      <c r="F29" s="20" t="n">
        <f aca="false">SUMIFS('Episode Detail'!$AB$5:$AB$22,'Episode Detail'!$AG$5:$AG$22,$B29,'Episode Detail'!$AP$5:$AP$22,"Open",'Episode Detail'!$AL$5:$AL$22,"No")</f>
        <v>0</v>
      </c>
      <c r="G29" s="20" t="n">
        <f aca="false">SUMIFS('Episode Detail'!$AC$5:$AC$22,'Episode Detail'!$AG$5:$AG$22,$B29,'Episode Detail'!$AL$5:$AL$22,"No")</f>
        <v>0</v>
      </c>
      <c r="H29" s="20" t="n">
        <f aca="false">SUMIFS('Episode Detail'!$AD$5:$AD$22,'Episode Detail'!$AG$5:$AG$22,$B29,'Episode Detail'!$AL$5:$AL$22,"No")</f>
        <v>0</v>
      </c>
      <c r="I29" s="20" t="n">
        <f aca="false">SUMIFS('Episode Detail'!$AE$5:$AE$22,'Episode Detail'!$AG$5:$AG$22,$B29,'Episode Detail'!$AL$5:$AL$22,"No")</f>
        <v>0</v>
      </c>
      <c r="J29" s="21" t="str">
        <f aca="false">IFERROR(AVERAGEIFS('Episode Detail'!$Q$5:$Q$22,'Episode Detail'!$AG$5:$AG$22,$B29,'Episode Detail'!$S$5:$S$22,"Yes",'Episode Detail'!$AL$5:$AL$22,"No"),"")</f>
        <v/>
      </c>
    </row>
    <row r="30" customFormat="false" ht="15" hidden="false" customHeight="false" outlineLevel="0" collapsed="false">
      <c r="A30" s="5"/>
      <c r="B30" s="5" t="s">
        <v>168</v>
      </c>
      <c r="C30" s="5"/>
      <c r="D30" s="19" t="n">
        <f aca="false">COUNTIFS('Episode Detail'!$AG$5:$AG$22,$B30,'Episode Detail'!$AL$5:$AL$22,"No")</f>
        <v>0</v>
      </c>
      <c r="E30" s="20" t="n">
        <f aca="false">SUMIFS('Episode Detail'!$U$5:$U$22,'Episode Detail'!$AG$5:$AG$22,$B30,'Episode Detail'!$AL$5:$AL$22,"No")</f>
        <v>0</v>
      </c>
      <c r="F30" s="20" t="n">
        <f aca="false">SUMIFS('Episode Detail'!$AB$5:$AB$22,'Episode Detail'!$AG$5:$AG$22,$B30,'Episode Detail'!$AP$5:$AP$22,"Open",'Episode Detail'!$AL$5:$AL$22,"No")</f>
        <v>0</v>
      </c>
      <c r="G30" s="20" t="n">
        <f aca="false">SUMIFS('Episode Detail'!$AC$5:$AC$22,'Episode Detail'!$AG$5:$AG$22,$B30,'Episode Detail'!$AL$5:$AL$22,"No")</f>
        <v>0</v>
      </c>
      <c r="H30" s="20" t="n">
        <f aca="false">SUMIFS('Episode Detail'!$AD$5:$AD$22,'Episode Detail'!$AG$5:$AG$22,$B30,'Episode Detail'!$AL$5:$AL$22,"No")</f>
        <v>0</v>
      </c>
      <c r="I30" s="20" t="n">
        <f aca="false">SUMIFS('Episode Detail'!$AE$5:$AE$22,'Episode Detail'!$AG$5:$AG$22,$B30,'Episode Detail'!$AL$5:$AL$22,"No")</f>
        <v>0</v>
      </c>
      <c r="J30" s="21" t="str">
        <f aca="false">IFERROR(AVERAGEIFS('Episode Detail'!$Q$5:$Q$22,'Episode Detail'!$AG$5:$AG$22,$B30,'Episode Detail'!$S$5:$S$22,"Yes",'Episode Detail'!$AL$5:$AL$22,"No"),"")</f>
        <v/>
      </c>
    </row>
    <row r="31" customFormat="false" ht="15" hidden="false" customHeight="false" outlineLevel="0" collapsed="false">
      <c r="A31" s="15" t="s">
        <v>169</v>
      </c>
      <c r="B31" s="15" t="s">
        <v>142</v>
      </c>
      <c r="C31" s="15" t="s">
        <v>34</v>
      </c>
      <c r="D31" s="16" t="n">
        <f aca="false">COUNTIFS('Episode Detail'!$AH$5:$AH$22,$A31,'Episode Detail'!$AL$5:$AL$22,"No")</f>
        <v>1</v>
      </c>
      <c r="E31" s="17" t="n">
        <f aca="false">SUMIFS('Episode Detail'!$U$5:$U$22,'Episode Detail'!$AH$5:$AH$22,$A31,'Episode Detail'!$AL$5:$AL$22,"No")</f>
        <v>1</v>
      </c>
      <c r="F31" s="17" t="n">
        <f aca="false">SUMIFS('Episode Detail'!$AB$5:$AB$22,'Episode Detail'!$AH$5:$AH$22,$A31,'Episode Detail'!$AP$5:$AP$22,"Open",'Episode Detail'!$AL$5:$AL$22,"No")</f>
        <v>2935</v>
      </c>
      <c r="G31" s="17" t="n">
        <f aca="false">SUMIFS('Episode Detail'!$AC$5:$AC$22,'Episode Detail'!$AH$5:$AH$22,$A31,'Episode Detail'!$AL$5:$AL$22,"No")</f>
        <v>0</v>
      </c>
      <c r="H31" s="17" t="n">
        <f aca="false">SUMIFS('Episode Detail'!$AD$5:$AD$22,'Episode Detail'!$AH$5:$AH$22,$A31,'Episode Detail'!$AL$5:$AL$22,"No")</f>
        <v>0</v>
      </c>
      <c r="I31" s="17" t="n">
        <f aca="false">SUMIFS('Episode Detail'!$AE$5:$AE$22,'Episode Detail'!$AH$5:$AH$22,$A31,'Episode Detail'!$AL$5:$AL$22,"No")</f>
        <v>0</v>
      </c>
      <c r="J31" s="18" t="n">
        <f aca="false">IFERROR(AVERAGEIFS('Episode Detail'!$Q$5:$Q$22,'Episode Detail'!$AH$5:$AH$22,$A31,'Episode Detail'!$S$5:$S$22,"Yes",'Episode Detail'!$AL$5:$AL$22,"No"),"")</f>
        <v>4</v>
      </c>
    </row>
    <row r="32" customFormat="false" ht="15" hidden="false" customHeight="false" outlineLevel="0" collapsed="false">
      <c r="A32" s="5"/>
      <c r="B32" s="5" t="s">
        <v>170</v>
      </c>
      <c r="C32" s="5"/>
      <c r="D32" s="19" t="n">
        <f aca="false">COUNTIFS('Episode Detail'!$AG$5:$AG$22,$B32,'Episode Detail'!$AL$5:$AL$22,"No")</f>
        <v>0</v>
      </c>
      <c r="E32" s="20" t="n">
        <f aca="false">SUMIFS('Episode Detail'!$U$5:$U$22,'Episode Detail'!$AG$5:$AG$22,$B32,'Episode Detail'!$AL$5:$AL$22,"No")</f>
        <v>0</v>
      </c>
      <c r="F32" s="20" t="n">
        <f aca="false">SUMIFS('Episode Detail'!$AB$5:$AB$22,'Episode Detail'!$AG$5:$AG$22,$B32,'Episode Detail'!$AP$5:$AP$22,"Open",'Episode Detail'!$AL$5:$AL$22,"No")</f>
        <v>0</v>
      </c>
      <c r="G32" s="20" t="n">
        <f aca="false">SUMIFS('Episode Detail'!$AC$5:$AC$22,'Episode Detail'!$AG$5:$AG$22,$B32,'Episode Detail'!$AL$5:$AL$22,"No")</f>
        <v>0</v>
      </c>
      <c r="H32" s="20" t="n">
        <f aca="false">SUMIFS('Episode Detail'!$AD$5:$AD$22,'Episode Detail'!$AG$5:$AG$22,$B32,'Episode Detail'!$AL$5:$AL$22,"No")</f>
        <v>0</v>
      </c>
      <c r="I32" s="20" t="n">
        <f aca="false">SUMIFS('Episode Detail'!$AE$5:$AE$22,'Episode Detail'!$AG$5:$AG$22,$B32,'Episode Detail'!$AL$5:$AL$22,"No")</f>
        <v>0</v>
      </c>
      <c r="J32" s="21" t="str">
        <f aca="false">IFERROR(AVERAGEIFS('Episode Detail'!$Q$5:$Q$22,'Episode Detail'!$AG$5:$AG$22,$B32,'Episode Detail'!$S$5:$S$22,"Yes",'Episode Detail'!$AL$5:$AL$22,"No"),"")</f>
        <v/>
      </c>
    </row>
    <row r="33" customFormat="false" ht="15" hidden="false" customHeight="false" outlineLevel="0" collapsed="false">
      <c r="A33" s="5"/>
      <c r="B33" s="5" t="s">
        <v>171</v>
      </c>
      <c r="C33" s="5"/>
      <c r="D33" s="19" t="n">
        <f aca="false">COUNTIFS('Episode Detail'!$AG$5:$AG$22,$B33,'Episode Detail'!$AL$5:$AL$22,"No")</f>
        <v>0</v>
      </c>
      <c r="E33" s="20" t="n">
        <f aca="false">SUMIFS('Episode Detail'!$U$5:$U$22,'Episode Detail'!$AG$5:$AG$22,$B33,'Episode Detail'!$AL$5:$AL$22,"No")</f>
        <v>0</v>
      </c>
      <c r="F33" s="20" t="n">
        <f aca="false">SUMIFS('Episode Detail'!$AB$5:$AB$22,'Episode Detail'!$AG$5:$AG$22,$B33,'Episode Detail'!$AP$5:$AP$22,"Open",'Episode Detail'!$AL$5:$AL$22,"No")</f>
        <v>0</v>
      </c>
      <c r="G33" s="20" t="n">
        <f aca="false">SUMIFS('Episode Detail'!$AC$5:$AC$22,'Episode Detail'!$AG$5:$AG$22,$B33,'Episode Detail'!$AL$5:$AL$22,"No")</f>
        <v>0</v>
      </c>
      <c r="H33" s="20" t="n">
        <f aca="false">SUMIFS('Episode Detail'!$AD$5:$AD$22,'Episode Detail'!$AG$5:$AG$22,$B33,'Episode Detail'!$AL$5:$AL$22,"No")</f>
        <v>0</v>
      </c>
      <c r="I33" s="20" t="n">
        <f aca="false">SUMIFS('Episode Detail'!$AE$5:$AE$22,'Episode Detail'!$AG$5:$AG$22,$B33,'Episode Detail'!$AL$5:$AL$22,"No")</f>
        <v>0</v>
      </c>
      <c r="J33" s="21" t="str">
        <f aca="false">IFERROR(AVERAGEIFS('Episode Detail'!$Q$5:$Q$22,'Episode Detail'!$AG$5:$AG$22,$B33,'Episode Detail'!$S$5:$S$22,"Yes",'Episode Detail'!$AL$5:$AL$22,"No"),"")</f>
        <v/>
      </c>
    </row>
    <row r="34" customFormat="false" ht="15" hidden="false" customHeight="false" outlineLevel="0" collapsed="false">
      <c r="A34" s="5"/>
      <c r="B34" s="5" t="s">
        <v>172</v>
      </c>
      <c r="C34" s="5"/>
      <c r="D34" s="19" t="n">
        <f aca="false">COUNTIFS('Episode Detail'!$AG$5:$AG$22,$B34,'Episode Detail'!$AL$5:$AL$22,"No")</f>
        <v>0</v>
      </c>
      <c r="E34" s="20" t="n">
        <f aca="false">SUMIFS('Episode Detail'!$U$5:$U$22,'Episode Detail'!$AG$5:$AG$22,$B34,'Episode Detail'!$AL$5:$AL$22,"No")</f>
        <v>0</v>
      </c>
      <c r="F34" s="20" t="n">
        <f aca="false">SUMIFS('Episode Detail'!$AB$5:$AB$22,'Episode Detail'!$AG$5:$AG$22,$B34,'Episode Detail'!$AP$5:$AP$22,"Open",'Episode Detail'!$AL$5:$AL$22,"No")</f>
        <v>0</v>
      </c>
      <c r="G34" s="20" t="n">
        <f aca="false">SUMIFS('Episode Detail'!$AC$5:$AC$22,'Episode Detail'!$AG$5:$AG$22,$B34,'Episode Detail'!$AL$5:$AL$22,"No")</f>
        <v>0</v>
      </c>
      <c r="H34" s="20" t="n">
        <f aca="false">SUMIFS('Episode Detail'!$AD$5:$AD$22,'Episode Detail'!$AG$5:$AG$22,$B34,'Episode Detail'!$AL$5:$AL$22,"No")</f>
        <v>0</v>
      </c>
      <c r="I34" s="20" t="n">
        <f aca="false">SUMIFS('Episode Detail'!$AE$5:$AE$22,'Episode Detail'!$AG$5:$AG$22,$B34,'Episode Detail'!$AL$5:$AL$22,"No")</f>
        <v>0</v>
      </c>
      <c r="J34" s="21" t="str">
        <f aca="false">IFERROR(AVERAGEIFS('Episode Detail'!$Q$5:$Q$22,'Episode Detail'!$AG$5:$AG$22,$B34,'Episode Detail'!$S$5:$S$22,"Yes",'Episode Detail'!$AL$5:$AL$22,"No"),"")</f>
        <v/>
      </c>
    </row>
    <row r="35" customFormat="false" ht="15" hidden="false" customHeight="false" outlineLevel="0" collapsed="false">
      <c r="A35" s="5"/>
      <c r="B35" s="5" t="s">
        <v>173</v>
      </c>
      <c r="C35" s="5"/>
      <c r="D35" s="19" t="n">
        <f aca="false">COUNTIFS('Episode Detail'!$AG$5:$AG$22,$B35,'Episode Detail'!$AL$5:$AL$22,"No")</f>
        <v>0</v>
      </c>
      <c r="E35" s="20" t="n">
        <f aca="false">SUMIFS('Episode Detail'!$U$5:$U$22,'Episode Detail'!$AG$5:$AG$22,$B35,'Episode Detail'!$AL$5:$AL$22,"No")</f>
        <v>0</v>
      </c>
      <c r="F35" s="20" t="n">
        <f aca="false">SUMIFS('Episode Detail'!$AB$5:$AB$22,'Episode Detail'!$AG$5:$AG$22,$B35,'Episode Detail'!$AP$5:$AP$22,"Open",'Episode Detail'!$AL$5:$AL$22,"No")</f>
        <v>0</v>
      </c>
      <c r="G35" s="20" t="n">
        <f aca="false">SUMIFS('Episode Detail'!$AC$5:$AC$22,'Episode Detail'!$AG$5:$AG$22,$B35,'Episode Detail'!$AL$5:$AL$22,"No")</f>
        <v>0</v>
      </c>
      <c r="H35" s="20" t="n">
        <f aca="false">SUMIFS('Episode Detail'!$AD$5:$AD$22,'Episode Detail'!$AG$5:$AG$22,$B35,'Episode Detail'!$AL$5:$AL$22,"No")</f>
        <v>0</v>
      </c>
      <c r="I35" s="20" t="n">
        <f aca="false">SUMIFS('Episode Detail'!$AE$5:$AE$22,'Episode Detail'!$AG$5:$AG$22,$B35,'Episode Detail'!$AL$5:$AL$22,"No")</f>
        <v>0</v>
      </c>
      <c r="J35" s="21" t="str">
        <f aca="false">IFERROR(AVERAGEIFS('Episode Detail'!$Q$5:$Q$22,'Episode Detail'!$AG$5:$AG$22,$B35,'Episode Detail'!$S$5:$S$22,"Yes",'Episode Detail'!$AL$5:$AL$22,"No"),"")</f>
        <v/>
      </c>
    </row>
    <row r="36" customFormat="false" ht="15" hidden="false" customHeight="false" outlineLevel="0" collapsed="false">
      <c r="A36" s="5"/>
      <c r="B36" s="5" t="s">
        <v>174</v>
      </c>
      <c r="C36" s="5"/>
      <c r="D36" s="19" t="n">
        <f aca="false">COUNTIFS('Episode Detail'!$AG$5:$AG$22,$B36,'Episode Detail'!$AL$5:$AL$22,"No")</f>
        <v>0</v>
      </c>
      <c r="E36" s="20" t="n">
        <f aca="false">SUMIFS('Episode Detail'!$U$5:$U$22,'Episode Detail'!$AG$5:$AG$22,$B36,'Episode Detail'!$AL$5:$AL$22,"No")</f>
        <v>0</v>
      </c>
      <c r="F36" s="20" t="n">
        <f aca="false">SUMIFS('Episode Detail'!$AB$5:$AB$22,'Episode Detail'!$AG$5:$AG$22,$B36,'Episode Detail'!$AP$5:$AP$22,"Open",'Episode Detail'!$AL$5:$AL$22,"No")</f>
        <v>0</v>
      </c>
      <c r="G36" s="20" t="n">
        <f aca="false">SUMIFS('Episode Detail'!$AC$5:$AC$22,'Episode Detail'!$AG$5:$AG$22,$B36,'Episode Detail'!$AL$5:$AL$22,"No")</f>
        <v>0</v>
      </c>
      <c r="H36" s="20" t="n">
        <f aca="false">SUMIFS('Episode Detail'!$AD$5:$AD$22,'Episode Detail'!$AG$5:$AG$22,$B36,'Episode Detail'!$AL$5:$AL$22,"No")</f>
        <v>0</v>
      </c>
      <c r="I36" s="20" t="n">
        <f aca="false">SUMIFS('Episode Detail'!$AE$5:$AE$22,'Episode Detail'!$AG$5:$AG$22,$B36,'Episode Detail'!$AL$5:$AL$22,"No")</f>
        <v>0</v>
      </c>
      <c r="J36" s="21" t="str">
        <f aca="false">IFERROR(AVERAGEIFS('Episode Detail'!$Q$5:$Q$22,'Episode Detail'!$AG$5:$AG$22,$B36,'Episode Detail'!$S$5:$S$22,"Yes",'Episode Detail'!$AL$5:$AL$22,"No"),"")</f>
        <v/>
      </c>
    </row>
    <row r="37" customFormat="false" ht="15" hidden="false" customHeight="false" outlineLevel="0" collapsed="false">
      <c r="A37" s="5"/>
      <c r="B37" s="5" t="s">
        <v>175</v>
      </c>
      <c r="C37" s="5"/>
      <c r="D37" s="19" t="n">
        <f aca="false">COUNTIFS('Episode Detail'!$AG$5:$AG$22,$B37,'Episode Detail'!$AL$5:$AL$22,"No")</f>
        <v>0</v>
      </c>
      <c r="E37" s="20" t="n">
        <f aca="false">SUMIFS('Episode Detail'!$U$5:$U$22,'Episode Detail'!$AG$5:$AG$22,$B37,'Episode Detail'!$AL$5:$AL$22,"No")</f>
        <v>0</v>
      </c>
      <c r="F37" s="20" t="n">
        <f aca="false">SUMIFS('Episode Detail'!$AB$5:$AB$22,'Episode Detail'!$AG$5:$AG$22,$B37,'Episode Detail'!$AP$5:$AP$22,"Open",'Episode Detail'!$AL$5:$AL$22,"No")</f>
        <v>0</v>
      </c>
      <c r="G37" s="20" t="n">
        <f aca="false">SUMIFS('Episode Detail'!$AC$5:$AC$22,'Episode Detail'!$AG$5:$AG$22,$B37,'Episode Detail'!$AL$5:$AL$22,"No")</f>
        <v>0</v>
      </c>
      <c r="H37" s="20" t="n">
        <f aca="false">SUMIFS('Episode Detail'!$AD$5:$AD$22,'Episode Detail'!$AG$5:$AG$22,$B37,'Episode Detail'!$AL$5:$AL$22,"No")</f>
        <v>0</v>
      </c>
      <c r="I37" s="20" t="n">
        <f aca="false">SUMIFS('Episode Detail'!$AE$5:$AE$22,'Episode Detail'!$AG$5:$AG$22,$B37,'Episode Detail'!$AL$5:$AL$22,"No")</f>
        <v>0</v>
      </c>
      <c r="J37" s="21" t="str">
        <f aca="false">IFERROR(AVERAGEIFS('Episode Detail'!$Q$5:$Q$22,'Episode Detail'!$AG$5:$AG$22,$B37,'Episode Detail'!$S$5:$S$22,"Yes",'Episode Detail'!$AL$5:$AL$22,"No"),"")</f>
        <v/>
      </c>
    </row>
    <row r="38" customFormat="false" ht="15" hidden="false" customHeight="false" outlineLevel="0" collapsed="false">
      <c r="A38" s="5"/>
      <c r="B38" s="5" t="s">
        <v>176</v>
      </c>
      <c r="C38" s="5"/>
      <c r="D38" s="19" t="n">
        <f aca="false">COUNTIFS('Episode Detail'!$AG$5:$AG$22,$B38,'Episode Detail'!$AL$5:$AL$22,"No")</f>
        <v>0</v>
      </c>
      <c r="E38" s="20" t="n">
        <f aca="false">SUMIFS('Episode Detail'!$U$5:$U$22,'Episode Detail'!$AG$5:$AG$22,$B38,'Episode Detail'!$AL$5:$AL$22,"No")</f>
        <v>0</v>
      </c>
      <c r="F38" s="20" t="n">
        <f aca="false">SUMIFS('Episode Detail'!$AB$5:$AB$22,'Episode Detail'!$AG$5:$AG$22,$B38,'Episode Detail'!$AP$5:$AP$22,"Open",'Episode Detail'!$AL$5:$AL$22,"No")</f>
        <v>0</v>
      </c>
      <c r="G38" s="20" t="n">
        <f aca="false">SUMIFS('Episode Detail'!$AC$5:$AC$22,'Episode Detail'!$AG$5:$AG$22,$B38,'Episode Detail'!$AL$5:$AL$22,"No")</f>
        <v>0</v>
      </c>
      <c r="H38" s="20" t="n">
        <f aca="false">SUMIFS('Episode Detail'!$AD$5:$AD$22,'Episode Detail'!$AG$5:$AG$22,$B38,'Episode Detail'!$AL$5:$AL$22,"No")</f>
        <v>0</v>
      </c>
      <c r="I38" s="20" t="n">
        <f aca="false">SUMIFS('Episode Detail'!$AE$5:$AE$22,'Episode Detail'!$AG$5:$AG$22,$B38,'Episode Detail'!$AL$5:$AL$22,"No")</f>
        <v>0</v>
      </c>
      <c r="J38" s="21" t="str">
        <f aca="false">IFERROR(AVERAGEIFS('Episode Detail'!$Q$5:$Q$22,'Episode Detail'!$AG$5:$AG$22,$B38,'Episode Detail'!$S$5:$S$22,"Yes",'Episode Detail'!$AL$5:$AL$22,"No"),"")</f>
        <v/>
      </c>
    </row>
    <row r="39" customFormat="false" ht="15" hidden="false" customHeight="false" outlineLevel="0" collapsed="false">
      <c r="A39" s="5"/>
      <c r="B39" s="5" t="s">
        <v>177</v>
      </c>
      <c r="C39" s="5"/>
      <c r="D39" s="19" t="n">
        <f aca="false">COUNTIFS('Episode Detail'!$AG$5:$AG$22,$B39,'Episode Detail'!$AL$5:$AL$22,"No")</f>
        <v>0</v>
      </c>
      <c r="E39" s="20" t="n">
        <f aca="false">SUMIFS('Episode Detail'!$U$5:$U$22,'Episode Detail'!$AG$5:$AG$22,$B39,'Episode Detail'!$AL$5:$AL$22,"No")</f>
        <v>0</v>
      </c>
      <c r="F39" s="20" t="n">
        <f aca="false">SUMIFS('Episode Detail'!$AB$5:$AB$22,'Episode Detail'!$AG$5:$AG$22,$B39,'Episode Detail'!$AP$5:$AP$22,"Open",'Episode Detail'!$AL$5:$AL$22,"No")</f>
        <v>0</v>
      </c>
      <c r="G39" s="20" t="n">
        <f aca="false">SUMIFS('Episode Detail'!$AC$5:$AC$22,'Episode Detail'!$AG$5:$AG$22,$B39,'Episode Detail'!$AL$5:$AL$22,"No")</f>
        <v>0</v>
      </c>
      <c r="H39" s="20" t="n">
        <f aca="false">SUMIFS('Episode Detail'!$AD$5:$AD$22,'Episode Detail'!$AG$5:$AG$22,$B39,'Episode Detail'!$AL$5:$AL$22,"No")</f>
        <v>0</v>
      </c>
      <c r="I39" s="20" t="n">
        <f aca="false">SUMIFS('Episode Detail'!$AE$5:$AE$22,'Episode Detail'!$AG$5:$AG$22,$B39,'Episode Detail'!$AL$5:$AL$22,"No")</f>
        <v>0</v>
      </c>
      <c r="J39" s="21" t="str">
        <f aca="false">IFERROR(AVERAGEIFS('Episode Detail'!$Q$5:$Q$22,'Episode Detail'!$AG$5:$AG$22,$B39,'Episode Detail'!$S$5:$S$22,"Yes",'Episode Detail'!$AL$5:$AL$22,"No"),"")</f>
        <v/>
      </c>
    </row>
    <row r="40" customFormat="false" ht="15" hidden="false" customHeight="false" outlineLevel="0" collapsed="false">
      <c r="A40" s="5"/>
      <c r="B40" s="5" t="s">
        <v>178</v>
      </c>
      <c r="C40" s="5"/>
      <c r="D40" s="19" t="n">
        <f aca="false">COUNTIFS('Episode Detail'!$AG$5:$AG$22,$B40,'Episode Detail'!$AL$5:$AL$22,"No")</f>
        <v>1</v>
      </c>
      <c r="E40" s="20" t="n">
        <f aca="false">SUMIFS('Episode Detail'!$U$5:$U$22,'Episode Detail'!$AG$5:$AG$22,$B40,'Episode Detail'!$AL$5:$AL$22,"No")</f>
        <v>1</v>
      </c>
      <c r="F40" s="20" t="n">
        <f aca="false">SUMIFS('Episode Detail'!$AB$5:$AB$22,'Episode Detail'!$AG$5:$AG$22,$B40,'Episode Detail'!$AP$5:$AP$22,"Open",'Episode Detail'!$AL$5:$AL$22,"No")</f>
        <v>2935</v>
      </c>
      <c r="G40" s="20" t="n">
        <f aca="false">SUMIFS('Episode Detail'!$AC$5:$AC$22,'Episode Detail'!$AG$5:$AG$22,$B40,'Episode Detail'!$AL$5:$AL$22,"No")</f>
        <v>0</v>
      </c>
      <c r="H40" s="20" t="n">
        <f aca="false">SUMIFS('Episode Detail'!$AD$5:$AD$22,'Episode Detail'!$AG$5:$AG$22,$B40,'Episode Detail'!$AL$5:$AL$22,"No")</f>
        <v>0</v>
      </c>
      <c r="I40" s="20" t="n">
        <f aca="false">SUMIFS('Episode Detail'!$AE$5:$AE$22,'Episode Detail'!$AG$5:$AG$22,$B40,'Episode Detail'!$AL$5:$AL$22,"No")</f>
        <v>0</v>
      </c>
      <c r="J40" s="21" t="n">
        <f aca="false">IFERROR(AVERAGEIFS('Episode Detail'!$Q$5:$Q$22,'Episode Detail'!$AG$5:$AG$22,$B40,'Episode Detail'!$S$5:$S$22,"Yes",'Episode Detail'!$AL$5:$AL$22,"No"),"")</f>
        <v>4</v>
      </c>
    </row>
    <row r="41" customFormat="false" ht="15" hidden="false" customHeight="false" outlineLevel="0" collapsed="false">
      <c r="A41" s="5"/>
      <c r="B41" s="5" t="s">
        <v>179</v>
      </c>
      <c r="C41" s="5"/>
      <c r="D41" s="19" t="n">
        <f aca="false">COUNTIFS('Episode Detail'!$AG$5:$AG$22,$B41,'Episode Detail'!$AL$5:$AL$22,"No")</f>
        <v>0</v>
      </c>
      <c r="E41" s="20" t="n">
        <f aca="false">SUMIFS('Episode Detail'!$U$5:$U$22,'Episode Detail'!$AG$5:$AG$22,$B41,'Episode Detail'!$AL$5:$AL$22,"No")</f>
        <v>0</v>
      </c>
      <c r="F41" s="20" t="n">
        <f aca="false">SUMIFS('Episode Detail'!$AB$5:$AB$22,'Episode Detail'!$AG$5:$AG$22,$B41,'Episode Detail'!$AP$5:$AP$22,"Open",'Episode Detail'!$AL$5:$AL$22,"No")</f>
        <v>0</v>
      </c>
      <c r="G41" s="20" t="n">
        <f aca="false">SUMIFS('Episode Detail'!$AC$5:$AC$22,'Episode Detail'!$AG$5:$AG$22,$B41,'Episode Detail'!$AL$5:$AL$22,"No")</f>
        <v>0</v>
      </c>
      <c r="H41" s="20" t="n">
        <f aca="false">SUMIFS('Episode Detail'!$AD$5:$AD$22,'Episode Detail'!$AG$5:$AG$22,$B41,'Episode Detail'!$AL$5:$AL$22,"No")</f>
        <v>0</v>
      </c>
      <c r="I41" s="20" t="n">
        <f aca="false">SUMIFS('Episode Detail'!$AE$5:$AE$22,'Episode Detail'!$AG$5:$AG$22,$B41,'Episode Detail'!$AL$5:$AL$22,"No")</f>
        <v>0</v>
      </c>
      <c r="J41" s="21" t="str">
        <f aca="false">IFERROR(AVERAGEIFS('Episode Detail'!$Q$5:$Q$22,'Episode Detail'!$AG$5:$AG$22,$B41,'Episode Detail'!$S$5:$S$22,"Yes",'Episode Detail'!$AL$5:$AL$22,"No"),"")</f>
        <v/>
      </c>
    </row>
    <row r="42" customFormat="false" ht="15" hidden="false" customHeight="false" outlineLevel="0" collapsed="false">
      <c r="A42" s="5"/>
      <c r="B42" s="5" t="s">
        <v>180</v>
      </c>
      <c r="C42" s="5"/>
      <c r="D42" s="19" t="n">
        <f aca="false">COUNTIFS('Episode Detail'!$AG$5:$AG$22,$B42,'Episode Detail'!$AL$5:$AL$22,"No")</f>
        <v>0</v>
      </c>
      <c r="E42" s="20" t="n">
        <f aca="false">SUMIFS('Episode Detail'!$U$5:$U$22,'Episode Detail'!$AG$5:$AG$22,$B42,'Episode Detail'!$AL$5:$AL$22,"No")</f>
        <v>0</v>
      </c>
      <c r="F42" s="20" t="n">
        <f aca="false">SUMIFS('Episode Detail'!$AB$5:$AB$22,'Episode Detail'!$AG$5:$AG$22,$B42,'Episode Detail'!$AP$5:$AP$22,"Open",'Episode Detail'!$AL$5:$AL$22,"No")</f>
        <v>0</v>
      </c>
      <c r="G42" s="20" t="n">
        <f aca="false">SUMIFS('Episode Detail'!$AC$5:$AC$22,'Episode Detail'!$AG$5:$AG$22,$B42,'Episode Detail'!$AL$5:$AL$22,"No")</f>
        <v>0</v>
      </c>
      <c r="H42" s="20" t="n">
        <f aca="false">SUMIFS('Episode Detail'!$AD$5:$AD$22,'Episode Detail'!$AG$5:$AG$22,$B42,'Episode Detail'!$AL$5:$AL$22,"No")</f>
        <v>0</v>
      </c>
      <c r="I42" s="20" t="n">
        <f aca="false">SUMIFS('Episode Detail'!$AE$5:$AE$22,'Episode Detail'!$AG$5:$AG$22,$B42,'Episode Detail'!$AL$5:$AL$22,"No")</f>
        <v>0</v>
      </c>
      <c r="J42" s="21" t="str">
        <f aca="false">IFERROR(AVERAGEIFS('Episode Detail'!$Q$5:$Q$22,'Episode Detail'!$AG$5:$AG$22,$B42,'Episode Detail'!$S$5:$S$22,"Yes",'Episode Detail'!$AL$5:$AL$22,"No"),"")</f>
        <v/>
      </c>
    </row>
    <row r="43" customFormat="false" ht="15" hidden="false" customHeight="false" outlineLevel="0" collapsed="false">
      <c r="A43" s="15" t="s">
        <v>181</v>
      </c>
      <c r="B43" s="15" t="s">
        <v>142</v>
      </c>
      <c r="C43" s="15" t="s">
        <v>34</v>
      </c>
      <c r="D43" s="16" t="n">
        <f aca="false">COUNTIFS('Episode Detail'!$AH$5:$AH$22,$A43,'Episode Detail'!$AL$5:$AL$22,"No")</f>
        <v>1</v>
      </c>
      <c r="E43" s="17" t="n">
        <f aca="false">SUMIFS('Episode Detail'!$U$5:$U$22,'Episode Detail'!$AH$5:$AH$22,$A43,'Episode Detail'!$AL$5:$AL$22,"No")</f>
        <v>1188</v>
      </c>
      <c r="F43" s="17" t="n">
        <f aca="false">SUMIFS('Episode Detail'!$AB$5:$AB$22,'Episode Detail'!$AH$5:$AH$22,$A43,'Episode Detail'!$AP$5:$AP$22,"Open",'Episode Detail'!$AL$5:$AL$22,"No")</f>
        <v>1892531.52</v>
      </c>
      <c r="G43" s="17" t="n">
        <f aca="false">SUMIFS('Episode Detail'!$AC$5:$AC$22,'Episode Detail'!$AH$5:$AH$22,$A43,'Episode Detail'!$AL$5:$AL$22,"No")</f>
        <v>0</v>
      </c>
      <c r="H43" s="17" t="n">
        <f aca="false">SUMIFS('Episode Detail'!$AD$5:$AD$22,'Episode Detail'!$AH$5:$AH$22,$A43,'Episode Detail'!$AL$5:$AL$22,"No")</f>
        <v>0</v>
      </c>
      <c r="I43" s="17" t="n">
        <f aca="false">SUMIFS('Episode Detail'!$AE$5:$AE$22,'Episode Detail'!$AH$5:$AH$22,$A43,'Episode Detail'!$AL$5:$AL$22,"No")</f>
        <v>0</v>
      </c>
      <c r="J43" s="18" t="n">
        <f aca="false">IFERROR(AVERAGEIFS('Episode Detail'!$Q$5:$Q$22,'Episode Detail'!$AH$5:$AH$22,$A43,'Episode Detail'!$S$5:$S$22,"Yes",'Episode Detail'!$AL$5:$AL$22,"No"),"")</f>
        <v>2</v>
      </c>
    </row>
    <row r="44" customFormat="false" ht="15" hidden="false" customHeight="false" outlineLevel="0" collapsed="false">
      <c r="A44" s="5"/>
      <c r="B44" s="5" t="s">
        <v>182</v>
      </c>
      <c r="C44" s="5"/>
      <c r="D44" s="19" t="n">
        <f aca="false">COUNTIFS('Episode Detail'!$AG$5:$AG$22,$B44,'Episode Detail'!$AL$5:$AL$22,"No")</f>
        <v>1</v>
      </c>
      <c r="E44" s="20" t="n">
        <f aca="false">SUMIFS('Episode Detail'!$U$5:$U$22,'Episode Detail'!$AG$5:$AG$22,$B44,'Episode Detail'!$AL$5:$AL$22,"No")</f>
        <v>1188</v>
      </c>
      <c r="F44" s="20" t="n">
        <f aca="false">SUMIFS('Episode Detail'!$AB$5:$AB$22,'Episode Detail'!$AG$5:$AG$22,$B44,'Episode Detail'!$AP$5:$AP$22,"Open",'Episode Detail'!$AL$5:$AL$22,"No")</f>
        <v>1892531.52</v>
      </c>
      <c r="G44" s="20" t="n">
        <f aca="false">SUMIFS('Episode Detail'!$AC$5:$AC$22,'Episode Detail'!$AG$5:$AG$22,$B44,'Episode Detail'!$AL$5:$AL$22,"No")</f>
        <v>0</v>
      </c>
      <c r="H44" s="20" t="n">
        <f aca="false">SUMIFS('Episode Detail'!$AD$5:$AD$22,'Episode Detail'!$AG$5:$AG$22,$B44,'Episode Detail'!$AL$5:$AL$22,"No")</f>
        <v>0</v>
      </c>
      <c r="I44" s="20" t="n">
        <f aca="false">SUMIFS('Episode Detail'!$AE$5:$AE$22,'Episode Detail'!$AG$5:$AG$22,$B44,'Episode Detail'!$AL$5:$AL$22,"No")</f>
        <v>0</v>
      </c>
      <c r="J44" s="21" t="n">
        <f aca="false">IFERROR(AVERAGEIFS('Episode Detail'!$Q$5:$Q$22,'Episode Detail'!$AG$5:$AG$22,$B44,'Episode Detail'!$S$5:$S$22,"Yes",'Episode Detail'!$AL$5:$AL$22,"No"),"")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4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22"/>
    <col collapsed="false" customWidth="true" hidden="false" outlineLevel="0" max="17" min="16" style="0" width="11"/>
    <col collapsed="false" customWidth="true" hidden="false" outlineLevel="0" max="18" min="18" style="0" width="20"/>
    <col collapsed="false" customWidth="true" hidden="false" outlineLevel="0" max="19" min="19" style="0" width="17"/>
    <col collapsed="false" customWidth="true" hidden="false" outlineLevel="0" max="20" min="20" style="0" width="9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5" min="25" style="0" width="11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9" min="28" style="0" width="15"/>
    <col collapsed="false" customWidth="true" hidden="false" outlineLevel="0" max="30" min="30" style="0" width="17"/>
    <col collapsed="false" customWidth="true" hidden="false" outlineLevel="0" max="31" min="31" style="0" width="14"/>
    <col collapsed="false" customWidth="true" hidden="false" outlineLevel="0" max="32" min="32" style="0" width="16"/>
    <col collapsed="false" customWidth="true" hidden="false" outlineLevel="0" max="33" min="33" style="0" width="26"/>
    <col collapsed="false" customWidth="true" hidden="false" outlineLevel="0" max="34" min="34" style="0" width="15"/>
    <col collapsed="false" customWidth="true" hidden="false" outlineLevel="0" max="35" min="35" style="0" width="34"/>
    <col collapsed="false" customWidth="true" hidden="false" outlineLevel="0" max="36" min="36" style="0" width="13"/>
    <col collapsed="false" customWidth="true" hidden="false" outlineLevel="0" max="38" min="37" style="0" width="12"/>
    <col collapsed="false" customWidth="true" hidden="false" outlineLevel="0" max="39" min="39" style="0" width="20"/>
    <col collapsed="false" customWidth="true" hidden="false" outlineLevel="0" max="41" min="40" style="0" width="12"/>
    <col collapsed="false" customWidth="true" hidden="false" outlineLevel="0" max="42" min="42" style="0" width="10"/>
    <col collapsed="false" customWidth="true" hidden="false" outlineLevel="0" max="44" min="43" style="0" width="17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  <c r="B2" s="22" t="n">
        <v>46229</v>
      </c>
      <c r="C2" s="2" t="s">
        <v>185</v>
      </c>
      <c r="D2" s="2" t="s">
        <v>186</v>
      </c>
    </row>
    <row r="3" customFormat="false" ht="15" hidden="false" customHeight="false" outlineLevel="0" collapsed="false">
      <c r="A3" s="2" t="s">
        <v>187</v>
      </c>
      <c r="B3" s="23" t="n">
        <v>2</v>
      </c>
    </row>
    <row r="4" customFormat="false" ht="42" hidden="false" customHeight="true" outlineLevel="0" collapsed="false">
      <c r="A4" s="24" t="s">
        <v>188</v>
      </c>
      <c r="B4" s="25" t="n">
        <v>7</v>
      </c>
      <c r="C4" s="6" t="s">
        <v>189</v>
      </c>
      <c r="D4" s="6" t="s">
        <v>190</v>
      </c>
      <c r="E4" s="6" t="s">
        <v>191</v>
      </c>
      <c r="F4" s="6" t="s">
        <v>28</v>
      </c>
      <c r="G4" s="6" t="s">
        <v>29</v>
      </c>
      <c r="H4" s="6" t="s">
        <v>192</v>
      </c>
      <c r="I4" s="6" t="s">
        <v>193</v>
      </c>
      <c r="J4" s="6" t="s">
        <v>194</v>
      </c>
      <c r="K4" s="6" t="s">
        <v>195</v>
      </c>
      <c r="L4" s="6" t="s">
        <v>196</v>
      </c>
      <c r="M4" s="6" t="s">
        <v>197</v>
      </c>
      <c r="N4" s="6" t="s">
        <v>198</v>
      </c>
      <c r="O4" s="6" t="s">
        <v>199</v>
      </c>
      <c r="P4" s="6" t="s">
        <v>200</v>
      </c>
      <c r="Q4" s="6" t="s">
        <v>201</v>
      </c>
      <c r="R4" s="6" t="s">
        <v>202</v>
      </c>
      <c r="S4" s="6" t="s">
        <v>203</v>
      </c>
      <c r="T4" s="6" t="s">
        <v>204</v>
      </c>
      <c r="U4" s="6" t="s">
        <v>205</v>
      </c>
      <c r="V4" s="6" t="s">
        <v>206</v>
      </c>
      <c r="W4" s="6" t="s">
        <v>207</v>
      </c>
      <c r="X4" s="6" t="s">
        <v>208</v>
      </c>
      <c r="Y4" s="6" t="s">
        <v>209</v>
      </c>
      <c r="Z4" s="6" t="s">
        <v>210</v>
      </c>
      <c r="AA4" s="6" t="s">
        <v>211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212</v>
      </c>
      <c r="AG4" s="6" t="s">
        <v>213</v>
      </c>
      <c r="AH4" s="6" t="s">
        <v>214</v>
      </c>
      <c r="AI4" s="6" t="s">
        <v>215</v>
      </c>
      <c r="AJ4" s="6" t="s">
        <v>216</v>
      </c>
      <c r="AK4" s="6" t="s">
        <v>217</v>
      </c>
      <c r="AL4" s="6" t="s">
        <v>218</v>
      </c>
      <c r="AM4" s="6" t="s">
        <v>219</v>
      </c>
      <c r="AN4" s="6" t="s">
        <v>220</v>
      </c>
      <c r="AO4" s="6" t="s">
        <v>221</v>
      </c>
      <c r="AP4" s="6" t="s">
        <v>20</v>
      </c>
      <c r="AQ4" s="6" t="s">
        <v>222</v>
      </c>
      <c r="AR4" s="6" t="s">
        <v>223</v>
      </c>
    </row>
    <row r="5" customFormat="false" ht="15" hidden="false" customHeight="false" outlineLevel="0" collapsed="false">
      <c r="A5" s="5" t="s">
        <v>224</v>
      </c>
      <c r="B5" s="5" t="s">
        <v>225</v>
      </c>
      <c r="C5" s="26" t="n">
        <v>46213</v>
      </c>
      <c r="D5" s="5" t="s">
        <v>226</v>
      </c>
      <c r="E5" s="5" t="s">
        <v>227</v>
      </c>
      <c r="F5" s="5" t="s">
        <v>228</v>
      </c>
      <c r="G5" s="5" t="s">
        <v>229</v>
      </c>
      <c r="H5" s="5" t="s">
        <v>230</v>
      </c>
      <c r="I5" s="5" t="s">
        <v>231</v>
      </c>
      <c r="J5" s="5" t="s">
        <v>232</v>
      </c>
      <c r="K5" s="20" t="n">
        <v>1356</v>
      </c>
      <c r="L5" s="27" t="n">
        <v>142.55</v>
      </c>
      <c r="M5" s="26" t="n">
        <v>46213</v>
      </c>
      <c r="N5" s="5"/>
      <c r="O5" s="28" t="str">
        <f aca="false">IF(N5="",TEXT(M5,"d mmm yyyy")&amp;" – ongoing",IF(TEXT(M5,"mmmyyyy")=TEXT(N5,"mmmyyyy"),TEXT(M5,"d")&amp;" – "&amp;TEXT(N5,"d mmm yyyy"),IF(TEXT(M5,"yyyy")=TEXT(N5,"yyyy"),TEXT(M5,"d mmm")&amp;" – "&amp;TEXT(N5,"d mmm yyyy"),TEXT(M5,"d mmm yyyy")&amp;" – "&amp;TEXT(N5,"d mmm yyyy"))))</f>
        <v>10 Jul 2026 – ongoing</v>
      </c>
      <c r="P5" s="29" t="n">
        <f aca="false">IF(N5="",$B$2-M5,N5-M5)</f>
        <v>16</v>
      </c>
      <c r="Q5" s="29" t="n">
        <f aca="false">IF(N5="",NETWORKDAYS.INTL(M5,$B$2,"0000001")-1,NETWORKDAYS.INTL(M5,N5,"0000001")-1)</f>
        <v>13</v>
      </c>
      <c r="R5" s="28" t="str">
        <f aca="false">IF(Q5=0,"Same Day",Q5&amp;IF(Q5=1," Day Delay"," Days Delay")&amp;IF(S5="Yes",""," (min.)"))</f>
        <v>13 Days Delay</v>
      </c>
      <c r="S5" s="5" t="s">
        <v>143</v>
      </c>
      <c r="T5" s="19" t="n">
        <v>1</v>
      </c>
      <c r="U5" s="20" t="n">
        <v>680</v>
      </c>
      <c r="V5" s="20" t="n">
        <v>420</v>
      </c>
      <c r="W5" s="20" t="n">
        <v>936</v>
      </c>
      <c r="X5" s="20" t="n">
        <v>0</v>
      </c>
      <c r="Y5" s="20" t="n">
        <v>0</v>
      </c>
      <c r="Z5" s="19" t="n">
        <v>2</v>
      </c>
      <c r="AA5" s="30" t="n">
        <f aca="false">IFERROR(W5/(K5-Y5),"")</f>
        <v>0.690265486725664</v>
      </c>
      <c r="AB5" s="31" t="n">
        <f aca="false">V5*L5</f>
        <v>59871</v>
      </c>
      <c r="AC5" s="31" t="n">
        <f aca="false">X5*L5</f>
        <v>0</v>
      </c>
      <c r="AD5" s="31" t="n">
        <f aca="false">AC5*MAX(0,Q5-$B$3)</f>
        <v>0</v>
      </c>
      <c r="AE5" s="31" t="n">
        <f aca="false">IF(AF5="cancelled",Y5*L5,IF(AND(N5="",Q5&gt;$B$4),V5*L5,Y5*L5))</f>
        <v>59871</v>
      </c>
      <c r="AF5" s="5"/>
      <c r="AG5" s="5" t="s">
        <v>144</v>
      </c>
      <c r="AH5" s="5" t="s">
        <v>141</v>
      </c>
      <c r="AI5" s="5" t="s">
        <v>233</v>
      </c>
      <c r="AJ5" s="5" t="s">
        <v>234</v>
      </c>
      <c r="AK5" s="26" t="n">
        <v>46214</v>
      </c>
      <c r="AL5" s="5" t="s">
        <v>34</v>
      </c>
      <c r="AM5" s="5"/>
      <c r="AN5" s="19" t="n">
        <v>48100</v>
      </c>
      <c r="AO5" s="5"/>
      <c r="AP5" s="28" t="str">
        <f aca="false">IF(ISBLANK(N5),"Open","Resolved")</f>
        <v>Open</v>
      </c>
      <c r="AQ5" s="28" t="n">
        <f aca="false">IF(AND($AP5="Open",$AL5="No",COUNTIFS($A$5:$A5,$A5,$AP$5:$AP5,"Open",$AL$5:$AL5,"No")=1),1,0)</f>
        <v>1</v>
      </c>
      <c r="AR5" s="28" t="n">
        <f aca="false">IF(AND($AP5="Open",$AL5="No",COUNTIFS($H$5:$H5,$H5,$AP$5:$AP5,"Open",$AL$5:$AL5,"No")=1),1,0)</f>
        <v>1</v>
      </c>
    </row>
    <row r="6" customFormat="false" ht="15" hidden="false" customHeight="false" outlineLevel="0" collapsed="false">
      <c r="A6" s="5" t="s">
        <v>235</v>
      </c>
      <c r="B6" s="5" t="s">
        <v>225</v>
      </c>
      <c r="C6" s="26" t="n">
        <v>46213</v>
      </c>
      <c r="D6" s="5" t="s">
        <v>236</v>
      </c>
      <c r="E6" s="5" t="s">
        <v>227</v>
      </c>
      <c r="F6" s="5" t="s">
        <v>228</v>
      </c>
      <c r="G6" s="5" t="s">
        <v>229</v>
      </c>
      <c r="H6" s="5" t="s">
        <v>230</v>
      </c>
      <c r="I6" s="5" t="s">
        <v>231</v>
      </c>
      <c r="J6" s="5" t="s">
        <v>232</v>
      </c>
      <c r="K6" s="20" t="n">
        <v>1086</v>
      </c>
      <c r="L6" s="27" t="n">
        <v>142.55</v>
      </c>
      <c r="M6" s="26" t="n">
        <v>46213</v>
      </c>
      <c r="N6" s="5"/>
      <c r="O6" s="28" t="str">
        <f aca="false">IF(N6="",TEXT(M6,"d mmm yyyy")&amp;" – ongoing",IF(TEXT(M6,"mmmyyyy")=TEXT(N6,"mmmyyyy"),TEXT(M6,"d")&amp;" – "&amp;TEXT(N6,"d mmm yyyy"),IF(TEXT(M6,"yyyy")=TEXT(N6,"yyyy"),TEXT(M6,"d mmm")&amp;" – "&amp;TEXT(N6,"d mmm yyyy"),TEXT(M6,"d mmm yyyy")&amp;" – "&amp;TEXT(N6,"d mmm yyyy"))))</f>
        <v>10 Jul 2026 – ongoing</v>
      </c>
      <c r="P6" s="29" t="n">
        <f aca="false">IF(N6="",$B$2-M6,N6-M6)</f>
        <v>16</v>
      </c>
      <c r="Q6" s="29" t="n">
        <f aca="false">IF(N6="",NETWORKDAYS.INTL(M6,$B$2,"0000001")-1,NETWORKDAYS.INTL(M6,N6,"0000001")-1)</f>
        <v>13</v>
      </c>
      <c r="R6" s="28" t="str">
        <f aca="false">IF(Q6=0,"Same Day",Q6&amp;IF(Q6=1," Day Delay"," Days Delay")&amp;IF(S6="Yes",""," (min.)"))</f>
        <v>13 Days Delay</v>
      </c>
      <c r="S6" s="5" t="s">
        <v>143</v>
      </c>
      <c r="T6" s="19" t="n">
        <v>1</v>
      </c>
      <c r="U6" s="20" t="n">
        <v>594</v>
      </c>
      <c r="V6" s="20" t="n">
        <v>528</v>
      </c>
      <c r="W6" s="20" t="n">
        <v>558</v>
      </c>
      <c r="X6" s="20" t="n">
        <v>0</v>
      </c>
      <c r="Y6" s="20" t="n">
        <v>0</v>
      </c>
      <c r="Z6" s="19" t="n">
        <v>1</v>
      </c>
      <c r="AA6" s="30" t="n">
        <f aca="false">IFERROR(W6/(K6-Y6),"")</f>
        <v>0.513812154696133</v>
      </c>
      <c r="AB6" s="31" t="n">
        <f aca="false">V6*L6</f>
        <v>75266.4</v>
      </c>
      <c r="AC6" s="31" t="n">
        <f aca="false">X6*L6</f>
        <v>0</v>
      </c>
      <c r="AD6" s="31" t="n">
        <f aca="false">AC6*MAX(0,Q6-$B$3)</f>
        <v>0</v>
      </c>
      <c r="AE6" s="31" t="n">
        <f aca="false">IF(AF6="cancelled",Y6*L6,IF(AND(N6="",Q6&gt;$B$4),V6*L6,Y6*L6))</f>
        <v>75266.4</v>
      </c>
      <c r="AF6" s="5"/>
      <c r="AG6" s="5" t="s">
        <v>144</v>
      </c>
      <c r="AH6" s="5" t="s">
        <v>141</v>
      </c>
      <c r="AI6" s="5" t="s">
        <v>237</v>
      </c>
      <c r="AJ6" s="5" t="s">
        <v>234</v>
      </c>
      <c r="AK6" s="26" t="n">
        <v>46214</v>
      </c>
      <c r="AL6" s="5" t="s">
        <v>34</v>
      </c>
      <c r="AM6" s="5"/>
      <c r="AN6" s="19" t="n">
        <v>48103</v>
      </c>
      <c r="AO6" s="5"/>
      <c r="AP6" s="28" t="str">
        <f aca="false">IF(ISBLANK(N6),"Open","Resolved")</f>
        <v>Open</v>
      </c>
      <c r="AQ6" s="28" t="n">
        <f aca="false">IF(AND($AP6="Open",$AL6="No",COUNTIFS($A$5:$A6,$A6,$AP$5:$AP6,"Open",$AL$5:$AL6,"No")=1),1,0)</f>
        <v>1</v>
      </c>
      <c r="AR6" s="28" t="n">
        <f aca="false">IF(AND($AP6="Open",$AL6="No",COUNTIFS($H$5:$H6,$H6,$AP$5:$AP6,"Open",$AL$5:$AL6,"No")=1),1,0)</f>
        <v>0</v>
      </c>
    </row>
    <row r="7" customFormat="false" ht="15" hidden="false" customHeight="false" outlineLevel="0" collapsed="false">
      <c r="A7" s="5" t="s">
        <v>238</v>
      </c>
      <c r="B7" s="5" t="s">
        <v>225</v>
      </c>
      <c r="C7" s="26" t="n">
        <v>46213</v>
      </c>
      <c r="D7" s="5" t="s">
        <v>239</v>
      </c>
      <c r="E7" s="5" t="s">
        <v>227</v>
      </c>
      <c r="F7" s="5" t="s">
        <v>228</v>
      </c>
      <c r="G7" s="5" t="s">
        <v>229</v>
      </c>
      <c r="H7" s="5" t="s">
        <v>240</v>
      </c>
      <c r="I7" s="5" t="s">
        <v>241</v>
      </c>
      <c r="J7" s="5" t="s">
        <v>232</v>
      </c>
      <c r="K7" s="20" t="n">
        <v>1128</v>
      </c>
      <c r="L7" s="27" t="n">
        <v>64.55</v>
      </c>
      <c r="M7" s="26" t="n">
        <v>46213</v>
      </c>
      <c r="N7" s="5"/>
      <c r="O7" s="28" t="str">
        <f aca="false">IF(N7="",TEXT(M7,"d mmm yyyy")&amp;" – ongoing",IF(TEXT(M7,"mmmyyyy")=TEXT(N7,"mmmyyyy"),TEXT(M7,"d")&amp;" – "&amp;TEXT(N7,"d mmm yyyy"),IF(TEXT(M7,"yyyy")=TEXT(N7,"yyyy"),TEXT(M7,"d mmm")&amp;" – "&amp;TEXT(N7,"d mmm yyyy"),TEXT(M7,"d mmm yyyy")&amp;" – "&amp;TEXT(N7,"d mmm yyyy"))))</f>
        <v>10 Jul 2026 – ongoing</v>
      </c>
      <c r="P7" s="29" t="n">
        <f aca="false">IF(N7="",$B$2-M7,N7-M7)</f>
        <v>16</v>
      </c>
      <c r="Q7" s="29" t="n">
        <f aca="false">IF(N7="",NETWORKDAYS.INTL(M7,$B$2,"0000001")-1,NETWORKDAYS.INTL(M7,N7,"0000001")-1)</f>
        <v>13</v>
      </c>
      <c r="R7" s="28" t="str">
        <f aca="false">IF(Q7=0,"Same Day",Q7&amp;IF(Q7=1," Day Delay"," Days Delay")&amp;IF(S7="Yes",""," (min.)"))</f>
        <v>13 Days Delay</v>
      </c>
      <c r="S7" s="5" t="s">
        <v>143</v>
      </c>
      <c r="T7" s="19" t="n">
        <v>1</v>
      </c>
      <c r="U7" s="20" t="n">
        <v>542</v>
      </c>
      <c r="V7" s="20" t="n">
        <v>510</v>
      </c>
      <c r="W7" s="20" t="n">
        <v>618</v>
      </c>
      <c r="X7" s="20" t="n">
        <v>0</v>
      </c>
      <c r="Y7" s="20" t="n">
        <v>0</v>
      </c>
      <c r="Z7" s="19" t="n">
        <v>1</v>
      </c>
      <c r="AA7" s="30" t="n">
        <f aca="false">IFERROR(W7/(K7-Y7),"")</f>
        <v>0.547872340425532</v>
      </c>
      <c r="AB7" s="31" t="n">
        <f aca="false">V7*L7</f>
        <v>32920.5</v>
      </c>
      <c r="AC7" s="31" t="n">
        <f aca="false">X7*L7</f>
        <v>0</v>
      </c>
      <c r="AD7" s="31" t="n">
        <f aca="false">AC7*MAX(0,Q7-$B$3)</f>
        <v>0</v>
      </c>
      <c r="AE7" s="31" t="n">
        <f aca="false">IF(AF7="cancelled",Y7*L7,IF(AND(N7="",Q7&gt;$B$4),V7*L7,Y7*L7))</f>
        <v>32920.5</v>
      </c>
      <c r="AF7" s="5"/>
      <c r="AG7" s="5" t="s">
        <v>146</v>
      </c>
      <c r="AH7" s="5" t="s">
        <v>141</v>
      </c>
      <c r="AI7" s="5" t="s">
        <v>242</v>
      </c>
      <c r="AJ7" s="5" t="s">
        <v>234</v>
      </c>
      <c r="AK7" s="26" t="n">
        <v>46215</v>
      </c>
      <c r="AL7" s="5" t="s">
        <v>34</v>
      </c>
      <c r="AM7" s="5"/>
      <c r="AN7" s="19" t="n">
        <v>48106</v>
      </c>
      <c r="AO7" s="5"/>
      <c r="AP7" s="28" t="str">
        <f aca="false">IF(ISBLANK(N7),"Open","Resolved")</f>
        <v>Open</v>
      </c>
      <c r="AQ7" s="28" t="n">
        <f aca="false">IF(AND($AP7="Open",$AL7="No",COUNTIFS($A$5:$A7,$A7,$AP$5:$AP7,"Open",$AL$5:$AL7,"No")=1),1,0)</f>
        <v>1</v>
      </c>
      <c r="AR7" s="28" t="n">
        <f aca="false">IF(AND($AP7="Open",$AL7="No",COUNTIFS($H$5:$H7,$H7,$AP$5:$AP7,"Open",$AL$5:$AL7,"No")=1),1,0)</f>
        <v>1</v>
      </c>
    </row>
    <row r="8" customFormat="false" ht="15" hidden="false" customHeight="false" outlineLevel="0" collapsed="false">
      <c r="A8" s="5" t="s">
        <v>243</v>
      </c>
      <c r="B8" s="5" t="s">
        <v>225</v>
      </c>
      <c r="C8" s="26" t="n">
        <v>46213</v>
      </c>
      <c r="D8" s="5" t="s">
        <v>244</v>
      </c>
      <c r="E8" s="5" t="s">
        <v>227</v>
      </c>
      <c r="F8" s="5" t="s">
        <v>228</v>
      </c>
      <c r="G8" s="5" t="s">
        <v>229</v>
      </c>
      <c r="H8" s="5" t="s">
        <v>245</v>
      </c>
      <c r="I8" s="5" t="s">
        <v>246</v>
      </c>
      <c r="J8" s="5" t="s">
        <v>232</v>
      </c>
      <c r="K8" s="20" t="n">
        <v>876</v>
      </c>
      <c r="L8" s="27" t="n">
        <v>64.55</v>
      </c>
      <c r="M8" s="26" t="n">
        <v>46213</v>
      </c>
      <c r="N8" s="26" t="n">
        <v>46225</v>
      </c>
      <c r="O8" s="28" t="str">
        <f aca="false">IF(N8="",TEXT(M8,"d mmm yyyy")&amp;" – ongoing",IF(TEXT(M8,"mmmyyyy")=TEXT(N8,"mmmyyyy"),TEXT(M8,"d")&amp;" – "&amp;TEXT(N8,"d mmm yyyy"),IF(TEXT(M8,"yyyy")=TEXT(N8,"yyyy"),TEXT(M8,"d mmm")&amp;" – "&amp;TEXT(N8,"d mmm yyyy"),TEXT(M8,"d mmm yyyy")&amp;" – "&amp;TEXT(N8,"d mmm yyyy"))))</f>
        <v>10 – 22 Jul 2026</v>
      </c>
      <c r="P8" s="29" t="n">
        <f aca="false">IF(N8="",$B$2-M8,N8-M8)</f>
        <v>12</v>
      </c>
      <c r="Q8" s="29" t="n">
        <f aca="false">IF(N8="",NETWORKDAYS.INTL(M8,$B$2,"0000001")-1,NETWORKDAYS.INTL(M8,N8,"0000001")-1)</f>
        <v>10</v>
      </c>
      <c r="R8" s="28" t="str">
        <f aca="false">IF(Q8=0,"Same Day",Q8&amp;IF(Q8=1," Day Delay"," Days Delay")&amp;IF(S8="Yes",""," (min.)"))</f>
        <v>10 Days Delay</v>
      </c>
      <c r="S8" s="5" t="s">
        <v>143</v>
      </c>
      <c r="T8" s="19" t="n">
        <v>1</v>
      </c>
      <c r="U8" s="20" t="n">
        <v>514</v>
      </c>
      <c r="V8" s="20" t="n">
        <v>0</v>
      </c>
      <c r="W8" s="20" t="n">
        <v>876</v>
      </c>
      <c r="X8" s="20" t="n">
        <v>514</v>
      </c>
      <c r="Y8" s="20" t="n">
        <v>0</v>
      </c>
      <c r="Z8" s="19" t="n">
        <v>3</v>
      </c>
      <c r="AA8" s="30" t="n">
        <f aca="false">IFERROR(W8/(K8-Y8),"")</f>
        <v>1</v>
      </c>
      <c r="AB8" s="31" t="n">
        <f aca="false">V8*L8</f>
        <v>0</v>
      </c>
      <c r="AC8" s="31" t="n">
        <f aca="false">X8*L8</f>
        <v>33178.7</v>
      </c>
      <c r="AD8" s="31" t="n">
        <f aca="false">AC8*MAX(0,Q8-$B$3)</f>
        <v>265429.6</v>
      </c>
      <c r="AE8" s="31" t="n">
        <f aca="false">IF(AF8="cancelled",Y8*L8,IF(AND(N8="",Q8&gt;$B$4),V8*L8,Y8*L8))</f>
        <v>0</v>
      </c>
      <c r="AF8" s="5" t="s">
        <v>247</v>
      </c>
      <c r="AG8" s="5" t="s">
        <v>144</v>
      </c>
      <c r="AH8" s="5" t="s">
        <v>141</v>
      </c>
      <c r="AI8" s="5" t="s">
        <v>248</v>
      </c>
      <c r="AJ8" s="5" t="s">
        <v>234</v>
      </c>
      <c r="AK8" s="26" t="n">
        <v>46215</v>
      </c>
      <c r="AL8" s="5" t="s">
        <v>34</v>
      </c>
      <c r="AM8" s="5"/>
      <c r="AN8" s="19" t="n">
        <v>48109</v>
      </c>
      <c r="AO8" s="19" t="n">
        <v>48189</v>
      </c>
      <c r="AP8" s="28" t="str">
        <f aca="false">IF(ISBLANK(N8),"Open","Resolved")</f>
        <v>Resolved</v>
      </c>
      <c r="AQ8" s="28" t="n">
        <f aca="false">IF(AND($AP8="Open",$AL8="No",COUNTIFS($A$5:$A8,$A8,$AP$5:$AP8,"Open",$AL$5:$AL8,"No")=1),1,0)</f>
        <v>0</v>
      </c>
      <c r="AR8" s="28" t="n">
        <f aca="false">IF(AND($AP8="Open",$AL8="No",COUNTIFS($H$5:$H8,$H8,$AP$5:$AP8,"Open",$AL$5:$AL8,"No")=1),1,0)</f>
        <v>0</v>
      </c>
    </row>
    <row r="9" customFormat="false" ht="15" hidden="false" customHeight="false" outlineLevel="0" collapsed="false">
      <c r="A9" s="5" t="s">
        <v>249</v>
      </c>
      <c r="B9" s="5" t="s">
        <v>225</v>
      </c>
      <c r="C9" s="26" t="n">
        <v>46213</v>
      </c>
      <c r="D9" s="5" t="s">
        <v>250</v>
      </c>
      <c r="E9" s="5" t="s">
        <v>227</v>
      </c>
      <c r="F9" s="5" t="s">
        <v>228</v>
      </c>
      <c r="G9" s="5" t="s">
        <v>229</v>
      </c>
      <c r="H9" s="5" t="s">
        <v>251</v>
      </c>
      <c r="I9" s="5" t="s">
        <v>252</v>
      </c>
      <c r="J9" s="5" t="s">
        <v>232</v>
      </c>
      <c r="K9" s="20" t="n">
        <v>965</v>
      </c>
      <c r="L9" s="27" t="n">
        <v>73.3</v>
      </c>
      <c r="M9" s="26" t="n">
        <v>46213</v>
      </c>
      <c r="N9" s="26" t="n">
        <v>46223</v>
      </c>
      <c r="O9" s="28" t="str">
        <f aca="false">IF(N9="",TEXT(M9,"d mmm yyyy")&amp;" – ongoing",IF(TEXT(M9,"mmmyyyy")=TEXT(N9,"mmmyyyy"),TEXT(M9,"d")&amp;" – "&amp;TEXT(N9,"d mmm yyyy"),IF(TEXT(M9,"yyyy")=TEXT(N9,"yyyy"),TEXT(M9,"d mmm")&amp;" – "&amp;TEXT(N9,"d mmm yyyy"),TEXT(M9,"d mmm yyyy")&amp;" – "&amp;TEXT(N9,"d mmm yyyy"))))</f>
        <v>10 – 20 Jul 2026</v>
      </c>
      <c r="P9" s="29" t="n">
        <f aca="false">IF(N9="",$B$2-M9,N9-M9)</f>
        <v>10</v>
      </c>
      <c r="Q9" s="29" t="n">
        <f aca="false">IF(N9="",NETWORKDAYS.INTL(M9,$B$2,"0000001")-1,NETWORKDAYS.INTL(M9,N9,"0000001")-1)</f>
        <v>8</v>
      </c>
      <c r="R9" s="28" t="str">
        <f aca="false">IF(Q9=0,"Same Day",Q9&amp;IF(Q9=1," Day Delay"," Days Delay")&amp;IF(S9="Yes",""," (min.)"))</f>
        <v>8 Days Delay</v>
      </c>
      <c r="S9" s="5" t="s">
        <v>143</v>
      </c>
      <c r="T9" s="19" t="n">
        <v>1</v>
      </c>
      <c r="U9" s="20" t="n">
        <v>478</v>
      </c>
      <c r="V9" s="20" t="n">
        <v>0</v>
      </c>
      <c r="W9" s="20" t="n">
        <v>890</v>
      </c>
      <c r="X9" s="20" t="n">
        <v>478</v>
      </c>
      <c r="Y9" s="20" t="n">
        <v>75</v>
      </c>
      <c r="Z9" s="19" t="n">
        <v>2</v>
      </c>
      <c r="AA9" s="30" t="n">
        <f aca="false">IFERROR(W9/(K9-Y9),"")</f>
        <v>1</v>
      </c>
      <c r="AB9" s="31" t="n">
        <f aca="false">V9*L9</f>
        <v>0</v>
      </c>
      <c r="AC9" s="31" t="n">
        <f aca="false">X9*L9</f>
        <v>35037.4</v>
      </c>
      <c r="AD9" s="31" t="n">
        <f aca="false">AC9*MAX(0,Q9-$B$3)</f>
        <v>210224.4</v>
      </c>
      <c r="AE9" s="31" t="n">
        <f aca="false">IF(AF9="cancelled",Y9*L9,IF(AND(N9="",Q9&gt;$B$4),V9*L9,Y9*L9))</f>
        <v>5497.5</v>
      </c>
      <c r="AF9" s="5" t="s">
        <v>253</v>
      </c>
      <c r="AG9" s="5" t="s">
        <v>144</v>
      </c>
      <c r="AH9" s="5" t="s">
        <v>141</v>
      </c>
      <c r="AI9" s="5" t="s">
        <v>254</v>
      </c>
      <c r="AJ9" s="5" t="s">
        <v>234</v>
      </c>
      <c r="AK9" s="26" t="n">
        <v>46215</v>
      </c>
      <c r="AL9" s="5" t="s">
        <v>34</v>
      </c>
      <c r="AM9" s="5"/>
      <c r="AN9" s="19" t="n">
        <v>48112</v>
      </c>
      <c r="AO9" s="19" t="n">
        <v>48192</v>
      </c>
      <c r="AP9" s="28" t="str">
        <f aca="false">IF(ISBLANK(N9),"Open","Resolved")</f>
        <v>Resolved</v>
      </c>
      <c r="AQ9" s="28" t="n">
        <f aca="false">IF(AND($AP9="Open",$AL9="No",COUNTIFS($A$5:$A9,$A9,$AP$5:$AP9,"Open",$AL$5:$AL9,"No")=1),1,0)</f>
        <v>0</v>
      </c>
      <c r="AR9" s="28" t="n">
        <f aca="false">IF(AND($AP9="Open",$AL9="No",COUNTIFS($H$5:$H9,$H9,$AP$5:$AP9,"Open",$AL$5:$AL9,"No")=1),1,0)</f>
        <v>0</v>
      </c>
    </row>
    <row r="10" customFormat="false" ht="15" hidden="false" customHeight="false" outlineLevel="0" collapsed="false">
      <c r="A10" s="5" t="s">
        <v>255</v>
      </c>
      <c r="B10" s="5" t="s">
        <v>225</v>
      </c>
      <c r="C10" s="26" t="n">
        <v>46226</v>
      </c>
      <c r="D10" s="5" t="s">
        <v>256</v>
      </c>
      <c r="E10" s="5" t="s">
        <v>257</v>
      </c>
      <c r="F10" s="5" t="s">
        <v>258</v>
      </c>
      <c r="G10" s="5" t="s">
        <v>229</v>
      </c>
      <c r="H10" s="5" t="s">
        <v>259</v>
      </c>
      <c r="I10" s="5" t="s">
        <v>260</v>
      </c>
      <c r="J10" s="5" t="s">
        <v>261</v>
      </c>
      <c r="K10" s="20" t="n">
        <v>24</v>
      </c>
      <c r="L10" s="27" t="n">
        <v>2542.53</v>
      </c>
      <c r="M10" s="26" t="n">
        <v>46226</v>
      </c>
      <c r="N10" s="5"/>
      <c r="O10" s="28" t="str">
        <f aca="false">IF(N10="",TEXT(M10,"d mmm yyyy")&amp;" – ongoing",IF(TEXT(M10,"mmmyyyy")=TEXT(N10,"mmmyyyy"),TEXT(M10,"d")&amp;" – "&amp;TEXT(N10,"d mmm yyyy"),IF(TEXT(M10,"yyyy")=TEXT(N10,"yyyy"),TEXT(M10,"d mmm")&amp;" – "&amp;TEXT(N10,"d mmm yyyy"),TEXT(M10,"d mmm yyyy")&amp;" – "&amp;TEXT(N10,"d mmm yyyy"))))</f>
        <v>23 Jul 2026 – ongoing</v>
      </c>
      <c r="P10" s="29" t="n">
        <f aca="false">IF(N10="",$B$2-M10,N10-M10)</f>
        <v>3</v>
      </c>
      <c r="Q10" s="29" t="n">
        <f aca="false">IF(N10="",NETWORKDAYS.INTL(M10,$B$2,"0000001")-1,NETWORKDAYS.INTL(M10,N10,"0000001")-1)</f>
        <v>2</v>
      </c>
      <c r="R10" s="28" t="str">
        <f aca="false">IF(Q10=0,"Same Day",Q10&amp;IF(Q10=1," Day Delay"," Days Delay")&amp;IF(S10="Yes",""," (min.)"))</f>
        <v>2 Days Delay</v>
      </c>
      <c r="S10" s="5" t="s">
        <v>143</v>
      </c>
      <c r="T10" s="19" t="n">
        <v>1</v>
      </c>
      <c r="U10" s="20" t="n">
        <v>24</v>
      </c>
      <c r="V10" s="20" t="n">
        <v>24</v>
      </c>
      <c r="W10" s="20" t="n">
        <v>0</v>
      </c>
      <c r="X10" s="20" t="n">
        <v>0</v>
      </c>
      <c r="Y10" s="20" t="n">
        <v>0</v>
      </c>
      <c r="Z10" s="19" t="n">
        <v>0</v>
      </c>
      <c r="AA10" s="30" t="n">
        <f aca="false">IFERROR(W10/(K10-Y10),"")</f>
        <v>0</v>
      </c>
      <c r="AB10" s="31" t="n">
        <f aca="false">V10*L10</f>
        <v>61020.72</v>
      </c>
      <c r="AC10" s="31" t="n">
        <f aca="false">X10*L10</f>
        <v>0</v>
      </c>
      <c r="AD10" s="31" t="n">
        <f aca="false">AC10*MAX(0,Q10-$B$3)</f>
        <v>0</v>
      </c>
      <c r="AE10" s="31" t="n">
        <f aca="false">IF(AF10="cancelled",Y10*L10,IF(AND(N10="",Q10&gt;$B$4),V10*L10,Y10*L10))</f>
        <v>0</v>
      </c>
      <c r="AF10" s="5"/>
      <c r="AG10" s="5" t="s">
        <v>153</v>
      </c>
      <c r="AH10" s="5" t="s">
        <v>152</v>
      </c>
      <c r="AI10" s="5" t="s">
        <v>262</v>
      </c>
      <c r="AJ10" s="5" t="s">
        <v>263</v>
      </c>
      <c r="AK10" s="26" t="n">
        <v>46226</v>
      </c>
      <c r="AL10" s="5" t="s">
        <v>34</v>
      </c>
      <c r="AM10" s="5"/>
      <c r="AN10" s="19" t="n">
        <v>48115</v>
      </c>
      <c r="AO10" s="5"/>
      <c r="AP10" s="28" t="str">
        <f aca="false">IF(ISBLANK(N10),"Open","Resolved")</f>
        <v>Open</v>
      </c>
      <c r="AQ10" s="28" t="n">
        <f aca="false">IF(AND($AP10="Open",$AL10="No",COUNTIFS($A$5:$A10,$A10,$AP$5:$AP10,"Open",$AL$5:$AL10,"No")=1),1,0)</f>
        <v>1</v>
      </c>
      <c r="AR10" s="28" t="n">
        <f aca="false">IF(AND($AP10="Open",$AL10="No",COUNTIFS($H$5:$H10,$H10,$AP$5:$AP10,"Open",$AL$5:$AL10,"No")=1),1,0)</f>
        <v>1</v>
      </c>
    </row>
    <row r="11" customFormat="false" ht="15" hidden="false" customHeight="false" outlineLevel="0" collapsed="false">
      <c r="A11" s="5" t="s">
        <v>264</v>
      </c>
      <c r="B11" s="5" t="s">
        <v>225</v>
      </c>
      <c r="C11" s="26" t="n">
        <v>46226</v>
      </c>
      <c r="D11" s="5" t="s">
        <v>265</v>
      </c>
      <c r="E11" s="5" t="s">
        <v>257</v>
      </c>
      <c r="F11" s="5" t="s">
        <v>258</v>
      </c>
      <c r="G11" s="5" t="s">
        <v>229</v>
      </c>
      <c r="H11" s="5" t="s">
        <v>259</v>
      </c>
      <c r="I11" s="5" t="s">
        <v>260</v>
      </c>
      <c r="J11" s="5" t="s">
        <v>261</v>
      </c>
      <c r="K11" s="20" t="n">
        <v>18</v>
      </c>
      <c r="L11" s="27" t="n">
        <v>1649.14</v>
      </c>
      <c r="M11" s="26" t="n">
        <v>46226</v>
      </c>
      <c r="N11" s="5"/>
      <c r="O11" s="28" t="str">
        <f aca="false">IF(N11="",TEXT(M11,"d mmm yyyy")&amp;" – ongoing",IF(TEXT(M11,"mmmyyyy")=TEXT(N11,"mmmyyyy"),TEXT(M11,"d")&amp;" – "&amp;TEXT(N11,"d mmm yyyy"),IF(TEXT(M11,"yyyy")=TEXT(N11,"yyyy"),TEXT(M11,"d mmm")&amp;" – "&amp;TEXT(N11,"d mmm yyyy"),TEXT(M11,"d mmm yyyy")&amp;" – "&amp;TEXT(N11,"d mmm yyyy"))))</f>
        <v>23 Jul 2026 – ongoing</v>
      </c>
      <c r="P11" s="29" t="n">
        <f aca="false">IF(N11="",$B$2-M11,N11-M11)</f>
        <v>3</v>
      </c>
      <c r="Q11" s="29" t="n">
        <f aca="false">IF(N11="",NETWORKDAYS.INTL(M11,$B$2,"0000001")-1,NETWORKDAYS.INTL(M11,N11,"0000001")-1)</f>
        <v>2</v>
      </c>
      <c r="R11" s="28" t="str">
        <f aca="false">IF(Q11=0,"Same Day",Q11&amp;IF(Q11=1," Day Delay"," Days Delay")&amp;IF(S11="Yes",""," (min.)"))</f>
        <v>2 Days Delay</v>
      </c>
      <c r="S11" s="5" t="s">
        <v>143</v>
      </c>
      <c r="T11" s="19" t="n">
        <v>1</v>
      </c>
      <c r="U11" s="20" t="n">
        <v>18</v>
      </c>
      <c r="V11" s="20" t="n">
        <v>18</v>
      </c>
      <c r="W11" s="20" t="n">
        <v>0</v>
      </c>
      <c r="X11" s="20" t="n">
        <v>0</v>
      </c>
      <c r="Y11" s="20" t="n">
        <v>0</v>
      </c>
      <c r="Z11" s="19" t="n">
        <v>0</v>
      </c>
      <c r="AA11" s="30" t="n">
        <f aca="false">IFERROR(W11/(K11-Y11),"")</f>
        <v>0</v>
      </c>
      <c r="AB11" s="31" t="n">
        <f aca="false">V11*L11</f>
        <v>29684.52</v>
      </c>
      <c r="AC11" s="31" t="n">
        <f aca="false">X11*L11</f>
        <v>0</v>
      </c>
      <c r="AD11" s="31" t="n">
        <f aca="false">AC11*MAX(0,Q11-$B$3)</f>
        <v>0</v>
      </c>
      <c r="AE11" s="31" t="n">
        <f aca="false">IF(AF11="cancelled",Y11*L11,IF(AND(N11="",Q11&gt;$B$4),V11*L11,Y11*L11))</f>
        <v>0</v>
      </c>
      <c r="AF11" s="5"/>
      <c r="AG11" s="5" t="s">
        <v>153</v>
      </c>
      <c r="AH11" s="5" t="s">
        <v>152</v>
      </c>
      <c r="AI11" s="5" t="s">
        <v>266</v>
      </c>
      <c r="AJ11" s="5" t="s">
        <v>263</v>
      </c>
      <c r="AK11" s="26" t="n">
        <v>46226</v>
      </c>
      <c r="AL11" s="5" t="s">
        <v>34</v>
      </c>
      <c r="AM11" s="5"/>
      <c r="AN11" s="19" t="n">
        <v>48118</v>
      </c>
      <c r="AO11" s="5"/>
      <c r="AP11" s="28" t="str">
        <f aca="false">IF(ISBLANK(N11),"Open","Resolved")</f>
        <v>Open</v>
      </c>
      <c r="AQ11" s="28" t="n">
        <f aca="false">IF(AND($AP11="Open",$AL11="No",COUNTIFS($A$5:$A11,$A11,$AP$5:$AP11,"Open",$AL$5:$AL11,"No")=1),1,0)</f>
        <v>1</v>
      </c>
      <c r="AR11" s="28" t="n">
        <f aca="false">IF(AND($AP11="Open",$AL11="No",COUNTIFS($H$5:$H11,$H11,$AP$5:$AP11,"Open",$AL$5:$AL11,"No")=1),1,0)</f>
        <v>0</v>
      </c>
    </row>
    <row r="12" customFormat="false" ht="15" hidden="false" customHeight="false" outlineLevel="0" collapsed="false">
      <c r="A12" s="5" t="s">
        <v>267</v>
      </c>
      <c r="B12" s="5" t="s">
        <v>225</v>
      </c>
      <c r="C12" s="26" t="n">
        <v>46219</v>
      </c>
      <c r="D12" s="5" t="s">
        <v>268</v>
      </c>
      <c r="E12" s="5" t="s">
        <v>269</v>
      </c>
      <c r="F12" s="5" t="s">
        <v>258</v>
      </c>
      <c r="G12" s="5" t="s">
        <v>229</v>
      </c>
      <c r="H12" s="5" t="s">
        <v>259</v>
      </c>
      <c r="I12" s="5" t="s">
        <v>260</v>
      </c>
      <c r="J12" s="5" t="s">
        <v>261</v>
      </c>
      <c r="K12" s="20" t="n">
        <v>12</v>
      </c>
      <c r="L12" s="27" t="n">
        <v>2542.53</v>
      </c>
      <c r="M12" s="26" t="n">
        <v>46219</v>
      </c>
      <c r="N12" s="5"/>
      <c r="O12" s="28" t="str">
        <f aca="false">IF(N12="",TEXT(M12,"d mmm yyyy")&amp;" – ongoing",IF(TEXT(M12,"mmmyyyy")=TEXT(N12,"mmmyyyy"),TEXT(M12,"d")&amp;" – "&amp;TEXT(N12,"d mmm yyyy"),IF(TEXT(M12,"yyyy")=TEXT(N12,"yyyy"),TEXT(M12,"d mmm")&amp;" – "&amp;TEXT(N12,"d mmm yyyy"),TEXT(M12,"d mmm yyyy")&amp;" – "&amp;TEXT(N12,"d mmm yyyy"))))</f>
        <v>16 Jul 2026 – ongoing</v>
      </c>
      <c r="P12" s="29" t="n">
        <f aca="false">IF(N12="",$B$2-M12,N12-M12)</f>
        <v>10</v>
      </c>
      <c r="Q12" s="29" t="n">
        <f aca="false">IF(N12="",NETWORKDAYS.INTL(M12,$B$2,"0000001")-1,NETWORKDAYS.INTL(M12,N12,"0000001")-1)</f>
        <v>8</v>
      </c>
      <c r="R12" s="28" t="str">
        <f aca="false">IF(Q12=0,"Same Day",Q12&amp;IF(Q12=1," Day Delay"," Days Delay")&amp;IF(S12="Yes",""," (min.)"))</f>
        <v>8 Days Delay</v>
      </c>
      <c r="S12" s="5" t="s">
        <v>143</v>
      </c>
      <c r="T12" s="19" t="n">
        <v>1</v>
      </c>
      <c r="U12" s="20" t="n">
        <v>12</v>
      </c>
      <c r="V12" s="20" t="n">
        <v>12</v>
      </c>
      <c r="W12" s="20" t="n">
        <v>0</v>
      </c>
      <c r="X12" s="20" t="n">
        <v>0</v>
      </c>
      <c r="Y12" s="20" t="n">
        <v>0</v>
      </c>
      <c r="Z12" s="19" t="n">
        <v>0</v>
      </c>
      <c r="AA12" s="30" t="n">
        <f aca="false">IFERROR(W12/(K12-Y12),"")</f>
        <v>0</v>
      </c>
      <c r="AB12" s="31" t="n">
        <f aca="false">V12*L12</f>
        <v>30510.36</v>
      </c>
      <c r="AC12" s="31" t="n">
        <f aca="false">X12*L12</f>
        <v>0</v>
      </c>
      <c r="AD12" s="31" t="n">
        <f aca="false">AC12*MAX(0,Q12-$B$3)</f>
        <v>0</v>
      </c>
      <c r="AE12" s="31" t="n">
        <f aca="false">IF(AF12="cancelled",Y12*L12,IF(AND(N12="",Q12&gt;$B$4),V12*L12,Y12*L12))</f>
        <v>30510.36</v>
      </c>
      <c r="AF12" s="5"/>
      <c r="AG12" s="5" t="s">
        <v>153</v>
      </c>
      <c r="AH12" s="5" t="s">
        <v>152</v>
      </c>
      <c r="AI12" s="5" t="s">
        <v>266</v>
      </c>
      <c r="AJ12" s="5" t="s">
        <v>263</v>
      </c>
      <c r="AK12" s="26" t="n">
        <v>46220</v>
      </c>
      <c r="AL12" s="5" t="s">
        <v>34</v>
      </c>
      <c r="AM12" s="5"/>
      <c r="AN12" s="19" t="n">
        <v>48121</v>
      </c>
      <c r="AO12" s="5"/>
      <c r="AP12" s="28" t="str">
        <f aca="false">IF(ISBLANK(N12),"Open","Resolved")</f>
        <v>Open</v>
      </c>
      <c r="AQ12" s="28" t="n">
        <f aca="false">IF(AND($AP12="Open",$AL12="No",COUNTIFS($A$5:$A12,$A12,$AP$5:$AP12,"Open",$AL$5:$AL12,"No")=1),1,0)</f>
        <v>1</v>
      </c>
      <c r="AR12" s="28" t="n">
        <f aca="false">IF(AND($AP12="Open",$AL12="No",COUNTIFS($H$5:$H12,$H12,$AP$5:$AP12,"Open",$AL$5:$AL12,"No")=1),1,0)</f>
        <v>0</v>
      </c>
    </row>
    <row r="13" customFormat="false" ht="15" hidden="false" customHeight="false" outlineLevel="0" collapsed="false">
      <c r="A13" s="5" t="s">
        <v>270</v>
      </c>
      <c r="B13" s="5" t="s">
        <v>225</v>
      </c>
      <c r="C13" s="26" t="n">
        <v>46218</v>
      </c>
      <c r="D13" s="5" t="s">
        <v>271</v>
      </c>
      <c r="E13" s="5" t="s">
        <v>269</v>
      </c>
      <c r="F13" s="5" t="s">
        <v>258</v>
      </c>
      <c r="G13" s="5" t="s">
        <v>229</v>
      </c>
      <c r="H13" s="5" t="s">
        <v>272</v>
      </c>
      <c r="I13" s="5" t="s">
        <v>273</v>
      </c>
      <c r="J13" s="5" t="s">
        <v>274</v>
      </c>
      <c r="K13" s="20" t="n">
        <v>6</v>
      </c>
      <c r="L13" s="27" t="n">
        <v>2756.9</v>
      </c>
      <c r="M13" s="26" t="n">
        <v>46218</v>
      </c>
      <c r="N13" s="5"/>
      <c r="O13" s="28" t="str">
        <f aca="false">IF(N13="",TEXT(M13,"d mmm yyyy")&amp;" – ongoing",IF(TEXT(M13,"mmmyyyy")=TEXT(N13,"mmmyyyy"),TEXT(M13,"d")&amp;" – "&amp;TEXT(N13,"d mmm yyyy"),IF(TEXT(M13,"yyyy")=TEXT(N13,"yyyy"),TEXT(M13,"d mmm")&amp;" – "&amp;TEXT(N13,"d mmm yyyy"),TEXT(M13,"d mmm yyyy")&amp;" – "&amp;TEXT(N13,"d mmm yyyy"))))</f>
        <v>15 Jul 2026 – ongoing</v>
      </c>
      <c r="P13" s="29" t="n">
        <f aca="false">IF(N13="",$B$2-M13,N13-M13)</f>
        <v>11</v>
      </c>
      <c r="Q13" s="29" t="n">
        <f aca="false">IF(N13="",NETWORKDAYS.INTL(M13,$B$2,"0000001")-1,NETWORKDAYS.INTL(M13,N13,"0000001")-1)</f>
        <v>9</v>
      </c>
      <c r="R13" s="28" t="str">
        <f aca="false">IF(Q13=0,"Same Day",Q13&amp;IF(Q13=1," Day Delay"," Days Delay")&amp;IF(S13="Yes",""," (min.)"))</f>
        <v>9 Days Delay</v>
      </c>
      <c r="S13" s="5" t="s">
        <v>143</v>
      </c>
      <c r="T13" s="19" t="n">
        <v>1</v>
      </c>
      <c r="U13" s="20" t="n">
        <v>6</v>
      </c>
      <c r="V13" s="20" t="n">
        <v>6</v>
      </c>
      <c r="W13" s="20" t="n">
        <v>0</v>
      </c>
      <c r="X13" s="20" t="n">
        <v>0</v>
      </c>
      <c r="Y13" s="20" t="n">
        <v>0</v>
      </c>
      <c r="Z13" s="19" t="n">
        <v>0</v>
      </c>
      <c r="AA13" s="30" t="n">
        <f aca="false">IFERROR(W13/(K13-Y13),"")</f>
        <v>0</v>
      </c>
      <c r="AB13" s="31" t="n">
        <f aca="false">V13*L13</f>
        <v>16541.4</v>
      </c>
      <c r="AC13" s="31" t="n">
        <f aca="false">X13*L13</f>
        <v>0</v>
      </c>
      <c r="AD13" s="31" t="n">
        <f aca="false">AC13*MAX(0,Q13-$B$3)</f>
        <v>0</v>
      </c>
      <c r="AE13" s="31" t="n">
        <f aca="false">IF(AF13="cancelled",Y13*L13,IF(AND(N13="",Q13&gt;$B$4),V13*L13,Y13*L13))</f>
        <v>16541.4</v>
      </c>
      <c r="AF13" s="5"/>
      <c r="AG13" s="5" t="s">
        <v>148</v>
      </c>
      <c r="AH13" s="5" t="s">
        <v>141</v>
      </c>
      <c r="AI13" s="5" t="s">
        <v>275</v>
      </c>
      <c r="AJ13" s="5" t="s">
        <v>263</v>
      </c>
      <c r="AK13" s="26" t="n">
        <v>46220</v>
      </c>
      <c r="AL13" s="5" t="s">
        <v>34</v>
      </c>
      <c r="AM13" s="5"/>
      <c r="AN13" s="19" t="n">
        <v>48124</v>
      </c>
      <c r="AO13" s="5"/>
      <c r="AP13" s="28" t="str">
        <f aca="false">IF(ISBLANK(N13),"Open","Resolved")</f>
        <v>Open</v>
      </c>
      <c r="AQ13" s="28" t="n">
        <f aca="false">IF(AND($AP13="Open",$AL13="No",COUNTIFS($A$5:$A13,$A13,$AP$5:$AP13,"Open",$AL$5:$AL13,"No")=1),1,0)</f>
        <v>1</v>
      </c>
      <c r="AR13" s="28" t="n">
        <f aca="false">IF(AND($AP13="Open",$AL13="No",COUNTIFS($H$5:$H13,$H13,$AP$5:$AP13,"Open",$AL$5:$AL13,"No")=1),1,0)</f>
        <v>1</v>
      </c>
    </row>
    <row r="14" customFormat="false" ht="15" hidden="false" customHeight="false" outlineLevel="0" collapsed="false">
      <c r="A14" s="5" t="s">
        <v>276</v>
      </c>
      <c r="B14" s="5" t="s">
        <v>225</v>
      </c>
      <c r="C14" s="26" t="n">
        <v>46218</v>
      </c>
      <c r="D14" s="5" t="s">
        <v>277</v>
      </c>
      <c r="E14" s="5" t="s">
        <v>269</v>
      </c>
      <c r="F14" s="5" t="s">
        <v>258</v>
      </c>
      <c r="G14" s="5" t="s">
        <v>229</v>
      </c>
      <c r="H14" s="5" t="s">
        <v>272</v>
      </c>
      <c r="I14" s="5" t="s">
        <v>273</v>
      </c>
      <c r="J14" s="5" t="s">
        <v>274</v>
      </c>
      <c r="K14" s="20" t="n">
        <v>6</v>
      </c>
      <c r="L14" s="27" t="n">
        <v>2756.9</v>
      </c>
      <c r="M14" s="26" t="n">
        <v>46218</v>
      </c>
      <c r="N14" s="5"/>
      <c r="O14" s="28" t="str">
        <f aca="false">IF(N14="",TEXT(M14,"d mmm yyyy")&amp;" – ongoing",IF(TEXT(M14,"mmmyyyy")=TEXT(N14,"mmmyyyy"),TEXT(M14,"d")&amp;" – "&amp;TEXT(N14,"d mmm yyyy"),IF(TEXT(M14,"yyyy")=TEXT(N14,"yyyy"),TEXT(M14,"d mmm")&amp;" – "&amp;TEXT(N14,"d mmm yyyy"),TEXT(M14,"d mmm yyyy")&amp;" – "&amp;TEXT(N14,"d mmm yyyy"))))</f>
        <v>15 Jul 2026 – ongoing</v>
      </c>
      <c r="P14" s="29" t="n">
        <f aca="false">IF(N14="",$B$2-M14,N14-M14)</f>
        <v>11</v>
      </c>
      <c r="Q14" s="29" t="n">
        <f aca="false">IF(N14="",NETWORKDAYS.INTL(M14,$B$2,"0000001")-1,NETWORKDAYS.INTL(M14,N14,"0000001")-1)</f>
        <v>9</v>
      </c>
      <c r="R14" s="28" t="str">
        <f aca="false">IF(Q14=0,"Same Day",Q14&amp;IF(Q14=1," Day Delay"," Days Delay")&amp;IF(S14="Yes",""," (min.)"))</f>
        <v>9 Days Delay</v>
      </c>
      <c r="S14" s="5" t="s">
        <v>143</v>
      </c>
      <c r="T14" s="19" t="n">
        <v>1</v>
      </c>
      <c r="U14" s="20" t="n">
        <v>6</v>
      </c>
      <c r="V14" s="20" t="n">
        <v>6</v>
      </c>
      <c r="W14" s="20" t="n">
        <v>0</v>
      </c>
      <c r="X14" s="20" t="n">
        <v>0</v>
      </c>
      <c r="Y14" s="20" t="n">
        <v>0</v>
      </c>
      <c r="Z14" s="19" t="n">
        <v>0</v>
      </c>
      <c r="AA14" s="30" t="n">
        <f aca="false">IFERROR(W14/(K14-Y14),"")</f>
        <v>0</v>
      </c>
      <c r="AB14" s="31" t="n">
        <f aca="false">V14*L14</f>
        <v>16541.4</v>
      </c>
      <c r="AC14" s="31" t="n">
        <f aca="false">X14*L14</f>
        <v>0</v>
      </c>
      <c r="AD14" s="31" t="n">
        <f aca="false">AC14*MAX(0,Q14-$B$3)</f>
        <v>0</v>
      </c>
      <c r="AE14" s="31" t="n">
        <f aca="false">IF(AF14="cancelled",Y14*L14,IF(AND(N14="",Q14&gt;$B$4),V14*L14,Y14*L14))</f>
        <v>16541.4</v>
      </c>
      <c r="AF14" s="5"/>
      <c r="AG14" s="5" t="s">
        <v>148</v>
      </c>
      <c r="AH14" s="5" t="s">
        <v>141</v>
      </c>
      <c r="AI14" s="5" t="s">
        <v>275</v>
      </c>
      <c r="AJ14" s="5" t="s">
        <v>263</v>
      </c>
      <c r="AK14" s="26" t="n">
        <v>46220</v>
      </c>
      <c r="AL14" s="5" t="s">
        <v>34</v>
      </c>
      <c r="AM14" s="5"/>
      <c r="AN14" s="19" t="n">
        <v>48127</v>
      </c>
      <c r="AO14" s="5"/>
      <c r="AP14" s="28" t="str">
        <f aca="false">IF(ISBLANK(N14),"Open","Resolved")</f>
        <v>Open</v>
      </c>
      <c r="AQ14" s="28" t="n">
        <f aca="false">IF(AND($AP14="Open",$AL14="No",COUNTIFS($A$5:$A14,$A14,$AP$5:$AP14,"Open",$AL$5:$AL14,"No")=1),1,0)</f>
        <v>1</v>
      </c>
      <c r="AR14" s="28" t="n">
        <f aca="false">IF(AND($AP14="Open",$AL14="No",COUNTIFS($H$5:$H14,$H14,$AP$5:$AP14,"Open",$AL$5:$AL14,"No")=1),1,0)</f>
        <v>0</v>
      </c>
    </row>
    <row r="15" customFormat="false" ht="15" hidden="false" customHeight="false" outlineLevel="0" collapsed="false">
      <c r="A15" s="5" t="s">
        <v>278</v>
      </c>
      <c r="B15" s="5" t="s">
        <v>225</v>
      </c>
      <c r="C15" s="26" t="n">
        <v>46223</v>
      </c>
      <c r="D15" s="5" t="s">
        <v>279</v>
      </c>
      <c r="E15" s="5" t="s">
        <v>279</v>
      </c>
      <c r="F15" s="5" t="s">
        <v>280</v>
      </c>
      <c r="G15" s="5" t="s">
        <v>229</v>
      </c>
      <c r="H15" s="5" t="s">
        <v>281</v>
      </c>
      <c r="I15" s="5" t="s">
        <v>282</v>
      </c>
      <c r="J15" s="5" t="s">
        <v>232</v>
      </c>
      <c r="K15" s="20" t="n">
        <v>980</v>
      </c>
      <c r="L15" s="27" t="n">
        <v>860.17</v>
      </c>
      <c r="M15" s="26" t="n">
        <v>46223</v>
      </c>
      <c r="N15" s="26" t="n">
        <v>46225</v>
      </c>
      <c r="O15" s="28" t="str">
        <f aca="false">IF(N15="",TEXT(M15,"d mmm yyyy")&amp;" – ongoing",IF(TEXT(M15,"mmmyyyy")=TEXT(N15,"mmmyyyy"),TEXT(M15,"d")&amp;" – "&amp;TEXT(N15,"d mmm yyyy"),IF(TEXT(M15,"yyyy")=TEXT(N15,"yyyy"),TEXT(M15,"d mmm")&amp;" – "&amp;TEXT(N15,"d mmm yyyy"),TEXT(M15,"d mmm yyyy")&amp;" – "&amp;TEXT(N15,"d mmm yyyy"))))</f>
        <v>20 – 22 Jul 2026</v>
      </c>
      <c r="P15" s="29" t="n">
        <f aca="false">IF(N15="",$B$2-M15,N15-M15)</f>
        <v>2</v>
      </c>
      <c r="Q15" s="29" t="n">
        <f aca="false">IF(N15="",NETWORKDAYS.INTL(M15,$B$2,"0000001")-1,NETWORKDAYS.INTL(M15,N15,"0000001")-1)</f>
        <v>2</v>
      </c>
      <c r="R15" s="28" t="str">
        <f aca="false">IF(Q15=0,"Same Day",Q15&amp;IF(Q15=1," Day Delay"," Days Delay")&amp;IF(S15="Yes",""," (min.)"))</f>
        <v>2 Days Delay</v>
      </c>
      <c r="S15" s="5" t="s">
        <v>143</v>
      </c>
      <c r="T15" s="19" t="n">
        <v>1</v>
      </c>
      <c r="U15" s="20" t="n">
        <v>262</v>
      </c>
      <c r="V15" s="20" t="n">
        <v>0</v>
      </c>
      <c r="W15" s="20" t="n">
        <v>980</v>
      </c>
      <c r="X15" s="20" t="n">
        <v>262</v>
      </c>
      <c r="Y15" s="20" t="n">
        <v>0</v>
      </c>
      <c r="Z15" s="19" t="n">
        <v>3</v>
      </c>
      <c r="AA15" s="30" t="n">
        <f aca="false">IFERROR(W15/(K15-Y15),"")</f>
        <v>1</v>
      </c>
      <c r="AB15" s="31" t="n">
        <f aca="false">V15*L15</f>
        <v>0</v>
      </c>
      <c r="AC15" s="31" t="n">
        <f aca="false">X15*L15</f>
        <v>225364.54</v>
      </c>
      <c r="AD15" s="31" t="n">
        <f aca="false">AC15*MAX(0,Q15-$B$3)</f>
        <v>0</v>
      </c>
      <c r="AE15" s="31" t="n">
        <f aca="false">IF(AF15="cancelled",Y15*L15,IF(AND(N15="",Q15&gt;$B$4),V15*L15,Y15*L15))</f>
        <v>0</v>
      </c>
      <c r="AF15" s="5" t="s">
        <v>247</v>
      </c>
      <c r="AG15" s="5" t="s">
        <v>159</v>
      </c>
      <c r="AH15" s="5" t="s">
        <v>157</v>
      </c>
      <c r="AI15" s="5" t="s">
        <v>283</v>
      </c>
      <c r="AJ15" s="5" t="s">
        <v>284</v>
      </c>
      <c r="AK15" s="26" t="n">
        <v>46224</v>
      </c>
      <c r="AL15" s="5" t="s">
        <v>34</v>
      </c>
      <c r="AM15" s="5"/>
      <c r="AN15" s="19" t="n">
        <v>48130</v>
      </c>
      <c r="AO15" s="19" t="n">
        <v>48210</v>
      </c>
      <c r="AP15" s="28" t="str">
        <f aca="false">IF(ISBLANK(N15),"Open","Resolved")</f>
        <v>Resolved</v>
      </c>
      <c r="AQ15" s="28" t="n">
        <f aca="false">IF(AND($AP15="Open",$AL15="No",COUNTIFS($A$5:$A15,$A15,$AP$5:$AP15,"Open",$AL$5:$AL15,"No")=1),1,0)</f>
        <v>0</v>
      </c>
      <c r="AR15" s="28" t="n">
        <f aca="false">IF(AND($AP15="Open",$AL15="No",COUNTIFS($H$5:$H15,$H15,$AP$5:$AP15,"Open",$AL$5:$AL15,"No")=1),1,0)</f>
        <v>0</v>
      </c>
    </row>
    <row r="16" customFormat="false" ht="15" hidden="false" customHeight="false" outlineLevel="0" collapsed="false">
      <c r="A16" s="5" t="s">
        <v>285</v>
      </c>
      <c r="B16" s="5" t="s">
        <v>225</v>
      </c>
      <c r="C16" s="26" t="n">
        <v>46226</v>
      </c>
      <c r="D16" s="5" t="s">
        <v>286</v>
      </c>
      <c r="E16" s="5" t="s">
        <v>286</v>
      </c>
      <c r="F16" s="5" t="s">
        <v>280</v>
      </c>
      <c r="G16" s="5" t="s">
        <v>229</v>
      </c>
      <c r="H16" s="5" t="s">
        <v>287</v>
      </c>
      <c r="I16" s="5" t="s">
        <v>288</v>
      </c>
      <c r="J16" s="5" t="s">
        <v>289</v>
      </c>
      <c r="K16" s="20" t="n">
        <v>36</v>
      </c>
      <c r="L16" s="27" t="n">
        <v>1035</v>
      </c>
      <c r="M16" s="26" t="n">
        <v>46226</v>
      </c>
      <c r="N16" s="5"/>
      <c r="O16" s="28" t="str">
        <f aca="false">IF(N16="",TEXT(M16,"d mmm yyyy")&amp;" – ongoing",IF(TEXT(M16,"mmmyyyy")=TEXT(N16,"mmmyyyy"),TEXT(M16,"d")&amp;" – "&amp;TEXT(N16,"d mmm yyyy"),IF(TEXT(M16,"yyyy")=TEXT(N16,"yyyy"),TEXT(M16,"d mmm")&amp;" – "&amp;TEXT(N16,"d mmm yyyy"),TEXT(M16,"d mmm yyyy")&amp;" – "&amp;TEXT(N16,"d mmm yyyy"))))</f>
        <v>23 Jul 2026 – ongoing</v>
      </c>
      <c r="P16" s="29" t="n">
        <f aca="false">IF(N16="",$B$2-M16,N16-M16)</f>
        <v>3</v>
      </c>
      <c r="Q16" s="29" t="n">
        <f aca="false">IF(N16="",NETWORKDAYS.INTL(M16,$B$2,"0000001")-1,NETWORKDAYS.INTL(M16,N16,"0000001")-1)</f>
        <v>2</v>
      </c>
      <c r="R16" s="28" t="str">
        <f aca="false">IF(Q16=0,"Same Day",Q16&amp;IF(Q16=1," Day Delay"," Days Delay")&amp;IF(S16="Yes",""," (min.)"))</f>
        <v>2 Days Delay (min.)</v>
      </c>
      <c r="S16" s="5" t="s">
        <v>290</v>
      </c>
      <c r="T16" s="19" t="n">
        <v>1</v>
      </c>
      <c r="U16" s="20" t="n">
        <v>36</v>
      </c>
      <c r="V16" s="20" t="n">
        <v>36</v>
      </c>
      <c r="W16" s="20" t="n">
        <v>0</v>
      </c>
      <c r="X16" s="20" t="n">
        <v>0</v>
      </c>
      <c r="Y16" s="20" t="n">
        <v>0</v>
      </c>
      <c r="Z16" s="19" t="n">
        <v>0</v>
      </c>
      <c r="AA16" s="30" t="n">
        <f aca="false">IFERROR(W16/(K16-Y16),"")</f>
        <v>0</v>
      </c>
      <c r="AB16" s="31" t="n">
        <f aca="false">V16*L16</f>
        <v>37260</v>
      </c>
      <c r="AC16" s="31" t="n">
        <f aca="false">X16*L16</f>
        <v>0</v>
      </c>
      <c r="AD16" s="31" t="n">
        <f aca="false">AC16*MAX(0,Q16-$B$3)</f>
        <v>0</v>
      </c>
      <c r="AE16" s="31" t="n">
        <f aca="false">IF(AF16="cancelled",Y16*L16,IF(AND(N16="",Q16&gt;$B$4),V16*L16,Y16*L16))</f>
        <v>0</v>
      </c>
      <c r="AF16" s="5"/>
      <c r="AG16" s="5" t="s">
        <v>154</v>
      </c>
      <c r="AH16" s="5" t="s">
        <v>152</v>
      </c>
      <c r="AI16" s="5" t="s">
        <v>291</v>
      </c>
      <c r="AJ16" s="5"/>
      <c r="AK16" s="5"/>
      <c r="AL16" s="5" t="s">
        <v>34</v>
      </c>
      <c r="AM16" s="5"/>
      <c r="AN16" s="19" t="n">
        <v>48133</v>
      </c>
      <c r="AO16" s="5"/>
      <c r="AP16" s="28" t="str">
        <f aca="false">IF(ISBLANK(N16),"Open","Resolved")</f>
        <v>Open</v>
      </c>
      <c r="AQ16" s="28" t="n">
        <f aca="false">IF(AND($AP16="Open",$AL16="No",COUNTIFS($A$5:$A16,$A16,$AP$5:$AP16,"Open",$AL$5:$AL16,"No")=1),1,0)</f>
        <v>1</v>
      </c>
      <c r="AR16" s="28" t="n">
        <f aca="false">IF(AND($AP16="Open",$AL16="No",COUNTIFS($H$5:$H16,$H16,$AP$5:$AP16,"Open",$AL$5:$AL16,"No")=1),1,0)</f>
        <v>1</v>
      </c>
    </row>
    <row r="17" customFormat="false" ht="15" hidden="false" customHeight="false" outlineLevel="0" collapsed="false">
      <c r="A17" s="5" t="s">
        <v>292</v>
      </c>
      <c r="B17" s="5" t="s">
        <v>225</v>
      </c>
      <c r="C17" s="26" t="n">
        <v>46226</v>
      </c>
      <c r="D17" s="5" t="s">
        <v>293</v>
      </c>
      <c r="E17" s="5" t="s">
        <v>293</v>
      </c>
      <c r="F17" s="5" t="s">
        <v>294</v>
      </c>
      <c r="G17" s="5" t="s">
        <v>229</v>
      </c>
      <c r="H17" s="5" t="s">
        <v>295</v>
      </c>
      <c r="I17" s="5" t="s">
        <v>296</v>
      </c>
      <c r="J17" s="5" t="s">
        <v>289</v>
      </c>
      <c r="K17" s="20" t="n">
        <v>1188</v>
      </c>
      <c r="L17" s="27" t="n">
        <v>1593.04</v>
      </c>
      <c r="M17" s="26" t="n">
        <v>46226</v>
      </c>
      <c r="N17" s="5"/>
      <c r="O17" s="28" t="str">
        <f aca="false">IF(N17="",TEXT(M17,"d mmm yyyy")&amp;" – ongoing",IF(TEXT(M17,"mmmyyyy")=TEXT(N17,"mmmyyyy"),TEXT(M17,"d")&amp;" – "&amp;TEXT(N17,"d mmm yyyy"),IF(TEXT(M17,"yyyy")=TEXT(N17,"yyyy"),TEXT(M17,"d mmm")&amp;" – "&amp;TEXT(N17,"d mmm yyyy"),TEXT(M17,"d mmm yyyy")&amp;" – "&amp;TEXT(N17,"d mmm yyyy"))))</f>
        <v>23 Jul 2026 – ongoing</v>
      </c>
      <c r="P17" s="29" t="n">
        <f aca="false">IF(N17="",$B$2-M17,N17-M17)</f>
        <v>3</v>
      </c>
      <c r="Q17" s="29" t="n">
        <f aca="false">IF(N17="",NETWORKDAYS.INTL(M17,$B$2,"0000001")-1,NETWORKDAYS.INTL(M17,N17,"0000001")-1)</f>
        <v>2</v>
      </c>
      <c r="R17" s="28" t="str">
        <f aca="false">IF(Q17=0,"Same Day",Q17&amp;IF(Q17=1," Day Delay"," Days Delay")&amp;IF(S17="Yes",""," (min.)"))</f>
        <v>2 Days Delay</v>
      </c>
      <c r="S17" s="5" t="s">
        <v>143</v>
      </c>
      <c r="T17" s="19" t="n">
        <v>1</v>
      </c>
      <c r="U17" s="20" t="n">
        <v>1188</v>
      </c>
      <c r="V17" s="20" t="n">
        <v>1188</v>
      </c>
      <c r="W17" s="20" t="n">
        <v>0</v>
      </c>
      <c r="X17" s="20" t="n">
        <v>0</v>
      </c>
      <c r="Y17" s="20" t="n">
        <v>0</v>
      </c>
      <c r="Z17" s="19" t="n">
        <v>0</v>
      </c>
      <c r="AA17" s="30" t="n">
        <f aca="false">IFERROR(W17/(K17-Y17),"")</f>
        <v>0</v>
      </c>
      <c r="AB17" s="31" t="n">
        <f aca="false">V17*L17</f>
        <v>1892531.52</v>
      </c>
      <c r="AC17" s="31" t="n">
        <f aca="false">X17*L17</f>
        <v>0</v>
      </c>
      <c r="AD17" s="31" t="n">
        <f aca="false">AC17*MAX(0,Q17-$B$3)</f>
        <v>0</v>
      </c>
      <c r="AE17" s="31" t="n">
        <f aca="false">IF(AF17="cancelled",Y17*L17,IF(AND(N17="",Q17&gt;$B$4),V17*L17,Y17*L17))</f>
        <v>0</v>
      </c>
      <c r="AF17" s="5"/>
      <c r="AG17" s="5" t="s">
        <v>182</v>
      </c>
      <c r="AH17" s="5" t="s">
        <v>181</v>
      </c>
      <c r="AI17" s="5"/>
      <c r="AJ17" s="5"/>
      <c r="AK17" s="5"/>
      <c r="AL17" s="5" t="s">
        <v>34</v>
      </c>
      <c r="AM17" s="5"/>
      <c r="AN17" s="19" t="n">
        <v>48136</v>
      </c>
      <c r="AO17" s="5"/>
      <c r="AP17" s="28" t="str">
        <f aca="false">IF(ISBLANK(N17),"Open","Resolved")</f>
        <v>Open</v>
      </c>
      <c r="AQ17" s="28" t="n">
        <f aca="false">IF(AND($AP17="Open",$AL17="No",COUNTIFS($A$5:$A17,$A17,$AP$5:$AP17,"Open",$AL$5:$AL17,"No")=1),1,0)</f>
        <v>1</v>
      </c>
      <c r="AR17" s="28" t="n">
        <f aca="false">IF(AND($AP17="Open",$AL17="No",COUNTIFS($H$5:$H17,$H17,$AP$5:$AP17,"Open",$AL$5:$AL17,"No")=1),1,0)</f>
        <v>1</v>
      </c>
    </row>
    <row r="18" customFormat="false" ht="15" hidden="false" customHeight="false" outlineLevel="0" collapsed="false">
      <c r="A18" s="5" t="s">
        <v>297</v>
      </c>
      <c r="B18" s="5" t="s">
        <v>225</v>
      </c>
      <c r="C18" s="26" t="n">
        <v>46204</v>
      </c>
      <c r="D18" s="5" t="s">
        <v>298</v>
      </c>
      <c r="E18" s="5" t="s">
        <v>298</v>
      </c>
      <c r="F18" s="5" t="s">
        <v>228</v>
      </c>
      <c r="G18" s="5" t="s">
        <v>229</v>
      </c>
      <c r="H18" s="5" t="s">
        <v>299</v>
      </c>
      <c r="I18" s="5" t="s">
        <v>300</v>
      </c>
      <c r="J18" s="5" t="s">
        <v>232</v>
      </c>
      <c r="K18" s="20" t="n">
        <v>150</v>
      </c>
      <c r="L18" s="27" t="n">
        <v>0.1</v>
      </c>
      <c r="M18" s="26" t="n">
        <v>46204</v>
      </c>
      <c r="N18" s="5"/>
      <c r="O18" s="28" t="str">
        <f aca="false">IF(N18="",TEXT(M18,"d mmm yyyy")&amp;" – ongoing",IF(TEXT(M18,"mmmyyyy")=TEXT(N18,"mmmyyyy"),TEXT(M18,"d")&amp;" – "&amp;TEXT(N18,"d mmm yyyy"),IF(TEXT(M18,"yyyy")=TEXT(N18,"yyyy"),TEXT(M18,"d mmm")&amp;" – "&amp;TEXT(N18,"d mmm yyyy"),TEXT(M18,"d mmm yyyy")&amp;" – "&amp;TEXT(N18,"d mmm yyyy"))))</f>
        <v>1 Jul 2026 – ongoing</v>
      </c>
      <c r="P18" s="29" t="n">
        <f aca="false">IF(N18="",$B$2-M18,N18-M18)</f>
        <v>25</v>
      </c>
      <c r="Q18" s="29" t="n">
        <f aca="false">IF(N18="",NETWORKDAYS.INTL(M18,$B$2,"0000001")-1,NETWORKDAYS.INTL(M18,N18,"0000001")-1)</f>
        <v>21</v>
      </c>
      <c r="R18" s="28" t="str">
        <f aca="false">IF(Q18=0,"Same Day",Q18&amp;IF(Q18=1," Day Delay"," Days Delay")&amp;IF(S18="Yes",""," (min.)"))</f>
        <v>21 Days Delay (min.)</v>
      </c>
      <c r="S18" s="5" t="s">
        <v>290</v>
      </c>
      <c r="T18" s="19" t="n">
        <v>1</v>
      </c>
      <c r="U18" s="20" t="n">
        <v>150</v>
      </c>
      <c r="V18" s="20" t="n">
        <v>36</v>
      </c>
      <c r="W18" s="20" t="n">
        <v>114</v>
      </c>
      <c r="X18" s="20" t="n">
        <v>0</v>
      </c>
      <c r="Y18" s="20" t="n">
        <v>0</v>
      </c>
      <c r="Z18" s="19" t="n">
        <v>4</v>
      </c>
      <c r="AA18" s="30" t="n">
        <f aca="false">IFERROR(W18/(K18-Y18),"")</f>
        <v>0.76</v>
      </c>
      <c r="AB18" s="31" t="n">
        <f aca="false">V18*L18</f>
        <v>3.6</v>
      </c>
      <c r="AC18" s="31" t="n">
        <f aca="false">X18*L18</f>
        <v>0</v>
      </c>
      <c r="AD18" s="31" t="n">
        <f aca="false">AC18*MAX(0,Q18-$B$3)</f>
        <v>0</v>
      </c>
      <c r="AE18" s="31" t="n">
        <f aca="false">IF(AF18="cancelled",Y18*L18,IF(AND(N18="",Q18&gt;$B$4),V18*L18,Y18*L18))</f>
        <v>3.6</v>
      </c>
      <c r="AF18" s="5"/>
      <c r="AG18" s="5" t="s">
        <v>166</v>
      </c>
      <c r="AH18" s="5" t="s">
        <v>162</v>
      </c>
      <c r="AI18" s="5" t="s">
        <v>301</v>
      </c>
      <c r="AJ18" s="5" t="s">
        <v>284</v>
      </c>
      <c r="AK18" s="26" t="n">
        <v>46208</v>
      </c>
      <c r="AL18" s="5" t="s">
        <v>143</v>
      </c>
      <c r="AM18" s="5" t="s">
        <v>302</v>
      </c>
      <c r="AN18" s="19" t="n">
        <v>48139</v>
      </c>
      <c r="AO18" s="5"/>
      <c r="AP18" s="28" t="str">
        <f aca="false">IF(ISBLANK(N18),"Open","Resolved")</f>
        <v>Open</v>
      </c>
      <c r="AQ18" s="28" t="n">
        <f aca="false">IF(AND($AP18="Open",$AL18="No",COUNTIFS($A$5:$A18,$A18,$AP$5:$AP18,"Open",$AL$5:$AL18,"No")=1),1,0)</f>
        <v>0</v>
      </c>
      <c r="AR18" s="28" t="n">
        <f aca="false">IF(AND($AP18="Open",$AL18="No",COUNTIFS($H$5:$H18,$H18,$AP$5:$AP18,"Open",$AL$5:$AL18,"No")=1),1,0)</f>
        <v>0</v>
      </c>
    </row>
    <row r="19" customFormat="false" ht="15" hidden="false" customHeight="false" outlineLevel="0" collapsed="false">
      <c r="A19" s="5" t="s">
        <v>303</v>
      </c>
      <c r="B19" s="5" t="s">
        <v>225</v>
      </c>
      <c r="C19" s="26" t="n">
        <v>46213</v>
      </c>
      <c r="D19" s="5" t="s">
        <v>304</v>
      </c>
      <c r="E19" s="5" t="s">
        <v>305</v>
      </c>
      <c r="F19" s="5" t="s">
        <v>228</v>
      </c>
      <c r="G19" s="5" t="s">
        <v>229</v>
      </c>
      <c r="H19" s="5" t="s">
        <v>306</v>
      </c>
      <c r="I19" s="5" t="s">
        <v>307</v>
      </c>
      <c r="J19" s="5" t="s">
        <v>232</v>
      </c>
      <c r="K19" s="20" t="n">
        <v>612</v>
      </c>
      <c r="L19" s="27" t="n">
        <v>89.1</v>
      </c>
      <c r="M19" s="26" t="n">
        <v>46213</v>
      </c>
      <c r="N19" s="26" t="n">
        <v>46219</v>
      </c>
      <c r="O19" s="28" t="str">
        <f aca="false">IF(N19="",TEXT(M19,"d mmm yyyy")&amp;" – ongoing",IF(TEXT(M19,"mmmyyyy")=TEXT(N19,"mmmyyyy"),TEXT(M19,"d")&amp;" – "&amp;TEXT(N19,"d mmm yyyy"),IF(TEXT(M19,"yyyy")=TEXT(N19,"yyyy"),TEXT(M19,"d mmm")&amp;" – "&amp;TEXT(N19,"d mmm yyyy"),TEXT(M19,"d mmm yyyy")&amp;" – "&amp;TEXT(N19,"d mmm yyyy"))))</f>
        <v>10 – 16 Jul 2026</v>
      </c>
      <c r="P19" s="29" t="n">
        <f aca="false">IF(N19="",$B$2-M19,N19-M19)</f>
        <v>6</v>
      </c>
      <c r="Q19" s="29" t="n">
        <f aca="false">IF(N19="",NETWORKDAYS.INTL(M19,$B$2,"0000001")-1,NETWORKDAYS.INTL(M19,N19,"0000001")-1)</f>
        <v>5</v>
      </c>
      <c r="R19" s="28" t="str">
        <f aca="false">IF(Q19=0,"Same Day",Q19&amp;IF(Q19=1," Day Delay"," Days Delay")&amp;IF(S19="Yes",""," (min.)"))</f>
        <v>5 Days Delay</v>
      </c>
      <c r="S19" s="5" t="s">
        <v>143</v>
      </c>
      <c r="T19" s="19" t="n">
        <v>1</v>
      </c>
      <c r="U19" s="20" t="n">
        <v>182</v>
      </c>
      <c r="V19" s="20" t="n">
        <v>0</v>
      </c>
      <c r="W19" s="20" t="n">
        <v>612</v>
      </c>
      <c r="X19" s="20" t="n">
        <v>182</v>
      </c>
      <c r="Y19" s="20" t="n">
        <v>0</v>
      </c>
      <c r="Z19" s="19" t="n">
        <v>2</v>
      </c>
      <c r="AA19" s="30" t="n">
        <f aca="false">IFERROR(W19/(K19-Y19),"")</f>
        <v>1</v>
      </c>
      <c r="AB19" s="31" t="n">
        <f aca="false">V19*L19</f>
        <v>0</v>
      </c>
      <c r="AC19" s="31" t="n">
        <f aca="false">X19*L19</f>
        <v>16216.2</v>
      </c>
      <c r="AD19" s="31" t="n">
        <f aca="false">AC19*MAX(0,Q19-$B$3)</f>
        <v>48648.6</v>
      </c>
      <c r="AE19" s="31" t="n">
        <f aca="false">IF(AF19="cancelled",Y19*L19,IF(AND(N19="",Q19&gt;$B$4),V19*L19,Y19*L19))</f>
        <v>0</v>
      </c>
      <c r="AF19" s="5" t="s">
        <v>247</v>
      </c>
      <c r="AG19" s="5" t="s">
        <v>161</v>
      </c>
      <c r="AH19" s="5" t="s">
        <v>157</v>
      </c>
      <c r="AI19" s="5" t="s">
        <v>308</v>
      </c>
      <c r="AJ19" s="5" t="s">
        <v>284</v>
      </c>
      <c r="AK19" s="26" t="n">
        <v>46216</v>
      </c>
      <c r="AL19" s="5" t="s">
        <v>34</v>
      </c>
      <c r="AM19" s="5"/>
      <c r="AN19" s="19" t="n">
        <v>48142</v>
      </c>
      <c r="AO19" s="19" t="n">
        <v>48222</v>
      </c>
      <c r="AP19" s="28" t="str">
        <f aca="false">IF(ISBLANK(N19),"Open","Resolved")</f>
        <v>Resolved</v>
      </c>
      <c r="AQ19" s="28" t="n">
        <f aca="false">IF(AND($AP19="Open",$AL19="No",COUNTIFS($A$5:$A19,$A19,$AP$5:$AP19,"Open",$AL$5:$AL19,"No")=1),1,0)</f>
        <v>0</v>
      </c>
      <c r="AR19" s="28" t="n">
        <f aca="false">IF(AND($AP19="Open",$AL19="No",COUNTIFS($H$5:$H19,$H19,$AP$5:$AP19,"Open",$AL$5:$AL19,"No")=1),1,0)</f>
        <v>0</v>
      </c>
    </row>
    <row r="20" customFormat="false" ht="15" hidden="false" customHeight="false" outlineLevel="0" collapsed="false">
      <c r="A20" s="5" t="s">
        <v>309</v>
      </c>
      <c r="B20" s="5" t="s">
        <v>225</v>
      </c>
      <c r="C20" s="26" t="n">
        <v>46213</v>
      </c>
      <c r="D20" s="5" t="s">
        <v>304</v>
      </c>
      <c r="E20" s="5" t="s">
        <v>305</v>
      </c>
      <c r="F20" s="5" t="s">
        <v>228</v>
      </c>
      <c r="G20" s="5" t="s">
        <v>229</v>
      </c>
      <c r="H20" s="5" t="s">
        <v>306</v>
      </c>
      <c r="I20" s="5" t="s">
        <v>307</v>
      </c>
      <c r="J20" s="5" t="s">
        <v>232</v>
      </c>
      <c r="K20" s="20" t="n">
        <v>480</v>
      </c>
      <c r="L20" s="27" t="n">
        <v>89.1</v>
      </c>
      <c r="M20" s="26" t="n">
        <v>46213</v>
      </c>
      <c r="N20" s="26" t="n">
        <v>46217</v>
      </c>
      <c r="O20" s="28" t="str">
        <f aca="false">IF(N20="",TEXT(M20,"d mmm yyyy")&amp;" – ongoing",IF(TEXT(M20,"mmmyyyy")=TEXT(N20,"mmmyyyy"),TEXT(M20,"d")&amp;" – "&amp;TEXT(N20,"d mmm yyyy"),IF(TEXT(M20,"yyyy")=TEXT(N20,"yyyy"),TEXT(M20,"d mmm")&amp;" – "&amp;TEXT(N20,"d mmm yyyy"),TEXT(M20,"d mmm yyyy")&amp;" – "&amp;TEXT(N20,"d mmm yyyy"))))</f>
        <v>10 – 14 Jul 2026</v>
      </c>
      <c r="P20" s="29" t="n">
        <f aca="false">IF(N20="",$B$2-M20,N20-M20)</f>
        <v>4</v>
      </c>
      <c r="Q20" s="29" t="n">
        <f aca="false">IF(N20="",NETWORKDAYS.INTL(M20,$B$2,"0000001")-1,NETWORKDAYS.INTL(M20,N20,"0000001")-1)</f>
        <v>3</v>
      </c>
      <c r="R20" s="28" t="str">
        <f aca="false">IF(Q20=0,"Same Day",Q20&amp;IF(Q20=1," Day Delay"," Days Delay")&amp;IF(S20="Yes",""," (min.)"))</f>
        <v>3 Days Delay</v>
      </c>
      <c r="S20" s="5" t="s">
        <v>143</v>
      </c>
      <c r="T20" s="19" t="n">
        <v>2</v>
      </c>
      <c r="U20" s="20" t="n">
        <v>120</v>
      </c>
      <c r="V20" s="20" t="n">
        <v>0</v>
      </c>
      <c r="W20" s="20" t="n">
        <v>480</v>
      </c>
      <c r="X20" s="20" t="n">
        <v>120</v>
      </c>
      <c r="Y20" s="20" t="n">
        <v>0</v>
      </c>
      <c r="Z20" s="19" t="n">
        <v>1</v>
      </c>
      <c r="AA20" s="30" t="n">
        <f aca="false">IFERROR(W20/(K20-Y20),"")</f>
        <v>1</v>
      </c>
      <c r="AB20" s="31" t="n">
        <f aca="false">V20*L20</f>
        <v>0</v>
      </c>
      <c r="AC20" s="31" t="n">
        <f aca="false">X20*L20</f>
        <v>10692</v>
      </c>
      <c r="AD20" s="31" t="n">
        <f aca="false">AC20*MAX(0,Q20-$B$3)</f>
        <v>10692</v>
      </c>
      <c r="AE20" s="31" t="n">
        <f aca="false">IF(AF20="cancelled",Y20*L20,IF(AND(N20="",Q20&gt;$B$4),V20*L20,Y20*L20))</f>
        <v>0</v>
      </c>
      <c r="AF20" s="5" t="s">
        <v>247</v>
      </c>
      <c r="AG20" s="5" t="s">
        <v>161</v>
      </c>
      <c r="AH20" s="5" t="s">
        <v>157</v>
      </c>
      <c r="AI20" s="5" t="s">
        <v>310</v>
      </c>
      <c r="AJ20" s="5" t="s">
        <v>284</v>
      </c>
      <c r="AK20" s="26" t="n">
        <v>46216</v>
      </c>
      <c r="AL20" s="5" t="s">
        <v>34</v>
      </c>
      <c r="AM20" s="5"/>
      <c r="AN20" s="19" t="n">
        <v>48145</v>
      </c>
      <c r="AO20" s="19" t="n">
        <v>48225</v>
      </c>
      <c r="AP20" s="28" t="str">
        <f aca="false">IF(ISBLANK(N20),"Open","Resolved")</f>
        <v>Resolved</v>
      </c>
      <c r="AQ20" s="28" t="n">
        <f aca="false">IF(AND($AP20="Open",$AL20="No",COUNTIFS($A$5:$A20,$A20,$AP$5:$AP20,"Open",$AL$5:$AL20,"No")=1),1,0)</f>
        <v>0</v>
      </c>
      <c r="AR20" s="28" t="n">
        <f aca="false">IF(AND($AP20="Open",$AL20="No",COUNTIFS($H$5:$H20,$H20,$AP$5:$AP20,"Open",$AL$5:$AL20,"No")=1),1,0)</f>
        <v>0</v>
      </c>
    </row>
    <row r="21" customFormat="false" ht="15" hidden="false" customHeight="false" outlineLevel="0" collapsed="false">
      <c r="A21" s="5" t="s">
        <v>311</v>
      </c>
      <c r="B21" s="5" t="s">
        <v>225</v>
      </c>
      <c r="C21" s="26" t="n">
        <v>46224</v>
      </c>
      <c r="D21" s="5" t="s">
        <v>312</v>
      </c>
      <c r="E21" s="5" t="s">
        <v>312</v>
      </c>
      <c r="F21" s="5" t="s">
        <v>313</v>
      </c>
      <c r="G21" s="5" t="s">
        <v>314</v>
      </c>
      <c r="H21" s="5" t="s">
        <v>281</v>
      </c>
      <c r="I21" s="5" t="s">
        <v>282</v>
      </c>
      <c r="J21" s="5" t="s">
        <v>232</v>
      </c>
      <c r="K21" s="20" t="n">
        <v>1</v>
      </c>
      <c r="L21" s="27" t="n">
        <v>2935</v>
      </c>
      <c r="M21" s="26" t="n">
        <v>46224</v>
      </c>
      <c r="N21" s="5"/>
      <c r="O21" s="28" t="str">
        <f aca="false">IF(N21="",TEXT(M21,"d mmm yyyy")&amp;" – ongoing",IF(TEXT(M21,"mmmyyyy")=TEXT(N21,"mmmyyyy"),TEXT(M21,"d")&amp;" – "&amp;TEXT(N21,"d mmm yyyy"),IF(TEXT(M21,"yyyy")=TEXT(N21,"yyyy"),TEXT(M21,"d mmm")&amp;" – "&amp;TEXT(N21,"d mmm yyyy"),TEXT(M21,"d mmm yyyy")&amp;" – "&amp;TEXT(N21,"d mmm yyyy"))))</f>
        <v>21 Jul 2026 – ongoing</v>
      </c>
      <c r="P21" s="29" t="n">
        <f aca="false">IF(N21="",$B$2-M21,N21-M21)</f>
        <v>5</v>
      </c>
      <c r="Q21" s="29" t="n">
        <f aca="false">IF(N21="",NETWORKDAYS.INTL(M21,$B$2,"0000001")-1,NETWORKDAYS.INTL(M21,N21,"0000001")-1)</f>
        <v>4</v>
      </c>
      <c r="R21" s="28" t="str">
        <f aca="false">IF(Q21=0,"Same Day",Q21&amp;IF(Q21=1," Day Delay"," Days Delay")&amp;IF(S21="Yes",""," (min.)"))</f>
        <v>4 Days Delay</v>
      </c>
      <c r="S21" s="5" t="s">
        <v>143</v>
      </c>
      <c r="T21" s="19" t="n">
        <v>1</v>
      </c>
      <c r="U21" s="20" t="n">
        <v>1</v>
      </c>
      <c r="V21" s="20" t="n">
        <v>1</v>
      </c>
      <c r="W21" s="20" t="n">
        <v>0</v>
      </c>
      <c r="X21" s="20" t="n">
        <v>0</v>
      </c>
      <c r="Y21" s="20" t="n">
        <v>0</v>
      </c>
      <c r="Z21" s="19" t="n">
        <v>0</v>
      </c>
      <c r="AA21" s="30" t="n">
        <f aca="false">IFERROR(W21/(K21-Y21),"")</f>
        <v>0</v>
      </c>
      <c r="AB21" s="31" t="n">
        <f aca="false">V21*L21</f>
        <v>2935</v>
      </c>
      <c r="AC21" s="31" t="n">
        <f aca="false">X21*L21</f>
        <v>0</v>
      </c>
      <c r="AD21" s="31" t="n">
        <f aca="false">AC21*MAX(0,Q21-$B$3)</f>
        <v>0</v>
      </c>
      <c r="AE21" s="31" t="n">
        <f aca="false">IF(AF21="cancelled",Y21*L21,IF(AND(N21="",Q21&gt;$B$4),V21*L21,Y21*L21))</f>
        <v>0</v>
      </c>
      <c r="AF21" s="5"/>
      <c r="AG21" s="5" t="s">
        <v>178</v>
      </c>
      <c r="AH21" s="5" t="s">
        <v>169</v>
      </c>
      <c r="AI21" s="5" t="s">
        <v>315</v>
      </c>
      <c r="AJ21" s="5" t="s">
        <v>316</v>
      </c>
      <c r="AK21" s="26" t="n">
        <v>46227</v>
      </c>
      <c r="AL21" s="5" t="s">
        <v>34</v>
      </c>
      <c r="AM21" s="5"/>
      <c r="AN21" s="19" t="n">
        <v>48148</v>
      </c>
      <c r="AO21" s="5"/>
      <c r="AP21" s="28" t="str">
        <f aca="false">IF(ISBLANK(N21),"Open","Resolved")</f>
        <v>Open</v>
      </c>
      <c r="AQ21" s="28" t="n">
        <f aca="false">IF(AND($AP21="Open",$AL21="No",COUNTIFS($A$5:$A21,$A21,$AP$5:$AP21,"Open",$AL$5:$AL21,"No")=1),1,0)</f>
        <v>1</v>
      </c>
      <c r="AR21" s="28" t="n">
        <f aca="false">IF(AND($AP21="Open",$AL21="No",COUNTIFS($H$5:$H21,$H21,$AP$5:$AP21,"Open",$AL$5:$AL21,"No")=1),1,0)</f>
        <v>1</v>
      </c>
    </row>
    <row r="22" customFormat="false" ht="15" hidden="false" customHeight="false" outlineLevel="0" collapsed="false">
      <c r="A22" s="5" t="s">
        <v>317</v>
      </c>
      <c r="B22" s="5" t="s">
        <v>225</v>
      </c>
      <c r="C22" s="26" t="n">
        <v>46211</v>
      </c>
      <c r="D22" s="5" t="s">
        <v>318</v>
      </c>
      <c r="E22" s="5" t="s">
        <v>318</v>
      </c>
      <c r="F22" s="5" t="s">
        <v>313</v>
      </c>
      <c r="G22" s="5" t="s">
        <v>229</v>
      </c>
      <c r="H22" s="5" t="s">
        <v>319</v>
      </c>
      <c r="I22" s="5" t="s">
        <v>320</v>
      </c>
      <c r="J22" s="5" t="s">
        <v>232</v>
      </c>
      <c r="K22" s="20" t="n">
        <v>260</v>
      </c>
      <c r="L22" s="27" t="n">
        <v>75</v>
      </c>
      <c r="M22" s="26" t="n">
        <v>46211</v>
      </c>
      <c r="N22" s="5"/>
      <c r="O22" s="28" t="str">
        <f aca="false">IF(N22="",TEXT(M22,"d mmm yyyy")&amp;" – ongoing",IF(TEXT(M22,"mmmyyyy")=TEXT(N22,"mmmyyyy"),TEXT(M22,"d")&amp;" – "&amp;TEXT(N22,"d mmm yyyy"),IF(TEXT(M22,"yyyy")=TEXT(N22,"yyyy"),TEXT(M22,"d mmm")&amp;" – "&amp;TEXT(N22,"d mmm yyyy"),TEXT(M22,"d mmm yyyy")&amp;" – "&amp;TEXT(N22,"d mmm yyyy"))))</f>
        <v>8 Jul 2026 – ongoing</v>
      </c>
      <c r="P22" s="29" t="n">
        <f aca="false">IF(N22="",$B$2-M22,N22-M22)</f>
        <v>18</v>
      </c>
      <c r="Q22" s="29" t="n">
        <f aca="false">IF(N22="",NETWORKDAYS.INTL(M22,$B$2,"0000001")-1,NETWORKDAYS.INTL(M22,N22,"0000001")-1)</f>
        <v>15</v>
      </c>
      <c r="R22" s="28" t="str">
        <f aca="false">IF(Q22=0,"Same Day",Q22&amp;IF(Q22=1," Day Delay"," Days Delay")&amp;IF(S22="Yes",""," (min.)"))</f>
        <v>15 Days Delay (min.)</v>
      </c>
      <c r="S22" s="5" t="s">
        <v>290</v>
      </c>
      <c r="T22" s="19" t="n">
        <v>1</v>
      </c>
      <c r="U22" s="20" t="n">
        <v>260</v>
      </c>
      <c r="V22" s="20" t="n">
        <v>260</v>
      </c>
      <c r="W22" s="20" t="n">
        <v>0</v>
      </c>
      <c r="X22" s="20" t="n">
        <v>0</v>
      </c>
      <c r="Y22" s="20" t="n">
        <v>0</v>
      </c>
      <c r="Z22" s="19" t="n">
        <v>0</v>
      </c>
      <c r="AA22" s="30" t="n">
        <f aca="false">IFERROR(W22/(K22-Y22),"")</f>
        <v>0</v>
      </c>
      <c r="AB22" s="31" t="n">
        <f aca="false">V22*L22</f>
        <v>19500</v>
      </c>
      <c r="AC22" s="31" t="n">
        <f aca="false">X22*L22</f>
        <v>0</v>
      </c>
      <c r="AD22" s="31" t="n">
        <f aca="false">AC22*MAX(0,Q22-$B$3)</f>
        <v>0</v>
      </c>
      <c r="AE22" s="31" t="n">
        <f aca="false">IF(AF22="cancelled",Y22*L22,IF(AND(N22="",Q22&gt;$B$4),V22*L22,Y22*L22))</f>
        <v>19500</v>
      </c>
      <c r="AF22" s="5"/>
      <c r="AG22" s="5" t="s">
        <v>147</v>
      </c>
      <c r="AH22" s="5" t="s">
        <v>141</v>
      </c>
      <c r="AI22" s="5" t="s">
        <v>321</v>
      </c>
      <c r="AJ22" s="5" t="s">
        <v>234</v>
      </c>
      <c r="AK22" s="26" t="n">
        <v>46213</v>
      </c>
      <c r="AL22" s="5" t="s">
        <v>34</v>
      </c>
      <c r="AM22" s="5"/>
      <c r="AN22" s="19" t="n">
        <v>48151</v>
      </c>
      <c r="AO22" s="5"/>
      <c r="AP22" s="28" t="str">
        <f aca="false">IF(ISBLANK(N22),"Open","Resolved")</f>
        <v>Open</v>
      </c>
      <c r="AQ22" s="28" t="n">
        <f aca="false">IF(AND($AP22="Open",$AL22="No",COUNTIFS($A$5:$A22,$A22,$AP$5:$AP22,"Open",$AL$5:$AL22,"No")=1),1,0)</f>
        <v>1</v>
      </c>
      <c r="AR22" s="28" t="n">
        <f aca="false">IF(AND($AP22="Open",$AL22="No",COUNTIFS($H$5:$H22,$H22,$AP$5:$AP22,"Open",$AL$5:$AL22,"No")=1),1,0)</f>
        <v>1</v>
      </c>
    </row>
    <row r="23" customFormat="false" ht="15" hidden="false" customHeight="false" outlineLevel="0" collapsed="false">
      <c r="A23" s="15" t="s">
        <v>322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17" t="n">
        <f aca="false">SUM(U5:U22)</f>
        <v>5073</v>
      </c>
      <c r="V23" s="17" t="n">
        <f aca="false">SUM(V5:V22)</f>
        <v>3045</v>
      </c>
      <c r="W23" s="17" t="n">
        <f aca="false">SUM(W5:W22)</f>
        <v>6064</v>
      </c>
      <c r="X23" s="17" t="n">
        <f aca="false">SUM(X5:X22)</f>
        <v>1556</v>
      </c>
      <c r="Y23" s="17" t="n">
        <f aca="false">SUM(Y5:Y22)</f>
        <v>75</v>
      </c>
      <c r="Z23" s="32"/>
      <c r="AA23" s="32"/>
      <c r="AB23" s="17" t="n">
        <f aca="false">SUM(AB5:AB22)</f>
        <v>2274586.42</v>
      </c>
      <c r="AC23" s="17" t="n">
        <f aca="false">SUM(AC5:AC22)</f>
        <v>320488.84</v>
      </c>
      <c r="AD23" s="17" t="n">
        <f aca="false">SUM(AD5:AD22)</f>
        <v>534994.6</v>
      </c>
      <c r="AE23" s="17" t="n">
        <f aca="false">SUM(AE5:AE22)</f>
        <v>256652.16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17" t="n">
        <f aca="false">SUM(AQ5:AQ22)</f>
        <v>12</v>
      </c>
      <c r="AR23" s="17" t="n">
        <f aca="false">SUM(AR5:AR22)</f>
        <v>8</v>
      </c>
    </row>
  </sheetData>
  <autoFilter ref="A4:AR22"/>
  <conditionalFormatting sqref="Q5:Q22">
    <cfRule type="cellIs" priority="2" operator="greaterThan" aboveAverage="0" equalAverage="0" bottom="0" percent="0" rank="0" text="" dxfId="8">
      <formula>$B$4</formula>
    </cfRule>
  </conditionalFormatting>
  <conditionalFormatting sqref="S5:S22">
    <cfRule type="cellIs" priority="3" operator="equal" aboveAverage="0" equalAverage="0" bottom="0" percent="0" rank="0" text="" dxfId="9">
      <formula>"No (estimated)"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14"/>
    <col collapsed="false" customWidth="true" hidden="false" outlineLevel="0" max="6" min="6" style="0" width="52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20"/>
    <col collapsed="false" customWidth="true" hidden="false" outlineLevel="0" max="12" min="12" style="0" width="26"/>
    <col collapsed="false" customWidth="true" hidden="false" outlineLevel="0" max="14" min="13" style="0" width="12"/>
  </cols>
  <sheetData>
    <row r="1" customFormat="false" ht="17.3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2" t="s">
        <v>324</v>
      </c>
    </row>
    <row r="4" customFormat="false" ht="31.5" hidden="false" customHeight="true" outlineLevel="0" collapsed="false">
      <c r="A4" s="6" t="s">
        <v>325</v>
      </c>
      <c r="B4" s="6" t="s">
        <v>326</v>
      </c>
      <c r="C4" s="6" t="s">
        <v>192</v>
      </c>
      <c r="D4" s="6" t="s">
        <v>327</v>
      </c>
      <c r="E4" s="6" t="s">
        <v>328</v>
      </c>
      <c r="F4" s="6" t="s">
        <v>329</v>
      </c>
      <c r="G4" s="6" t="s">
        <v>330</v>
      </c>
      <c r="H4" s="6" t="s">
        <v>331</v>
      </c>
      <c r="I4" s="6" t="s">
        <v>332</v>
      </c>
      <c r="J4" s="6" t="s">
        <v>333</v>
      </c>
      <c r="K4" s="6" t="s">
        <v>334</v>
      </c>
      <c r="L4" s="6" t="s">
        <v>335</v>
      </c>
      <c r="M4" s="6" t="s">
        <v>336</v>
      </c>
      <c r="N4" s="6" t="s">
        <v>337</v>
      </c>
    </row>
    <row r="5" customFormat="false" ht="15" hidden="false" customHeight="false" outlineLevel="0" collapsed="false">
      <c r="A5" s="28" t="n">
        <v>8821</v>
      </c>
      <c r="B5" s="28" t="s">
        <v>224</v>
      </c>
      <c r="C5" s="28" t="s">
        <v>230</v>
      </c>
      <c r="D5" s="33" t="n">
        <v>46213.3847222222</v>
      </c>
      <c r="E5" s="28" t="s">
        <v>338</v>
      </c>
      <c r="F5" s="28" t="s">
        <v>339</v>
      </c>
      <c r="G5" s="31"/>
      <c r="H5" s="31" t="n">
        <v>680</v>
      </c>
      <c r="I5" s="31" t="n">
        <v>680</v>
      </c>
      <c r="J5" s="31" t="n">
        <v>96934</v>
      </c>
      <c r="K5" s="28" t="s">
        <v>340</v>
      </c>
      <c r="L5" s="28"/>
      <c r="M5" s="28" t="s">
        <v>341</v>
      </c>
      <c r="N5" s="28" t="n">
        <v>48100</v>
      </c>
    </row>
    <row r="6" customFormat="false" ht="15" hidden="false" customHeight="false" outlineLevel="0" collapsed="false">
      <c r="A6" s="5" t="n">
        <v>8821</v>
      </c>
      <c r="B6" s="5" t="s">
        <v>224</v>
      </c>
      <c r="C6" s="5" t="s">
        <v>230</v>
      </c>
      <c r="D6" s="34" t="n">
        <v>46214.4597222222</v>
      </c>
      <c r="E6" s="5" t="s">
        <v>342</v>
      </c>
      <c r="F6" s="5" t="s">
        <v>343</v>
      </c>
      <c r="G6" s="20" t="n">
        <v>680</v>
      </c>
      <c r="H6" s="20" t="n">
        <v>680</v>
      </c>
      <c r="I6" s="20" t="n">
        <v>0</v>
      </c>
      <c r="J6" s="20" t="n">
        <v>0</v>
      </c>
      <c r="K6" s="5" t="s">
        <v>340</v>
      </c>
      <c r="L6" s="5" t="s">
        <v>144</v>
      </c>
      <c r="M6" s="5" t="s">
        <v>234</v>
      </c>
      <c r="N6" s="5" t="n">
        <v>48112</v>
      </c>
    </row>
    <row r="7" customFormat="false" ht="15" hidden="false" customHeight="false" outlineLevel="0" collapsed="false">
      <c r="A7" s="5" t="n">
        <v>8821</v>
      </c>
      <c r="B7" s="5" t="s">
        <v>224</v>
      </c>
      <c r="C7" s="5" t="s">
        <v>230</v>
      </c>
      <c r="D7" s="34" t="n">
        <v>46218.6041666667</v>
      </c>
      <c r="E7" s="5" t="s">
        <v>344</v>
      </c>
      <c r="F7" s="5" t="s">
        <v>345</v>
      </c>
      <c r="G7" s="20" t="n">
        <v>680</v>
      </c>
      <c r="H7" s="20" t="n">
        <v>500</v>
      </c>
      <c r="I7" s="20" t="n">
        <v>-180</v>
      </c>
      <c r="J7" s="20" t="n">
        <v>-25659</v>
      </c>
      <c r="K7" s="5" t="s">
        <v>340</v>
      </c>
      <c r="L7" s="5" t="s">
        <v>144</v>
      </c>
      <c r="M7" s="5" t="s">
        <v>341</v>
      </c>
      <c r="N7" s="5" t="n">
        <v>48131</v>
      </c>
    </row>
    <row r="8" customFormat="false" ht="15" hidden="false" customHeight="false" outlineLevel="0" collapsed="false">
      <c r="A8" s="5" t="n">
        <v>8821</v>
      </c>
      <c r="B8" s="5" t="s">
        <v>224</v>
      </c>
      <c r="C8" s="5" t="s">
        <v>230</v>
      </c>
      <c r="D8" s="34" t="n">
        <v>46221.3368055556</v>
      </c>
      <c r="E8" s="5" t="s">
        <v>344</v>
      </c>
      <c r="F8" s="5" t="s">
        <v>346</v>
      </c>
      <c r="G8" s="20" t="n">
        <v>500</v>
      </c>
      <c r="H8" s="20" t="n">
        <v>420</v>
      </c>
      <c r="I8" s="20" t="n">
        <v>-80</v>
      </c>
      <c r="J8" s="20" t="n">
        <v>-11404</v>
      </c>
      <c r="K8" s="5" t="s">
        <v>340</v>
      </c>
      <c r="L8" s="5" t="s">
        <v>144</v>
      </c>
      <c r="M8" s="5" t="s">
        <v>341</v>
      </c>
      <c r="N8" s="5" t="n">
        <v>48148</v>
      </c>
    </row>
    <row r="9" customFormat="false" ht="15" hidden="false" customHeight="false" outlineLevel="0" collapsed="false">
      <c r="A9" s="28" t="n">
        <v>8834</v>
      </c>
      <c r="B9" s="28" t="s">
        <v>243</v>
      </c>
      <c r="C9" s="28" t="s">
        <v>245</v>
      </c>
      <c r="D9" s="33" t="n">
        <v>46213.3847222222</v>
      </c>
      <c r="E9" s="28" t="s">
        <v>338</v>
      </c>
      <c r="F9" s="28" t="s">
        <v>347</v>
      </c>
      <c r="G9" s="31"/>
      <c r="H9" s="31" t="n">
        <v>514</v>
      </c>
      <c r="I9" s="31" t="n">
        <v>514</v>
      </c>
      <c r="J9" s="31" t="n">
        <v>33179</v>
      </c>
      <c r="K9" s="28" t="s">
        <v>340</v>
      </c>
      <c r="L9" s="28"/>
      <c r="M9" s="28" t="s">
        <v>341</v>
      </c>
      <c r="N9" s="28" t="n">
        <v>48100</v>
      </c>
    </row>
    <row r="10" customFormat="false" ht="15" hidden="false" customHeight="false" outlineLevel="0" collapsed="false">
      <c r="A10" s="5" t="n">
        <v>8834</v>
      </c>
      <c r="B10" s="5" t="s">
        <v>243</v>
      </c>
      <c r="C10" s="5" t="s">
        <v>245</v>
      </c>
      <c r="D10" s="34" t="n">
        <v>46215.4305555556</v>
      </c>
      <c r="E10" s="5" t="s">
        <v>342</v>
      </c>
      <c r="F10" s="5" t="s">
        <v>343</v>
      </c>
      <c r="G10" s="20" t="n">
        <v>514</v>
      </c>
      <c r="H10" s="20" t="n">
        <v>514</v>
      </c>
      <c r="I10" s="20" t="n">
        <v>0</v>
      </c>
      <c r="J10" s="20" t="n">
        <v>0</v>
      </c>
      <c r="K10" s="5" t="s">
        <v>340</v>
      </c>
      <c r="L10" s="5" t="s">
        <v>144</v>
      </c>
      <c r="M10" s="5" t="s">
        <v>234</v>
      </c>
      <c r="N10" s="5" t="n">
        <v>48119</v>
      </c>
    </row>
    <row r="11" customFormat="false" ht="15" hidden="false" customHeight="false" outlineLevel="0" collapsed="false">
      <c r="A11" s="5" t="n">
        <v>8834</v>
      </c>
      <c r="B11" s="5" t="s">
        <v>243</v>
      </c>
      <c r="C11" s="5" t="s">
        <v>245</v>
      </c>
      <c r="D11" s="34" t="n">
        <v>46220.6972222222</v>
      </c>
      <c r="E11" s="5" t="s">
        <v>344</v>
      </c>
      <c r="F11" s="5" t="s">
        <v>348</v>
      </c>
      <c r="G11" s="20" t="n">
        <v>514</v>
      </c>
      <c r="H11" s="20" t="n">
        <v>300</v>
      </c>
      <c r="I11" s="20" t="n">
        <v>-214</v>
      </c>
      <c r="J11" s="20" t="n">
        <v>-13813</v>
      </c>
      <c r="K11" s="5" t="s">
        <v>340</v>
      </c>
      <c r="L11" s="5" t="s">
        <v>144</v>
      </c>
      <c r="M11" s="5" t="s">
        <v>341</v>
      </c>
      <c r="N11" s="5" t="n">
        <v>48141</v>
      </c>
    </row>
    <row r="12" customFormat="false" ht="15" hidden="false" customHeight="false" outlineLevel="0" collapsed="false">
      <c r="A12" s="5" t="n">
        <v>8834</v>
      </c>
      <c r="B12" s="5" t="s">
        <v>243</v>
      </c>
      <c r="C12" s="5" t="s">
        <v>245</v>
      </c>
      <c r="D12" s="34" t="n">
        <v>46223.3763888889</v>
      </c>
      <c r="E12" s="5" t="s">
        <v>344</v>
      </c>
      <c r="F12" s="5" t="s">
        <v>349</v>
      </c>
      <c r="G12" s="20" t="n">
        <v>300</v>
      </c>
      <c r="H12" s="20" t="n">
        <v>140</v>
      </c>
      <c r="I12" s="20" t="n">
        <v>-160</v>
      </c>
      <c r="J12" s="20" t="n">
        <v>-10328</v>
      </c>
      <c r="K12" s="5" t="s">
        <v>340</v>
      </c>
      <c r="L12" s="5" t="s">
        <v>144</v>
      </c>
      <c r="M12" s="5" t="s">
        <v>341</v>
      </c>
      <c r="N12" s="5" t="n">
        <v>48155</v>
      </c>
    </row>
    <row r="13" customFormat="false" ht="15" hidden="false" customHeight="false" outlineLevel="0" collapsed="false">
      <c r="A13" s="35" t="n">
        <v>8834</v>
      </c>
      <c r="B13" s="35" t="s">
        <v>243</v>
      </c>
      <c r="C13" s="35" t="s">
        <v>245</v>
      </c>
      <c r="D13" s="36" t="n">
        <v>46225.4840277778</v>
      </c>
      <c r="E13" s="35" t="s">
        <v>350</v>
      </c>
      <c r="F13" s="35" t="s">
        <v>351</v>
      </c>
      <c r="G13" s="37" t="n">
        <v>140</v>
      </c>
      <c r="H13" s="37" t="n">
        <v>0</v>
      </c>
      <c r="I13" s="37" t="n">
        <v>-140</v>
      </c>
      <c r="J13" s="37" t="n">
        <v>-9037</v>
      </c>
      <c r="K13" s="35" t="s">
        <v>352</v>
      </c>
      <c r="L13" s="35" t="s">
        <v>144</v>
      </c>
      <c r="M13" s="35" t="s">
        <v>341</v>
      </c>
      <c r="N13" s="35" t="n">
        <v>48168</v>
      </c>
    </row>
    <row r="14" customFormat="false" ht="15" hidden="false" customHeight="false" outlineLevel="0" collapsed="false">
      <c r="A14" s="28" t="n">
        <v>8902</v>
      </c>
      <c r="B14" s="28" t="s">
        <v>303</v>
      </c>
      <c r="C14" s="28" t="s">
        <v>306</v>
      </c>
      <c r="D14" s="33" t="n">
        <v>46213.3847222222</v>
      </c>
      <c r="E14" s="28" t="s">
        <v>338</v>
      </c>
      <c r="F14" s="28" t="s">
        <v>353</v>
      </c>
      <c r="G14" s="31"/>
      <c r="H14" s="31" t="n">
        <v>182</v>
      </c>
      <c r="I14" s="31" t="n">
        <v>182</v>
      </c>
      <c r="J14" s="31" t="n">
        <v>16216</v>
      </c>
      <c r="K14" s="28" t="s">
        <v>340</v>
      </c>
      <c r="L14" s="28"/>
      <c r="M14" s="28" t="s">
        <v>341</v>
      </c>
      <c r="N14" s="28" t="n">
        <v>48100</v>
      </c>
    </row>
    <row r="15" customFormat="false" ht="15" hidden="false" customHeight="false" outlineLevel="0" collapsed="false">
      <c r="A15" s="35" t="n">
        <v>8902</v>
      </c>
      <c r="B15" s="35" t="s">
        <v>303</v>
      </c>
      <c r="C15" s="35" t="s">
        <v>306</v>
      </c>
      <c r="D15" s="36" t="n">
        <v>46219.5493055556</v>
      </c>
      <c r="E15" s="35" t="s">
        <v>350</v>
      </c>
      <c r="F15" s="35" t="s">
        <v>354</v>
      </c>
      <c r="G15" s="37" t="n">
        <v>182</v>
      </c>
      <c r="H15" s="37" t="n">
        <v>0</v>
      </c>
      <c r="I15" s="37" t="n">
        <v>-182</v>
      </c>
      <c r="J15" s="37" t="n">
        <v>-16216</v>
      </c>
      <c r="K15" s="35" t="s">
        <v>352</v>
      </c>
      <c r="L15" s="35" t="s">
        <v>161</v>
      </c>
      <c r="M15" s="35" t="s">
        <v>341</v>
      </c>
      <c r="N15" s="35" t="n">
        <v>48137</v>
      </c>
    </row>
    <row r="16" customFormat="false" ht="15" hidden="false" customHeight="false" outlineLevel="0" collapsed="false">
      <c r="A16" s="28" t="n">
        <v>8903</v>
      </c>
      <c r="B16" s="28" t="s">
        <v>309</v>
      </c>
      <c r="C16" s="28" t="s">
        <v>306</v>
      </c>
      <c r="D16" s="33" t="n">
        <v>46214.3847222222</v>
      </c>
      <c r="E16" s="28" t="s">
        <v>338</v>
      </c>
      <c r="F16" s="28" t="s">
        <v>355</v>
      </c>
      <c r="G16" s="31"/>
      <c r="H16" s="31" t="n">
        <v>120</v>
      </c>
      <c r="I16" s="31" t="n">
        <v>120</v>
      </c>
      <c r="J16" s="31" t="n">
        <v>10692</v>
      </c>
      <c r="K16" s="28" t="s">
        <v>340</v>
      </c>
      <c r="L16" s="28"/>
      <c r="M16" s="28" t="s">
        <v>341</v>
      </c>
      <c r="N16" s="28" t="n">
        <v>48104</v>
      </c>
    </row>
    <row r="17" customFormat="false" ht="15" hidden="false" customHeight="false" outlineLevel="0" collapsed="false">
      <c r="A17" s="35" t="n">
        <v>8903</v>
      </c>
      <c r="B17" s="35" t="s">
        <v>309</v>
      </c>
      <c r="C17" s="35" t="s">
        <v>306</v>
      </c>
      <c r="D17" s="36" t="n">
        <v>46215.6597222222</v>
      </c>
      <c r="E17" s="35" t="s">
        <v>350</v>
      </c>
      <c r="F17" s="35" t="s">
        <v>356</v>
      </c>
      <c r="G17" s="37" t="n">
        <v>120</v>
      </c>
      <c r="H17" s="37" t="n">
        <v>0</v>
      </c>
      <c r="I17" s="37" t="n">
        <v>-120</v>
      </c>
      <c r="J17" s="37" t="n">
        <v>-10692</v>
      </c>
      <c r="K17" s="35" t="s">
        <v>352</v>
      </c>
      <c r="L17" s="35" t="s">
        <v>161</v>
      </c>
      <c r="M17" s="35" t="s">
        <v>341</v>
      </c>
      <c r="N17" s="35" t="n">
        <v>48121</v>
      </c>
    </row>
    <row r="18" customFormat="false" ht="15" hidden="false" customHeight="false" outlineLevel="0" collapsed="false">
      <c r="A18" s="38" t="n">
        <v>8904</v>
      </c>
      <c r="B18" s="38" t="s">
        <v>309</v>
      </c>
      <c r="C18" s="38" t="s">
        <v>306</v>
      </c>
      <c r="D18" s="39" t="n">
        <v>46216.3541666667</v>
      </c>
      <c r="E18" s="38" t="s">
        <v>357</v>
      </c>
      <c r="F18" s="38" t="s">
        <v>358</v>
      </c>
      <c r="G18" s="40" t="n">
        <v>0</v>
      </c>
      <c r="H18" s="40" t="n">
        <v>120</v>
      </c>
      <c r="I18" s="40" t="n">
        <v>120</v>
      </c>
      <c r="J18" s="40" t="n">
        <v>10692</v>
      </c>
      <c r="K18" s="38" t="s">
        <v>340</v>
      </c>
      <c r="L18" s="38" t="s">
        <v>161</v>
      </c>
      <c r="M18" s="38" t="s">
        <v>341</v>
      </c>
      <c r="N18" s="38" t="n">
        <v>48125</v>
      </c>
    </row>
    <row r="19" customFormat="false" ht="15" hidden="false" customHeight="false" outlineLevel="0" collapsed="false">
      <c r="A19" s="35" t="n">
        <v>8904</v>
      </c>
      <c r="B19" s="35" t="s">
        <v>309</v>
      </c>
      <c r="C19" s="35" t="s">
        <v>306</v>
      </c>
      <c r="D19" s="36" t="n">
        <v>46217.5034722222</v>
      </c>
      <c r="E19" s="35" t="s">
        <v>350</v>
      </c>
      <c r="F19" s="35" t="s">
        <v>359</v>
      </c>
      <c r="G19" s="37" t="n">
        <v>120</v>
      </c>
      <c r="H19" s="37" t="n">
        <v>0</v>
      </c>
      <c r="I19" s="37" t="n">
        <v>-120</v>
      </c>
      <c r="J19" s="37" t="n">
        <v>-10692</v>
      </c>
      <c r="K19" s="35" t="s">
        <v>352</v>
      </c>
      <c r="L19" s="35" t="s">
        <v>161</v>
      </c>
      <c r="M19" s="35" t="s">
        <v>341</v>
      </c>
      <c r="N19" s="35" t="n">
        <v>48129</v>
      </c>
    </row>
    <row r="20" customFormat="false" ht="15" hidden="false" customHeight="false" outlineLevel="0" collapsed="false">
      <c r="A20" s="28" t="n">
        <v>9011</v>
      </c>
      <c r="B20" s="28" t="s">
        <v>255</v>
      </c>
      <c r="C20" s="28" t="s">
        <v>259</v>
      </c>
      <c r="D20" s="33" t="n">
        <v>46226.3472222222</v>
      </c>
      <c r="E20" s="28" t="s">
        <v>338</v>
      </c>
      <c r="F20" s="28" t="s">
        <v>360</v>
      </c>
      <c r="G20" s="31"/>
      <c r="H20" s="31" t="n">
        <v>24</v>
      </c>
      <c r="I20" s="31" t="n">
        <v>24</v>
      </c>
      <c r="J20" s="31" t="n">
        <v>61021</v>
      </c>
      <c r="K20" s="28" t="s">
        <v>340</v>
      </c>
      <c r="L20" s="28"/>
      <c r="M20" s="28" t="s">
        <v>341</v>
      </c>
      <c r="N20" s="28" t="n">
        <v>48201</v>
      </c>
    </row>
    <row r="21" customFormat="false" ht="15" hidden="false" customHeight="false" outlineLevel="0" collapsed="false">
      <c r="A21" s="5" t="n">
        <v>9011</v>
      </c>
      <c r="B21" s="5" t="s">
        <v>255</v>
      </c>
      <c r="C21" s="5" t="s">
        <v>259</v>
      </c>
      <c r="D21" s="34" t="n">
        <v>46226.40625</v>
      </c>
      <c r="E21" s="5" t="s">
        <v>342</v>
      </c>
      <c r="F21" s="5" t="s">
        <v>361</v>
      </c>
      <c r="G21" s="20" t="n">
        <v>24</v>
      </c>
      <c r="H21" s="20" t="n">
        <v>24</v>
      </c>
      <c r="I21" s="20" t="n">
        <v>0</v>
      </c>
      <c r="J21" s="20" t="n">
        <v>0</v>
      </c>
      <c r="K21" s="5" t="s">
        <v>340</v>
      </c>
      <c r="L21" s="5" t="s">
        <v>153</v>
      </c>
      <c r="M21" s="5" t="s">
        <v>263</v>
      </c>
      <c r="N21" s="5" t="n">
        <v>48203</v>
      </c>
    </row>
    <row r="22" customFormat="false" ht="15" hidden="false" customHeight="false" outlineLevel="0" collapsed="false">
      <c r="A22" s="5" t="n">
        <v>9044</v>
      </c>
      <c r="B22" s="5" t="s">
        <v>297</v>
      </c>
      <c r="C22" s="5" t="s">
        <v>299</v>
      </c>
      <c r="D22" s="34" t="n">
        <v>46204.3298611111</v>
      </c>
      <c r="E22" s="5" t="s">
        <v>362</v>
      </c>
      <c r="F22" s="5" t="s">
        <v>363</v>
      </c>
      <c r="G22" s="20" t="n">
        <v>150</v>
      </c>
      <c r="H22" s="20" t="n">
        <v>150</v>
      </c>
      <c r="I22" s="20" t="n">
        <v>0</v>
      </c>
      <c r="J22" s="20" t="n">
        <v>0</v>
      </c>
      <c r="K22" s="5" t="s">
        <v>340</v>
      </c>
      <c r="L22" s="5" t="s">
        <v>166</v>
      </c>
      <c r="M22" s="5" t="s">
        <v>341</v>
      </c>
      <c r="N22" s="5" t="n">
        <v>48012</v>
      </c>
    </row>
  </sheetData>
  <autoFilter ref="A4:N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5"/>
  </cols>
  <sheetData>
    <row r="1" customFormat="false" ht="17.35" hidden="false" customHeight="false" outlineLevel="0" collapsed="false">
      <c r="A1" s="1" t="s">
        <v>364</v>
      </c>
    </row>
    <row r="2" customFormat="false" ht="15" hidden="false" customHeight="false" outlineLevel="0" collapsed="false">
      <c r="A2" s="2" t="s">
        <v>365</v>
      </c>
    </row>
    <row r="4" customFormat="false" ht="42" hidden="false" customHeight="true" outlineLevel="0" collapsed="false">
      <c r="A4" s="6" t="s">
        <v>192</v>
      </c>
      <c r="B4" s="6" t="s">
        <v>366</v>
      </c>
      <c r="C4" s="6" t="s">
        <v>194</v>
      </c>
      <c r="D4" s="6" t="s">
        <v>134</v>
      </c>
      <c r="E4" s="6" t="s">
        <v>367</v>
      </c>
      <c r="F4" s="6" t="s">
        <v>368</v>
      </c>
      <c r="G4" s="6" t="s">
        <v>136</v>
      </c>
      <c r="H4" s="6" t="s">
        <v>138</v>
      </c>
      <c r="I4" s="6" t="s">
        <v>139</v>
      </c>
      <c r="J4" s="6" t="s">
        <v>140</v>
      </c>
      <c r="K4" s="6" t="s">
        <v>369</v>
      </c>
    </row>
    <row r="5" customFormat="false" ht="15" hidden="false" customHeight="false" outlineLevel="0" collapsed="false">
      <c r="A5" s="5" t="s">
        <v>230</v>
      </c>
      <c r="B5" s="5" t="s">
        <v>231</v>
      </c>
      <c r="C5" s="5" t="s">
        <v>232</v>
      </c>
      <c r="D5" s="41" t="n">
        <f aca="false">COUNTIFS('Episode Detail'!$H$5:$H$22,$A5,'Episode Detail'!$AL$5:$AL$22,"No")</f>
        <v>2</v>
      </c>
      <c r="E5" s="41" t="n">
        <f aca="false">SUMPRODUCT(('Episode Detail'!$H$5:$H$22=$A5)*('Episode Detail'!$AL$5:$AL$22="No")*'Episode Detail'!$AQ$5:$AQ$22)</f>
        <v>2</v>
      </c>
      <c r="F5" s="42" t="n">
        <f aca="false">SUMIFS('Episode Detail'!$U$5:$U$22,'Episode Detail'!$H$5:$H$22,$A5,'Episode Detail'!$AL$5:$AL$22,"No")</f>
        <v>1274</v>
      </c>
      <c r="G5" s="42" t="n">
        <f aca="false">SUMIFS('Episode Detail'!$AB$5:$AB$22,'Episode Detail'!$H$5:$H$22,$A5,'Episode Detail'!$AP$5:$AP$22,"Open",'Episode Detail'!$AL$5:$AL$22,"No")</f>
        <v>135137.4</v>
      </c>
      <c r="H5" s="42" t="n">
        <f aca="false">SUMIFS('Episode Detail'!$AD$5:$AD$22,'Episode Detail'!$H$5:$H$22,$A5,'Episode Detail'!$AL$5:$AL$22,"No")</f>
        <v>0</v>
      </c>
      <c r="I5" s="42" t="n">
        <f aca="false">SUMIFS('Episode Detail'!$AE$5:$AE$22,'Episode Detail'!$H$5:$H$22,$A5,'Episode Detail'!$AL$5:$AL$22,"No")</f>
        <v>135137.4</v>
      </c>
      <c r="J5" s="43" t="n">
        <f aca="false">IFERROR(AVERAGEIFS('Episode Detail'!$Q$5:$Q$22,'Episode Detail'!$H$5:$H$22,$A5,'Episode Detail'!$S$5:$S$22,"Yes",'Episode Detail'!$AL$5:$AL$22,"No"),"")</f>
        <v>13</v>
      </c>
      <c r="K5" s="41" t="n">
        <f aca="false">COUNTIFS('Episode Detail'!$H$5:$H$22,$A5,'Episode Detail'!$T$5:$T$22,"&gt;1")</f>
        <v>0</v>
      </c>
    </row>
    <row r="6" customFormat="false" ht="15" hidden="false" customHeight="false" outlineLevel="0" collapsed="false">
      <c r="A6" s="5" t="s">
        <v>240</v>
      </c>
      <c r="B6" s="5" t="s">
        <v>241</v>
      </c>
      <c r="C6" s="5" t="s">
        <v>232</v>
      </c>
      <c r="D6" s="41" t="n">
        <f aca="false">COUNTIFS('Episode Detail'!$H$5:$H$22,$A6,'Episode Detail'!$AL$5:$AL$22,"No")</f>
        <v>1</v>
      </c>
      <c r="E6" s="41" t="n">
        <f aca="false">SUMPRODUCT(('Episode Detail'!$H$5:$H$22=$A6)*('Episode Detail'!$AL$5:$AL$22="No")*'Episode Detail'!$AQ$5:$AQ$22)</f>
        <v>1</v>
      </c>
      <c r="F6" s="42" t="n">
        <f aca="false">SUMIFS('Episode Detail'!$U$5:$U$22,'Episode Detail'!$H$5:$H$22,$A6,'Episode Detail'!$AL$5:$AL$22,"No")</f>
        <v>542</v>
      </c>
      <c r="G6" s="42" t="n">
        <f aca="false">SUMIFS('Episode Detail'!$AB$5:$AB$22,'Episode Detail'!$H$5:$H$22,$A6,'Episode Detail'!$AP$5:$AP$22,"Open",'Episode Detail'!$AL$5:$AL$22,"No")</f>
        <v>32920.5</v>
      </c>
      <c r="H6" s="42" t="n">
        <f aca="false">SUMIFS('Episode Detail'!$AD$5:$AD$22,'Episode Detail'!$H$5:$H$22,$A6,'Episode Detail'!$AL$5:$AL$22,"No")</f>
        <v>0</v>
      </c>
      <c r="I6" s="42" t="n">
        <f aca="false">SUMIFS('Episode Detail'!$AE$5:$AE$22,'Episode Detail'!$H$5:$H$22,$A6,'Episode Detail'!$AL$5:$AL$22,"No")</f>
        <v>32920.5</v>
      </c>
      <c r="J6" s="43" t="n">
        <f aca="false">IFERROR(AVERAGEIFS('Episode Detail'!$Q$5:$Q$22,'Episode Detail'!$H$5:$H$22,$A6,'Episode Detail'!$S$5:$S$22,"Yes",'Episode Detail'!$AL$5:$AL$22,"No"),"")</f>
        <v>13</v>
      </c>
      <c r="K6" s="41" t="n">
        <f aca="false">COUNTIFS('Episode Detail'!$H$5:$H$22,$A6,'Episode Detail'!$T$5:$T$22,"&gt;1")</f>
        <v>0</v>
      </c>
    </row>
    <row r="7" customFormat="false" ht="15" hidden="false" customHeight="false" outlineLevel="0" collapsed="false">
      <c r="A7" s="5" t="s">
        <v>245</v>
      </c>
      <c r="B7" s="5" t="s">
        <v>246</v>
      </c>
      <c r="C7" s="5" t="s">
        <v>232</v>
      </c>
      <c r="D7" s="41" t="n">
        <f aca="false">COUNTIFS('Episode Detail'!$H$5:$H$22,$A7,'Episode Detail'!$AL$5:$AL$22,"No")</f>
        <v>1</v>
      </c>
      <c r="E7" s="41" t="n">
        <f aca="false">SUMPRODUCT(('Episode Detail'!$H$5:$H$22=$A7)*('Episode Detail'!$AL$5:$AL$22="No")*'Episode Detail'!$AQ$5:$AQ$22)</f>
        <v>0</v>
      </c>
      <c r="F7" s="42" t="n">
        <f aca="false">SUMIFS('Episode Detail'!$U$5:$U$22,'Episode Detail'!$H$5:$H$22,$A7,'Episode Detail'!$AL$5:$AL$22,"No")</f>
        <v>514</v>
      </c>
      <c r="G7" s="42" t="n">
        <f aca="false">SUMIFS('Episode Detail'!$AB$5:$AB$22,'Episode Detail'!$H$5:$H$22,$A7,'Episode Detail'!$AP$5:$AP$22,"Open",'Episode Detail'!$AL$5:$AL$22,"No")</f>
        <v>0</v>
      </c>
      <c r="H7" s="42" t="n">
        <f aca="false">SUMIFS('Episode Detail'!$AD$5:$AD$22,'Episode Detail'!$H$5:$H$22,$A7,'Episode Detail'!$AL$5:$AL$22,"No")</f>
        <v>265429.6</v>
      </c>
      <c r="I7" s="42" t="n">
        <f aca="false">SUMIFS('Episode Detail'!$AE$5:$AE$22,'Episode Detail'!$H$5:$H$22,$A7,'Episode Detail'!$AL$5:$AL$22,"No")</f>
        <v>0</v>
      </c>
      <c r="J7" s="43" t="n">
        <f aca="false">IFERROR(AVERAGEIFS('Episode Detail'!$Q$5:$Q$22,'Episode Detail'!$H$5:$H$22,$A7,'Episode Detail'!$S$5:$S$22,"Yes",'Episode Detail'!$AL$5:$AL$22,"No"),"")</f>
        <v>10</v>
      </c>
      <c r="K7" s="41" t="n">
        <f aca="false">COUNTIFS('Episode Detail'!$H$5:$H$22,$A7,'Episode Detail'!$T$5:$T$22,"&gt;1")</f>
        <v>0</v>
      </c>
    </row>
    <row r="8" customFormat="false" ht="15" hidden="false" customHeight="false" outlineLevel="0" collapsed="false">
      <c r="A8" s="5" t="s">
        <v>251</v>
      </c>
      <c r="B8" s="5" t="s">
        <v>252</v>
      </c>
      <c r="C8" s="5" t="s">
        <v>232</v>
      </c>
      <c r="D8" s="41" t="n">
        <f aca="false">COUNTIFS('Episode Detail'!$H$5:$H$22,$A8,'Episode Detail'!$AL$5:$AL$22,"No")</f>
        <v>1</v>
      </c>
      <c r="E8" s="41" t="n">
        <f aca="false">SUMPRODUCT(('Episode Detail'!$H$5:$H$22=$A8)*('Episode Detail'!$AL$5:$AL$22="No")*'Episode Detail'!$AQ$5:$AQ$22)</f>
        <v>0</v>
      </c>
      <c r="F8" s="42" t="n">
        <f aca="false">SUMIFS('Episode Detail'!$U$5:$U$22,'Episode Detail'!$H$5:$H$22,$A8,'Episode Detail'!$AL$5:$AL$22,"No")</f>
        <v>478</v>
      </c>
      <c r="G8" s="42" t="n">
        <f aca="false">SUMIFS('Episode Detail'!$AB$5:$AB$22,'Episode Detail'!$H$5:$H$22,$A8,'Episode Detail'!$AP$5:$AP$22,"Open",'Episode Detail'!$AL$5:$AL$22,"No")</f>
        <v>0</v>
      </c>
      <c r="H8" s="42" t="n">
        <f aca="false">SUMIFS('Episode Detail'!$AD$5:$AD$22,'Episode Detail'!$H$5:$H$22,$A8,'Episode Detail'!$AL$5:$AL$22,"No")</f>
        <v>210224.4</v>
      </c>
      <c r="I8" s="42" t="n">
        <f aca="false">SUMIFS('Episode Detail'!$AE$5:$AE$22,'Episode Detail'!$H$5:$H$22,$A8,'Episode Detail'!$AL$5:$AL$22,"No")</f>
        <v>5497.5</v>
      </c>
      <c r="J8" s="43" t="n">
        <f aca="false">IFERROR(AVERAGEIFS('Episode Detail'!$Q$5:$Q$22,'Episode Detail'!$H$5:$H$22,$A8,'Episode Detail'!$S$5:$S$22,"Yes",'Episode Detail'!$AL$5:$AL$22,"No"),"")</f>
        <v>8</v>
      </c>
      <c r="K8" s="41" t="n">
        <f aca="false">COUNTIFS('Episode Detail'!$H$5:$H$22,$A8,'Episode Detail'!$T$5:$T$22,"&gt;1")</f>
        <v>0</v>
      </c>
    </row>
    <row r="9" customFormat="false" ht="15" hidden="false" customHeight="false" outlineLevel="0" collapsed="false">
      <c r="A9" s="5" t="s">
        <v>259</v>
      </c>
      <c r="B9" s="5" t="s">
        <v>260</v>
      </c>
      <c r="C9" s="5" t="s">
        <v>261</v>
      </c>
      <c r="D9" s="41" t="n">
        <f aca="false">COUNTIFS('Episode Detail'!$H$5:$H$22,$A9,'Episode Detail'!$AL$5:$AL$22,"No")</f>
        <v>3</v>
      </c>
      <c r="E9" s="41" t="n">
        <f aca="false">SUMPRODUCT(('Episode Detail'!$H$5:$H$22=$A9)*('Episode Detail'!$AL$5:$AL$22="No")*'Episode Detail'!$AQ$5:$AQ$22)</f>
        <v>3</v>
      </c>
      <c r="F9" s="42" t="n">
        <f aca="false">SUMIFS('Episode Detail'!$U$5:$U$22,'Episode Detail'!$H$5:$H$22,$A9,'Episode Detail'!$AL$5:$AL$22,"No")</f>
        <v>54</v>
      </c>
      <c r="G9" s="42" t="n">
        <f aca="false">SUMIFS('Episode Detail'!$AB$5:$AB$22,'Episode Detail'!$H$5:$H$22,$A9,'Episode Detail'!$AP$5:$AP$22,"Open",'Episode Detail'!$AL$5:$AL$22,"No")</f>
        <v>121215.6</v>
      </c>
      <c r="H9" s="42" t="n">
        <f aca="false">SUMIFS('Episode Detail'!$AD$5:$AD$22,'Episode Detail'!$H$5:$H$22,$A9,'Episode Detail'!$AL$5:$AL$22,"No")</f>
        <v>0</v>
      </c>
      <c r="I9" s="42" t="n">
        <f aca="false">SUMIFS('Episode Detail'!$AE$5:$AE$22,'Episode Detail'!$H$5:$H$22,$A9,'Episode Detail'!$AL$5:$AL$22,"No")</f>
        <v>30510.36</v>
      </c>
      <c r="J9" s="43" t="n">
        <f aca="false">IFERROR(AVERAGEIFS('Episode Detail'!$Q$5:$Q$22,'Episode Detail'!$H$5:$H$22,$A9,'Episode Detail'!$S$5:$S$22,"Yes",'Episode Detail'!$AL$5:$AL$22,"No"),"")</f>
        <v>4</v>
      </c>
      <c r="K9" s="41" t="n">
        <f aca="false">COUNTIFS('Episode Detail'!$H$5:$H$22,$A9,'Episode Detail'!$T$5:$T$22,"&gt;1")</f>
        <v>0</v>
      </c>
    </row>
    <row r="10" customFormat="false" ht="15" hidden="false" customHeight="false" outlineLevel="0" collapsed="false">
      <c r="A10" s="5" t="s">
        <v>272</v>
      </c>
      <c r="B10" s="5" t="s">
        <v>273</v>
      </c>
      <c r="C10" s="5" t="s">
        <v>274</v>
      </c>
      <c r="D10" s="41" t="n">
        <f aca="false">COUNTIFS('Episode Detail'!$H$5:$H$22,$A10,'Episode Detail'!$AL$5:$AL$22,"No")</f>
        <v>2</v>
      </c>
      <c r="E10" s="41" t="n">
        <f aca="false">SUMPRODUCT(('Episode Detail'!$H$5:$H$22=$A10)*('Episode Detail'!$AL$5:$AL$22="No")*'Episode Detail'!$AQ$5:$AQ$22)</f>
        <v>2</v>
      </c>
      <c r="F10" s="42" t="n">
        <f aca="false">SUMIFS('Episode Detail'!$U$5:$U$22,'Episode Detail'!$H$5:$H$22,$A10,'Episode Detail'!$AL$5:$AL$22,"No")</f>
        <v>12</v>
      </c>
      <c r="G10" s="42" t="n">
        <f aca="false">SUMIFS('Episode Detail'!$AB$5:$AB$22,'Episode Detail'!$H$5:$H$22,$A10,'Episode Detail'!$AP$5:$AP$22,"Open",'Episode Detail'!$AL$5:$AL$22,"No")</f>
        <v>33082.8</v>
      </c>
      <c r="H10" s="42" t="n">
        <f aca="false">SUMIFS('Episode Detail'!$AD$5:$AD$22,'Episode Detail'!$H$5:$H$22,$A10,'Episode Detail'!$AL$5:$AL$22,"No")</f>
        <v>0</v>
      </c>
      <c r="I10" s="42" t="n">
        <f aca="false">SUMIFS('Episode Detail'!$AE$5:$AE$22,'Episode Detail'!$H$5:$H$22,$A10,'Episode Detail'!$AL$5:$AL$22,"No")</f>
        <v>33082.8</v>
      </c>
      <c r="J10" s="43" t="n">
        <f aca="false">IFERROR(AVERAGEIFS('Episode Detail'!$Q$5:$Q$22,'Episode Detail'!$H$5:$H$22,$A10,'Episode Detail'!$S$5:$S$22,"Yes",'Episode Detail'!$AL$5:$AL$22,"No"),"")</f>
        <v>9</v>
      </c>
      <c r="K10" s="41" t="n">
        <f aca="false">COUNTIFS('Episode Detail'!$H$5:$H$22,$A10,'Episode Detail'!$T$5:$T$22,"&gt;1")</f>
        <v>0</v>
      </c>
    </row>
    <row r="11" customFormat="false" ht="15" hidden="false" customHeight="false" outlineLevel="0" collapsed="false">
      <c r="A11" s="5" t="s">
        <v>281</v>
      </c>
      <c r="B11" s="5" t="s">
        <v>282</v>
      </c>
      <c r="C11" s="5" t="s">
        <v>232</v>
      </c>
      <c r="D11" s="41" t="n">
        <f aca="false">COUNTIFS('Episode Detail'!$H$5:$H$22,$A11,'Episode Detail'!$AL$5:$AL$22,"No")</f>
        <v>2</v>
      </c>
      <c r="E11" s="41" t="n">
        <f aca="false">SUMPRODUCT(('Episode Detail'!$H$5:$H$22=$A11)*('Episode Detail'!$AL$5:$AL$22="No")*'Episode Detail'!$AQ$5:$AQ$22)</f>
        <v>1</v>
      </c>
      <c r="F11" s="42" t="n">
        <f aca="false">SUMIFS('Episode Detail'!$U$5:$U$22,'Episode Detail'!$H$5:$H$22,$A11,'Episode Detail'!$AL$5:$AL$22,"No")</f>
        <v>263</v>
      </c>
      <c r="G11" s="42" t="n">
        <f aca="false">SUMIFS('Episode Detail'!$AB$5:$AB$22,'Episode Detail'!$H$5:$H$22,$A11,'Episode Detail'!$AP$5:$AP$22,"Open",'Episode Detail'!$AL$5:$AL$22,"No")</f>
        <v>2935</v>
      </c>
      <c r="H11" s="42" t="n">
        <f aca="false">SUMIFS('Episode Detail'!$AD$5:$AD$22,'Episode Detail'!$H$5:$H$22,$A11,'Episode Detail'!$AL$5:$AL$22,"No")</f>
        <v>0</v>
      </c>
      <c r="I11" s="42" t="n">
        <f aca="false">SUMIFS('Episode Detail'!$AE$5:$AE$22,'Episode Detail'!$H$5:$H$22,$A11,'Episode Detail'!$AL$5:$AL$22,"No")</f>
        <v>0</v>
      </c>
      <c r="J11" s="43" t="n">
        <f aca="false">IFERROR(AVERAGEIFS('Episode Detail'!$Q$5:$Q$22,'Episode Detail'!$H$5:$H$22,$A11,'Episode Detail'!$S$5:$S$22,"Yes",'Episode Detail'!$AL$5:$AL$22,"No"),"")</f>
        <v>3</v>
      </c>
      <c r="K11" s="41" t="n">
        <f aca="false">COUNTIFS('Episode Detail'!$H$5:$H$22,$A11,'Episode Detail'!$T$5:$T$22,"&gt;1")</f>
        <v>0</v>
      </c>
    </row>
    <row r="12" customFormat="false" ht="15" hidden="false" customHeight="false" outlineLevel="0" collapsed="false">
      <c r="A12" s="5" t="s">
        <v>287</v>
      </c>
      <c r="B12" s="5" t="s">
        <v>288</v>
      </c>
      <c r="C12" s="5" t="s">
        <v>289</v>
      </c>
      <c r="D12" s="41" t="n">
        <f aca="false">COUNTIFS('Episode Detail'!$H$5:$H$22,$A12,'Episode Detail'!$AL$5:$AL$22,"No")</f>
        <v>1</v>
      </c>
      <c r="E12" s="41" t="n">
        <f aca="false">SUMPRODUCT(('Episode Detail'!$H$5:$H$22=$A12)*('Episode Detail'!$AL$5:$AL$22="No")*'Episode Detail'!$AQ$5:$AQ$22)</f>
        <v>1</v>
      </c>
      <c r="F12" s="42" t="n">
        <f aca="false">SUMIFS('Episode Detail'!$U$5:$U$22,'Episode Detail'!$H$5:$H$22,$A12,'Episode Detail'!$AL$5:$AL$22,"No")</f>
        <v>36</v>
      </c>
      <c r="G12" s="42" t="n">
        <f aca="false">SUMIFS('Episode Detail'!$AB$5:$AB$22,'Episode Detail'!$H$5:$H$22,$A12,'Episode Detail'!$AP$5:$AP$22,"Open",'Episode Detail'!$AL$5:$AL$22,"No")</f>
        <v>37260</v>
      </c>
      <c r="H12" s="42" t="n">
        <f aca="false">SUMIFS('Episode Detail'!$AD$5:$AD$22,'Episode Detail'!$H$5:$H$22,$A12,'Episode Detail'!$AL$5:$AL$22,"No")</f>
        <v>0</v>
      </c>
      <c r="I12" s="42" t="n">
        <f aca="false">SUMIFS('Episode Detail'!$AE$5:$AE$22,'Episode Detail'!$H$5:$H$22,$A12,'Episode Detail'!$AL$5:$AL$22,"No")</f>
        <v>0</v>
      </c>
      <c r="J12" s="43" t="str">
        <f aca="false">IFERROR(AVERAGEIFS('Episode Detail'!$Q$5:$Q$22,'Episode Detail'!$H$5:$H$22,$A12,'Episode Detail'!$S$5:$S$22,"Yes",'Episode Detail'!$AL$5:$AL$22,"No"),"")</f>
        <v/>
      </c>
      <c r="K12" s="41" t="n">
        <f aca="false">COUNTIFS('Episode Detail'!$H$5:$H$22,$A12,'Episode Detail'!$T$5:$T$22,"&gt;1")</f>
        <v>0</v>
      </c>
    </row>
    <row r="13" customFormat="false" ht="15" hidden="false" customHeight="false" outlineLevel="0" collapsed="false">
      <c r="A13" s="5" t="s">
        <v>295</v>
      </c>
      <c r="B13" s="5" t="s">
        <v>296</v>
      </c>
      <c r="C13" s="5" t="s">
        <v>289</v>
      </c>
      <c r="D13" s="41" t="n">
        <f aca="false">COUNTIFS('Episode Detail'!$H$5:$H$22,$A13,'Episode Detail'!$AL$5:$AL$22,"No")</f>
        <v>1</v>
      </c>
      <c r="E13" s="41" t="n">
        <f aca="false">SUMPRODUCT(('Episode Detail'!$H$5:$H$22=$A13)*('Episode Detail'!$AL$5:$AL$22="No")*'Episode Detail'!$AQ$5:$AQ$22)</f>
        <v>1</v>
      </c>
      <c r="F13" s="42" t="n">
        <f aca="false">SUMIFS('Episode Detail'!$U$5:$U$22,'Episode Detail'!$H$5:$H$22,$A13,'Episode Detail'!$AL$5:$AL$22,"No")</f>
        <v>1188</v>
      </c>
      <c r="G13" s="42" t="n">
        <f aca="false">SUMIFS('Episode Detail'!$AB$5:$AB$22,'Episode Detail'!$H$5:$H$22,$A13,'Episode Detail'!$AP$5:$AP$22,"Open",'Episode Detail'!$AL$5:$AL$22,"No")</f>
        <v>1892531.52</v>
      </c>
      <c r="H13" s="42" t="n">
        <f aca="false">SUMIFS('Episode Detail'!$AD$5:$AD$22,'Episode Detail'!$H$5:$H$22,$A13,'Episode Detail'!$AL$5:$AL$22,"No")</f>
        <v>0</v>
      </c>
      <c r="I13" s="42" t="n">
        <f aca="false">SUMIFS('Episode Detail'!$AE$5:$AE$22,'Episode Detail'!$H$5:$H$22,$A13,'Episode Detail'!$AL$5:$AL$22,"No")</f>
        <v>0</v>
      </c>
      <c r="J13" s="43" t="n">
        <f aca="false">IFERROR(AVERAGEIFS('Episode Detail'!$Q$5:$Q$22,'Episode Detail'!$H$5:$H$22,$A13,'Episode Detail'!$S$5:$S$22,"Yes",'Episode Detail'!$AL$5:$AL$22,"No"),"")</f>
        <v>2</v>
      </c>
      <c r="K13" s="41" t="n">
        <f aca="false">COUNTIFS('Episode Detail'!$H$5:$H$22,$A13,'Episode Detail'!$T$5:$T$22,"&gt;1")</f>
        <v>0</v>
      </c>
    </row>
    <row r="14" customFormat="false" ht="15" hidden="false" customHeight="false" outlineLevel="0" collapsed="false">
      <c r="A14" s="5" t="s">
        <v>299</v>
      </c>
      <c r="B14" s="5" t="s">
        <v>300</v>
      </c>
      <c r="C14" s="5" t="s">
        <v>232</v>
      </c>
      <c r="D14" s="41" t="n">
        <f aca="false">COUNTIFS('Episode Detail'!$H$5:$H$22,$A14,'Episode Detail'!$AL$5:$AL$22,"No")</f>
        <v>0</v>
      </c>
      <c r="E14" s="41" t="n">
        <f aca="false">SUMPRODUCT(('Episode Detail'!$H$5:$H$22=$A14)*('Episode Detail'!$AL$5:$AL$22="No")*'Episode Detail'!$AQ$5:$AQ$22)</f>
        <v>0</v>
      </c>
      <c r="F14" s="42" t="n">
        <f aca="false">SUMIFS('Episode Detail'!$U$5:$U$22,'Episode Detail'!$H$5:$H$22,$A14,'Episode Detail'!$AL$5:$AL$22,"No")</f>
        <v>0</v>
      </c>
      <c r="G14" s="42" t="n">
        <f aca="false">SUMIFS('Episode Detail'!$AB$5:$AB$22,'Episode Detail'!$H$5:$H$22,$A14,'Episode Detail'!$AP$5:$AP$22,"Open",'Episode Detail'!$AL$5:$AL$22,"No")</f>
        <v>0</v>
      </c>
      <c r="H14" s="42" t="n">
        <f aca="false">SUMIFS('Episode Detail'!$AD$5:$AD$22,'Episode Detail'!$H$5:$H$22,$A14,'Episode Detail'!$AL$5:$AL$22,"No")</f>
        <v>0</v>
      </c>
      <c r="I14" s="42" t="n">
        <f aca="false">SUMIFS('Episode Detail'!$AE$5:$AE$22,'Episode Detail'!$H$5:$H$22,$A14,'Episode Detail'!$AL$5:$AL$22,"No")</f>
        <v>0</v>
      </c>
      <c r="J14" s="43" t="str">
        <f aca="false">IFERROR(AVERAGEIFS('Episode Detail'!$Q$5:$Q$22,'Episode Detail'!$H$5:$H$22,$A14,'Episode Detail'!$S$5:$S$22,"Yes",'Episode Detail'!$AL$5:$AL$22,"No"),"")</f>
        <v/>
      </c>
      <c r="K14" s="41" t="n">
        <f aca="false">COUNTIFS('Episode Detail'!$H$5:$H$22,$A14,'Episode Detail'!$T$5:$T$22,"&gt;1")</f>
        <v>0</v>
      </c>
    </row>
    <row r="15" customFormat="false" ht="15" hidden="false" customHeight="false" outlineLevel="0" collapsed="false">
      <c r="A15" s="5" t="s">
        <v>306</v>
      </c>
      <c r="B15" s="5" t="s">
        <v>307</v>
      </c>
      <c r="C15" s="5" t="s">
        <v>232</v>
      </c>
      <c r="D15" s="41" t="n">
        <f aca="false">COUNTIFS('Episode Detail'!$H$5:$H$22,$A15,'Episode Detail'!$AL$5:$AL$22,"No")</f>
        <v>2</v>
      </c>
      <c r="E15" s="41" t="n">
        <f aca="false">SUMPRODUCT(('Episode Detail'!$H$5:$H$22=$A15)*('Episode Detail'!$AL$5:$AL$22="No")*'Episode Detail'!$AQ$5:$AQ$22)</f>
        <v>0</v>
      </c>
      <c r="F15" s="42" t="n">
        <f aca="false">SUMIFS('Episode Detail'!$U$5:$U$22,'Episode Detail'!$H$5:$H$22,$A15,'Episode Detail'!$AL$5:$AL$22,"No")</f>
        <v>302</v>
      </c>
      <c r="G15" s="42" t="n">
        <f aca="false">SUMIFS('Episode Detail'!$AB$5:$AB$22,'Episode Detail'!$H$5:$H$22,$A15,'Episode Detail'!$AP$5:$AP$22,"Open",'Episode Detail'!$AL$5:$AL$22,"No")</f>
        <v>0</v>
      </c>
      <c r="H15" s="42" t="n">
        <f aca="false">SUMIFS('Episode Detail'!$AD$5:$AD$22,'Episode Detail'!$H$5:$H$22,$A15,'Episode Detail'!$AL$5:$AL$22,"No")</f>
        <v>59340.6</v>
      </c>
      <c r="I15" s="42" t="n">
        <f aca="false">SUMIFS('Episode Detail'!$AE$5:$AE$22,'Episode Detail'!$H$5:$H$22,$A15,'Episode Detail'!$AL$5:$AL$22,"No")</f>
        <v>0</v>
      </c>
      <c r="J15" s="43" t="n">
        <f aca="false">IFERROR(AVERAGEIFS('Episode Detail'!$Q$5:$Q$22,'Episode Detail'!$H$5:$H$22,$A15,'Episode Detail'!$S$5:$S$22,"Yes",'Episode Detail'!$AL$5:$AL$22,"No"),"")</f>
        <v>4</v>
      </c>
      <c r="K15" s="41" t="n">
        <f aca="false">COUNTIFS('Episode Detail'!$H$5:$H$22,$A15,'Episode Detail'!$T$5:$T$22,"&gt;1")</f>
        <v>1</v>
      </c>
    </row>
    <row r="16" customFormat="false" ht="15" hidden="false" customHeight="false" outlineLevel="0" collapsed="false">
      <c r="A16" s="5" t="s">
        <v>319</v>
      </c>
      <c r="B16" s="5" t="s">
        <v>320</v>
      </c>
      <c r="C16" s="5" t="s">
        <v>232</v>
      </c>
      <c r="D16" s="41" t="n">
        <f aca="false">COUNTIFS('Episode Detail'!$H$5:$H$22,$A16,'Episode Detail'!$AL$5:$AL$22,"No")</f>
        <v>1</v>
      </c>
      <c r="E16" s="41" t="n">
        <f aca="false">SUMPRODUCT(('Episode Detail'!$H$5:$H$22=$A16)*('Episode Detail'!$AL$5:$AL$22="No")*'Episode Detail'!$AQ$5:$AQ$22)</f>
        <v>1</v>
      </c>
      <c r="F16" s="42" t="n">
        <f aca="false">SUMIFS('Episode Detail'!$U$5:$U$22,'Episode Detail'!$H$5:$H$22,$A16,'Episode Detail'!$AL$5:$AL$22,"No")</f>
        <v>260</v>
      </c>
      <c r="G16" s="42" t="n">
        <f aca="false">SUMIFS('Episode Detail'!$AB$5:$AB$22,'Episode Detail'!$H$5:$H$22,$A16,'Episode Detail'!$AP$5:$AP$22,"Open",'Episode Detail'!$AL$5:$AL$22,"No")</f>
        <v>19500</v>
      </c>
      <c r="H16" s="42" t="n">
        <f aca="false">SUMIFS('Episode Detail'!$AD$5:$AD$22,'Episode Detail'!$H$5:$H$22,$A16,'Episode Detail'!$AL$5:$AL$22,"No")</f>
        <v>0</v>
      </c>
      <c r="I16" s="42" t="n">
        <f aca="false">SUMIFS('Episode Detail'!$AE$5:$AE$22,'Episode Detail'!$H$5:$H$22,$A16,'Episode Detail'!$AL$5:$AL$22,"No")</f>
        <v>19500</v>
      </c>
      <c r="J16" s="43" t="str">
        <f aca="false">IFERROR(AVERAGEIFS('Episode Detail'!$Q$5:$Q$22,'Episode Detail'!$H$5:$H$22,$A16,'Episode Detail'!$S$5:$S$22,"Yes",'Episode Detail'!$AL$5:$AL$22,"No"),"")</f>
        <v/>
      </c>
      <c r="K16" s="41" t="n">
        <f aca="false">COUNTIFS('Episode Detail'!$H$5:$H$22,$A16,'Episode Detail'!$T$5:$T$22,"&gt;1")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7"/>
  </cols>
  <sheetData>
    <row r="1" customFormat="false" ht="17.35" hidden="false" customHeight="false" outlineLevel="0" collapsed="false">
      <c r="A1" s="1" t="s">
        <v>370</v>
      </c>
    </row>
    <row r="2" customFormat="false" ht="15" hidden="false" customHeight="false" outlineLevel="0" collapsed="false">
      <c r="A2" s="2" t="s">
        <v>371</v>
      </c>
    </row>
    <row r="4" customFormat="false" ht="42" hidden="false" customHeight="true" outlineLevel="0" collapsed="false">
      <c r="A4" s="6" t="s">
        <v>191</v>
      </c>
      <c r="B4" s="6" t="s">
        <v>28</v>
      </c>
      <c r="C4" s="6" t="s">
        <v>134</v>
      </c>
      <c r="D4" s="6" t="s">
        <v>372</v>
      </c>
      <c r="E4" s="6" t="s">
        <v>367</v>
      </c>
      <c r="F4" s="6" t="s">
        <v>136</v>
      </c>
      <c r="G4" s="6" t="s">
        <v>139</v>
      </c>
      <c r="H4" s="6" t="s">
        <v>138</v>
      </c>
      <c r="I4" s="6" t="s">
        <v>140</v>
      </c>
      <c r="J4" s="6" t="s">
        <v>373</v>
      </c>
    </row>
    <row r="5" customFormat="false" ht="15" hidden="false" customHeight="false" outlineLevel="0" collapsed="false">
      <c r="A5" s="5" t="s">
        <v>227</v>
      </c>
      <c r="B5" s="5" t="s">
        <v>228</v>
      </c>
      <c r="C5" s="41" t="n">
        <f aca="false">COUNTIFS('Episode Detail'!$E$5:$E$22,$A5,'Episode Detail'!$AL$5:$AL$22,"No")</f>
        <v>5</v>
      </c>
      <c r="D5" s="41" t="n">
        <f aca="false">SUMPRODUCT(('Episode Detail'!$E$5:$E$22=$A5)*('Episode Detail'!$AL$5:$AL$22="No")*'Episode Detail'!$AR$5:$AR$22)</f>
        <v>2</v>
      </c>
      <c r="E5" s="41" t="n">
        <f aca="false">SUMPRODUCT(('Episode Detail'!$E$5:$E$22=$A5)*('Episode Detail'!$AL$5:$AL$22="No")*'Episode Detail'!$AQ$5:$AQ$22)</f>
        <v>3</v>
      </c>
      <c r="F5" s="42" t="n">
        <f aca="false">SUMIFS('Episode Detail'!$AB$5:$AB$22,'Episode Detail'!$E$5:$E$22,$A5,'Episode Detail'!$AP$5:$AP$22,"Open",'Episode Detail'!$AL$5:$AL$22,"No")</f>
        <v>168057.9</v>
      </c>
      <c r="G5" s="42" t="n">
        <f aca="false">SUMIFS('Episode Detail'!$AE$5:$AE$22,'Episode Detail'!$E$5:$E$22,$A5,'Episode Detail'!$AL$5:$AL$22,"No")</f>
        <v>173555.4</v>
      </c>
      <c r="H5" s="42" t="n">
        <f aca="false">SUMIFS('Episode Detail'!$AD$5:$AD$22,'Episode Detail'!$E$5:$E$22,$A5,'Episode Detail'!$AL$5:$AL$22,"No")</f>
        <v>475654</v>
      </c>
      <c r="I5" s="43" t="n">
        <f aca="false">IFERROR(AVERAGEIFS('Episode Detail'!$Q$5:$Q$22,'Episode Detail'!$E$5:$E$22,$A5,'Episode Detail'!$S$5:$S$22,"Yes",'Episode Detail'!$AL$5:$AL$22,"No"),"")</f>
        <v>11.4</v>
      </c>
      <c r="J5" s="41" t="n">
        <f aca="false">IFERROR(_xlfn.MAXIFS('Episode Detail'!$Q$5:$Q$22,'Episode Detail'!$E$5:$E$22,$A5,'Episode Detail'!$AP$5:$AP$22,"Open",'Episode Detail'!$AL$5:$AL$22,"No"),"")</f>
        <v>13</v>
      </c>
    </row>
    <row r="6" customFormat="false" ht="15" hidden="false" customHeight="false" outlineLevel="0" collapsed="false">
      <c r="A6" s="5" t="s">
        <v>257</v>
      </c>
      <c r="B6" s="5" t="s">
        <v>258</v>
      </c>
      <c r="C6" s="41" t="n">
        <f aca="false">COUNTIFS('Episode Detail'!$E$5:$E$22,$A6,'Episode Detail'!$AL$5:$AL$22,"No")</f>
        <v>2</v>
      </c>
      <c r="D6" s="41" t="n">
        <f aca="false">SUMPRODUCT(('Episode Detail'!$E$5:$E$22=$A6)*('Episode Detail'!$AL$5:$AL$22="No")*'Episode Detail'!$AR$5:$AR$22)</f>
        <v>1</v>
      </c>
      <c r="E6" s="41" t="n">
        <f aca="false">SUMPRODUCT(('Episode Detail'!$E$5:$E$22=$A6)*('Episode Detail'!$AL$5:$AL$22="No")*'Episode Detail'!$AQ$5:$AQ$22)</f>
        <v>2</v>
      </c>
      <c r="F6" s="42" t="n">
        <f aca="false">SUMIFS('Episode Detail'!$AB$5:$AB$22,'Episode Detail'!$E$5:$E$22,$A6,'Episode Detail'!$AP$5:$AP$22,"Open",'Episode Detail'!$AL$5:$AL$22,"No")</f>
        <v>90705.24</v>
      </c>
      <c r="G6" s="42" t="n">
        <f aca="false">SUMIFS('Episode Detail'!$AE$5:$AE$22,'Episode Detail'!$E$5:$E$22,$A6,'Episode Detail'!$AL$5:$AL$22,"No")</f>
        <v>0</v>
      </c>
      <c r="H6" s="42" t="n">
        <f aca="false">SUMIFS('Episode Detail'!$AD$5:$AD$22,'Episode Detail'!$E$5:$E$22,$A6,'Episode Detail'!$AL$5:$AL$22,"No")</f>
        <v>0</v>
      </c>
      <c r="I6" s="43" t="n">
        <f aca="false">IFERROR(AVERAGEIFS('Episode Detail'!$Q$5:$Q$22,'Episode Detail'!$E$5:$E$22,$A6,'Episode Detail'!$S$5:$S$22,"Yes",'Episode Detail'!$AL$5:$AL$22,"No"),"")</f>
        <v>2</v>
      </c>
      <c r="J6" s="41" t="n">
        <f aca="false">IFERROR(_xlfn.MAXIFS('Episode Detail'!$Q$5:$Q$22,'Episode Detail'!$E$5:$E$22,$A6,'Episode Detail'!$AP$5:$AP$22,"Open",'Episode Detail'!$AL$5:$AL$22,"No"),"")</f>
        <v>2</v>
      </c>
    </row>
    <row r="7" customFormat="false" ht="15" hidden="false" customHeight="false" outlineLevel="0" collapsed="false">
      <c r="A7" s="5" t="s">
        <v>269</v>
      </c>
      <c r="B7" s="5" t="s">
        <v>258</v>
      </c>
      <c r="C7" s="41" t="n">
        <f aca="false">COUNTIFS('Episode Detail'!$E$5:$E$22,$A7,'Episode Detail'!$AL$5:$AL$22,"No")</f>
        <v>3</v>
      </c>
      <c r="D7" s="41" t="n">
        <f aca="false">SUMPRODUCT(('Episode Detail'!$E$5:$E$22=$A7)*('Episode Detail'!$AL$5:$AL$22="No")*'Episode Detail'!$AR$5:$AR$22)</f>
        <v>1</v>
      </c>
      <c r="E7" s="41" t="n">
        <f aca="false">SUMPRODUCT(('Episode Detail'!$E$5:$E$22=$A7)*('Episode Detail'!$AL$5:$AL$22="No")*'Episode Detail'!$AQ$5:$AQ$22)</f>
        <v>3</v>
      </c>
      <c r="F7" s="42" t="n">
        <f aca="false">SUMIFS('Episode Detail'!$AB$5:$AB$22,'Episode Detail'!$E$5:$E$22,$A7,'Episode Detail'!$AP$5:$AP$22,"Open",'Episode Detail'!$AL$5:$AL$22,"No")</f>
        <v>63593.16</v>
      </c>
      <c r="G7" s="42" t="n">
        <f aca="false">SUMIFS('Episode Detail'!$AE$5:$AE$22,'Episode Detail'!$E$5:$E$22,$A7,'Episode Detail'!$AL$5:$AL$22,"No")</f>
        <v>63593.16</v>
      </c>
      <c r="H7" s="42" t="n">
        <f aca="false">SUMIFS('Episode Detail'!$AD$5:$AD$22,'Episode Detail'!$E$5:$E$22,$A7,'Episode Detail'!$AL$5:$AL$22,"No")</f>
        <v>0</v>
      </c>
      <c r="I7" s="43" t="n">
        <f aca="false">IFERROR(AVERAGEIFS('Episode Detail'!$Q$5:$Q$22,'Episode Detail'!$E$5:$E$22,$A7,'Episode Detail'!$S$5:$S$22,"Yes",'Episode Detail'!$AL$5:$AL$22,"No"),"")</f>
        <v>8.66666666666667</v>
      </c>
      <c r="J7" s="41" t="n">
        <f aca="false">IFERROR(_xlfn.MAXIFS('Episode Detail'!$Q$5:$Q$22,'Episode Detail'!$E$5:$E$22,$A7,'Episode Detail'!$AP$5:$AP$22,"Open",'Episode Detail'!$AL$5:$AL$22,"No"),"")</f>
        <v>9</v>
      </c>
    </row>
    <row r="8" customFormat="false" ht="15" hidden="false" customHeight="false" outlineLevel="0" collapsed="false">
      <c r="A8" s="5" t="s">
        <v>279</v>
      </c>
      <c r="B8" s="5" t="s">
        <v>280</v>
      </c>
      <c r="C8" s="41" t="n">
        <f aca="false">COUNTIFS('Episode Detail'!$E$5:$E$22,$A8,'Episode Detail'!$AL$5:$AL$22,"No")</f>
        <v>1</v>
      </c>
      <c r="D8" s="41" t="n">
        <f aca="false">SUMPRODUCT(('Episode Detail'!$E$5:$E$22=$A8)*('Episode Detail'!$AL$5:$AL$22="No")*'Episode Detail'!$AR$5:$AR$22)</f>
        <v>0</v>
      </c>
      <c r="E8" s="41" t="n">
        <f aca="false">SUMPRODUCT(('Episode Detail'!$E$5:$E$22=$A8)*('Episode Detail'!$AL$5:$AL$22="No")*'Episode Detail'!$AQ$5:$AQ$22)</f>
        <v>0</v>
      </c>
      <c r="F8" s="42" t="n">
        <f aca="false">SUMIFS('Episode Detail'!$AB$5:$AB$22,'Episode Detail'!$E$5:$E$22,$A8,'Episode Detail'!$AP$5:$AP$22,"Open",'Episode Detail'!$AL$5:$AL$22,"No")</f>
        <v>0</v>
      </c>
      <c r="G8" s="42" t="n">
        <f aca="false">SUMIFS('Episode Detail'!$AE$5:$AE$22,'Episode Detail'!$E$5:$E$22,$A8,'Episode Detail'!$AL$5:$AL$22,"No")</f>
        <v>0</v>
      </c>
      <c r="H8" s="42" t="n">
        <f aca="false">SUMIFS('Episode Detail'!$AD$5:$AD$22,'Episode Detail'!$E$5:$E$22,$A8,'Episode Detail'!$AL$5:$AL$22,"No")</f>
        <v>0</v>
      </c>
      <c r="I8" s="43" t="n">
        <f aca="false">IFERROR(AVERAGEIFS('Episode Detail'!$Q$5:$Q$22,'Episode Detail'!$E$5:$E$22,$A8,'Episode Detail'!$S$5:$S$22,"Yes",'Episode Detail'!$AL$5:$AL$22,"No"),"")</f>
        <v>2</v>
      </c>
      <c r="J8" s="41" t="n">
        <f aca="false">IFERROR(_xlfn.MAXIFS('Episode Detail'!$Q$5:$Q$22,'Episode Detail'!$E$5:$E$22,$A8,'Episode Detail'!$AP$5:$AP$22,"Open",'Episode Detail'!$AL$5:$AL$22,"No"),"")</f>
        <v>0</v>
      </c>
    </row>
    <row r="9" customFormat="false" ht="15" hidden="false" customHeight="false" outlineLevel="0" collapsed="false">
      <c r="A9" s="5" t="s">
        <v>286</v>
      </c>
      <c r="B9" s="5" t="s">
        <v>280</v>
      </c>
      <c r="C9" s="41" t="n">
        <f aca="false">COUNTIFS('Episode Detail'!$E$5:$E$22,$A9,'Episode Detail'!$AL$5:$AL$22,"No")</f>
        <v>1</v>
      </c>
      <c r="D9" s="41" t="n">
        <f aca="false">SUMPRODUCT(('Episode Detail'!$E$5:$E$22=$A9)*('Episode Detail'!$AL$5:$AL$22="No")*'Episode Detail'!$AR$5:$AR$22)</f>
        <v>1</v>
      </c>
      <c r="E9" s="41" t="n">
        <f aca="false">SUMPRODUCT(('Episode Detail'!$E$5:$E$22=$A9)*('Episode Detail'!$AL$5:$AL$22="No")*'Episode Detail'!$AQ$5:$AQ$22)</f>
        <v>1</v>
      </c>
      <c r="F9" s="42" t="n">
        <f aca="false">SUMIFS('Episode Detail'!$AB$5:$AB$22,'Episode Detail'!$E$5:$E$22,$A9,'Episode Detail'!$AP$5:$AP$22,"Open",'Episode Detail'!$AL$5:$AL$22,"No")</f>
        <v>37260</v>
      </c>
      <c r="G9" s="42" t="n">
        <f aca="false">SUMIFS('Episode Detail'!$AE$5:$AE$22,'Episode Detail'!$E$5:$E$22,$A9,'Episode Detail'!$AL$5:$AL$22,"No")</f>
        <v>0</v>
      </c>
      <c r="H9" s="42" t="n">
        <f aca="false">SUMIFS('Episode Detail'!$AD$5:$AD$22,'Episode Detail'!$E$5:$E$22,$A9,'Episode Detail'!$AL$5:$AL$22,"No")</f>
        <v>0</v>
      </c>
      <c r="I9" s="43" t="str">
        <f aca="false">IFERROR(AVERAGEIFS('Episode Detail'!$Q$5:$Q$22,'Episode Detail'!$E$5:$E$22,$A9,'Episode Detail'!$S$5:$S$22,"Yes",'Episode Detail'!$AL$5:$AL$22,"No"),"")</f>
        <v/>
      </c>
      <c r="J9" s="41" t="n">
        <f aca="false">IFERROR(_xlfn.MAXIFS('Episode Detail'!$Q$5:$Q$22,'Episode Detail'!$E$5:$E$22,$A9,'Episode Detail'!$AP$5:$AP$22,"Open",'Episode Detail'!$AL$5:$AL$22,"No"),"")</f>
        <v>2</v>
      </c>
    </row>
    <row r="10" customFormat="false" ht="15" hidden="false" customHeight="false" outlineLevel="0" collapsed="false">
      <c r="A10" s="5" t="s">
        <v>293</v>
      </c>
      <c r="B10" s="5" t="s">
        <v>294</v>
      </c>
      <c r="C10" s="41" t="n">
        <f aca="false">COUNTIFS('Episode Detail'!$E$5:$E$22,$A10,'Episode Detail'!$AL$5:$AL$22,"No")</f>
        <v>1</v>
      </c>
      <c r="D10" s="41" t="n">
        <f aca="false">SUMPRODUCT(('Episode Detail'!$E$5:$E$22=$A10)*('Episode Detail'!$AL$5:$AL$22="No")*'Episode Detail'!$AR$5:$AR$22)</f>
        <v>1</v>
      </c>
      <c r="E10" s="41" t="n">
        <f aca="false">SUMPRODUCT(('Episode Detail'!$E$5:$E$22=$A10)*('Episode Detail'!$AL$5:$AL$22="No")*'Episode Detail'!$AQ$5:$AQ$22)</f>
        <v>1</v>
      </c>
      <c r="F10" s="42" t="n">
        <f aca="false">SUMIFS('Episode Detail'!$AB$5:$AB$22,'Episode Detail'!$E$5:$E$22,$A10,'Episode Detail'!$AP$5:$AP$22,"Open",'Episode Detail'!$AL$5:$AL$22,"No")</f>
        <v>1892531.52</v>
      </c>
      <c r="G10" s="42" t="n">
        <f aca="false">SUMIFS('Episode Detail'!$AE$5:$AE$22,'Episode Detail'!$E$5:$E$22,$A10,'Episode Detail'!$AL$5:$AL$22,"No")</f>
        <v>0</v>
      </c>
      <c r="H10" s="42" t="n">
        <f aca="false">SUMIFS('Episode Detail'!$AD$5:$AD$22,'Episode Detail'!$E$5:$E$22,$A10,'Episode Detail'!$AL$5:$AL$22,"No")</f>
        <v>0</v>
      </c>
      <c r="I10" s="43" t="n">
        <f aca="false">IFERROR(AVERAGEIFS('Episode Detail'!$Q$5:$Q$22,'Episode Detail'!$E$5:$E$22,$A10,'Episode Detail'!$S$5:$S$22,"Yes",'Episode Detail'!$AL$5:$AL$22,"No"),"")</f>
        <v>2</v>
      </c>
      <c r="J10" s="41" t="n">
        <f aca="false">IFERROR(_xlfn.MAXIFS('Episode Detail'!$Q$5:$Q$22,'Episode Detail'!$E$5:$E$22,$A10,'Episode Detail'!$AP$5:$AP$22,"Open",'Episode Detail'!$AL$5:$AL$22,"No"),"")</f>
        <v>2</v>
      </c>
    </row>
    <row r="11" customFormat="false" ht="15" hidden="false" customHeight="false" outlineLevel="0" collapsed="false">
      <c r="A11" s="5" t="s">
        <v>298</v>
      </c>
      <c r="B11" s="5" t="s">
        <v>228</v>
      </c>
      <c r="C11" s="41" t="n">
        <f aca="false">COUNTIFS('Episode Detail'!$E$5:$E$22,$A11,'Episode Detail'!$AL$5:$AL$22,"No")</f>
        <v>0</v>
      </c>
      <c r="D11" s="41" t="n">
        <f aca="false">SUMPRODUCT(('Episode Detail'!$E$5:$E$22=$A11)*('Episode Detail'!$AL$5:$AL$22="No")*'Episode Detail'!$AR$5:$AR$22)</f>
        <v>0</v>
      </c>
      <c r="E11" s="41" t="n">
        <f aca="false">SUMPRODUCT(('Episode Detail'!$E$5:$E$22=$A11)*('Episode Detail'!$AL$5:$AL$22="No")*'Episode Detail'!$AQ$5:$AQ$22)</f>
        <v>0</v>
      </c>
      <c r="F11" s="42" t="n">
        <f aca="false">SUMIFS('Episode Detail'!$AB$5:$AB$22,'Episode Detail'!$E$5:$E$22,$A11,'Episode Detail'!$AP$5:$AP$22,"Open",'Episode Detail'!$AL$5:$AL$22,"No")</f>
        <v>0</v>
      </c>
      <c r="G11" s="42" t="n">
        <f aca="false">SUMIFS('Episode Detail'!$AE$5:$AE$22,'Episode Detail'!$E$5:$E$22,$A11,'Episode Detail'!$AL$5:$AL$22,"No")</f>
        <v>0</v>
      </c>
      <c r="H11" s="42" t="n">
        <f aca="false">SUMIFS('Episode Detail'!$AD$5:$AD$22,'Episode Detail'!$E$5:$E$22,$A11,'Episode Detail'!$AL$5:$AL$22,"No")</f>
        <v>0</v>
      </c>
      <c r="I11" s="43" t="str">
        <f aca="false">IFERROR(AVERAGEIFS('Episode Detail'!$Q$5:$Q$22,'Episode Detail'!$E$5:$E$22,$A11,'Episode Detail'!$S$5:$S$22,"Yes",'Episode Detail'!$AL$5:$AL$22,"No"),"")</f>
        <v/>
      </c>
      <c r="J11" s="41" t="n">
        <f aca="false">IFERROR(_xlfn.MAXIFS('Episode Detail'!$Q$5:$Q$22,'Episode Detail'!$E$5:$E$22,$A11,'Episode Detail'!$AP$5:$AP$22,"Open",'Episode Detail'!$AL$5:$AL$22,"No"),"")</f>
        <v>0</v>
      </c>
    </row>
    <row r="12" customFormat="false" ht="15" hidden="false" customHeight="false" outlineLevel="0" collapsed="false">
      <c r="A12" s="5" t="s">
        <v>305</v>
      </c>
      <c r="B12" s="5" t="s">
        <v>228</v>
      </c>
      <c r="C12" s="41" t="n">
        <f aca="false">COUNTIFS('Episode Detail'!$E$5:$E$22,$A12,'Episode Detail'!$AL$5:$AL$22,"No")</f>
        <v>2</v>
      </c>
      <c r="D12" s="41" t="n">
        <f aca="false">SUMPRODUCT(('Episode Detail'!$E$5:$E$22=$A12)*('Episode Detail'!$AL$5:$AL$22="No")*'Episode Detail'!$AR$5:$AR$22)</f>
        <v>0</v>
      </c>
      <c r="E12" s="41" t="n">
        <f aca="false">SUMPRODUCT(('Episode Detail'!$E$5:$E$22=$A12)*('Episode Detail'!$AL$5:$AL$22="No")*'Episode Detail'!$AQ$5:$AQ$22)</f>
        <v>0</v>
      </c>
      <c r="F12" s="42" t="n">
        <f aca="false">SUMIFS('Episode Detail'!$AB$5:$AB$22,'Episode Detail'!$E$5:$E$22,$A12,'Episode Detail'!$AP$5:$AP$22,"Open",'Episode Detail'!$AL$5:$AL$22,"No")</f>
        <v>0</v>
      </c>
      <c r="G12" s="42" t="n">
        <f aca="false">SUMIFS('Episode Detail'!$AE$5:$AE$22,'Episode Detail'!$E$5:$E$22,$A12,'Episode Detail'!$AL$5:$AL$22,"No")</f>
        <v>0</v>
      </c>
      <c r="H12" s="42" t="n">
        <f aca="false">SUMIFS('Episode Detail'!$AD$5:$AD$22,'Episode Detail'!$E$5:$E$22,$A12,'Episode Detail'!$AL$5:$AL$22,"No")</f>
        <v>59340.6</v>
      </c>
      <c r="I12" s="43" t="n">
        <f aca="false">IFERROR(AVERAGEIFS('Episode Detail'!$Q$5:$Q$22,'Episode Detail'!$E$5:$E$22,$A12,'Episode Detail'!$S$5:$S$22,"Yes",'Episode Detail'!$AL$5:$AL$22,"No"),"")</f>
        <v>4</v>
      </c>
      <c r="J12" s="41" t="n">
        <f aca="false">IFERROR(_xlfn.MAXIFS('Episode Detail'!$Q$5:$Q$22,'Episode Detail'!$E$5:$E$22,$A12,'Episode Detail'!$AP$5:$AP$22,"Open",'Episode Detail'!$AL$5:$AL$22,"No"),"")</f>
        <v>0</v>
      </c>
    </row>
    <row r="13" customFormat="false" ht="15" hidden="false" customHeight="false" outlineLevel="0" collapsed="false">
      <c r="A13" s="5" t="s">
        <v>312</v>
      </c>
      <c r="B13" s="5" t="s">
        <v>313</v>
      </c>
      <c r="C13" s="41" t="n">
        <f aca="false">COUNTIFS('Episode Detail'!$E$5:$E$22,$A13,'Episode Detail'!$AL$5:$AL$22,"No")</f>
        <v>1</v>
      </c>
      <c r="D13" s="41" t="n">
        <f aca="false">SUMPRODUCT(('Episode Detail'!$E$5:$E$22=$A13)*('Episode Detail'!$AL$5:$AL$22="No")*'Episode Detail'!$AR$5:$AR$22)</f>
        <v>1</v>
      </c>
      <c r="E13" s="41" t="n">
        <f aca="false">SUMPRODUCT(('Episode Detail'!$E$5:$E$22=$A13)*('Episode Detail'!$AL$5:$AL$22="No")*'Episode Detail'!$AQ$5:$AQ$22)</f>
        <v>1</v>
      </c>
      <c r="F13" s="42" t="n">
        <f aca="false">SUMIFS('Episode Detail'!$AB$5:$AB$22,'Episode Detail'!$E$5:$E$22,$A13,'Episode Detail'!$AP$5:$AP$22,"Open",'Episode Detail'!$AL$5:$AL$22,"No")</f>
        <v>2935</v>
      </c>
      <c r="G13" s="42" t="n">
        <f aca="false">SUMIFS('Episode Detail'!$AE$5:$AE$22,'Episode Detail'!$E$5:$E$22,$A13,'Episode Detail'!$AL$5:$AL$22,"No")</f>
        <v>0</v>
      </c>
      <c r="H13" s="42" t="n">
        <f aca="false">SUMIFS('Episode Detail'!$AD$5:$AD$22,'Episode Detail'!$E$5:$E$22,$A13,'Episode Detail'!$AL$5:$AL$22,"No")</f>
        <v>0</v>
      </c>
      <c r="I13" s="43" t="n">
        <f aca="false">IFERROR(AVERAGEIFS('Episode Detail'!$Q$5:$Q$22,'Episode Detail'!$E$5:$E$22,$A13,'Episode Detail'!$S$5:$S$22,"Yes",'Episode Detail'!$AL$5:$AL$22,"No"),"")</f>
        <v>4</v>
      </c>
      <c r="J13" s="41" t="n">
        <f aca="false">IFERROR(_xlfn.MAXIFS('Episode Detail'!$Q$5:$Q$22,'Episode Detail'!$E$5:$E$22,$A13,'Episode Detail'!$AP$5:$AP$22,"Open",'Episode Detail'!$AL$5:$AL$22,"No"),"")</f>
        <v>4</v>
      </c>
    </row>
    <row r="14" customFormat="false" ht="15" hidden="false" customHeight="false" outlineLevel="0" collapsed="false">
      <c r="A14" s="5" t="s">
        <v>318</v>
      </c>
      <c r="B14" s="5" t="s">
        <v>313</v>
      </c>
      <c r="C14" s="41" t="n">
        <f aca="false">COUNTIFS('Episode Detail'!$E$5:$E$22,$A14,'Episode Detail'!$AL$5:$AL$22,"No")</f>
        <v>1</v>
      </c>
      <c r="D14" s="41" t="n">
        <f aca="false">SUMPRODUCT(('Episode Detail'!$E$5:$E$22=$A14)*('Episode Detail'!$AL$5:$AL$22="No")*'Episode Detail'!$AR$5:$AR$22)</f>
        <v>1</v>
      </c>
      <c r="E14" s="41" t="n">
        <f aca="false">SUMPRODUCT(('Episode Detail'!$E$5:$E$22=$A14)*('Episode Detail'!$AL$5:$AL$22="No")*'Episode Detail'!$AQ$5:$AQ$22)</f>
        <v>1</v>
      </c>
      <c r="F14" s="42" t="n">
        <f aca="false">SUMIFS('Episode Detail'!$AB$5:$AB$22,'Episode Detail'!$E$5:$E$22,$A14,'Episode Detail'!$AP$5:$AP$22,"Open",'Episode Detail'!$AL$5:$AL$22,"No")</f>
        <v>19500</v>
      </c>
      <c r="G14" s="42" t="n">
        <f aca="false">SUMIFS('Episode Detail'!$AE$5:$AE$22,'Episode Detail'!$E$5:$E$22,$A14,'Episode Detail'!$AL$5:$AL$22,"No")</f>
        <v>19500</v>
      </c>
      <c r="H14" s="42" t="n">
        <f aca="false">SUMIFS('Episode Detail'!$AD$5:$AD$22,'Episode Detail'!$E$5:$E$22,$A14,'Episode Detail'!$AL$5:$AL$22,"No")</f>
        <v>0</v>
      </c>
      <c r="I14" s="43" t="str">
        <f aca="false">IFERROR(AVERAGEIFS('Episode Detail'!$Q$5:$Q$22,'Episode Detail'!$E$5:$E$22,$A14,'Episode Detail'!$S$5:$S$22,"Yes",'Episode Detail'!$AL$5:$AL$22,"No"),"")</f>
        <v/>
      </c>
      <c r="J14" s="41" t="n">
        <f aca="false">IFERROR(_xlfn.MAXIFS('Episode Detail'!$Q$5:$Q$22,'Episode Detail'!$E$5:$E$22,$A14,'Episode Detail'!$AP$5:$AP$22,"Open",'Episode Detail'!$AL$5:$AL$22,"No"),"")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374</v>
      </c>
    </row>
    <row r="2" customFormat="false" ht="15" hidden="false" customHeight="false" outlineLevel="0" collapsed="false">
      <c r="A2" s="2" t="s">
        <v>375</v>
      </c>
    </row>
    <row r="4" customFormat="false" ht="15" hidden="false" customHeight="false" outlineLevel="0" collapsed="false">
      <c r="A4" s="3" t="s">
        <v>376</v>
      </c>
    </row>
    <row r="5" customFormat="false" ht="21.75" hidden="false" customHeight="true" outlineLevel="0" collapsed="false">
      <c r="A5" s="6" t="s">
        <v>377</v>
      </c>
      <c r="B5" s="6" t="s">
        <v>378</v>
      </c>
      <c r="C5" s="6" t="s">
        <v>379</v>
      </c>
      <c r="D5" s="6" t="s">
        <v>54</v>
      </c>
    </row>
    <row r="6" customFormat="false" ht="15" hidden="false" customHeight="false" outlineLevel="0" collapsed="false">
      <c r="A6" s="5" t="s">
        <v>380</v>
      </c>
      <c r="B6" s="41" t="n">
        <v>84</v>
      </c>
      <c r="C6" s="42" t="n">
        <v>8436411</v>
      </c>
      <c r="D6" s="11" t="s">
        <v>381</v>
      </c>
    </row>
    <row r="7" customFormat="false" ht="15" hidden="false" customHeight="false" outlineLevel="0" collapsed="false">
      <c r="A7" s="5" t="s">
        <v>382</v>
      </c>
      <c r="B7" s="41" t="n">
        <v>-10</v>
      </c>
      <c r="C7" s="42" t="n">
        <v>0</v>
      </c>
      <c r="D7" s="11" t="s">
        <v>383</v>
      </c>
    </row>
    <row r="8" customFormat="false" ht="15" hidden="false" customHeight="false" outlineLevel="0" collapsed="false">
      <c r="A8" s="5" t="s">
        <v>384</v>
      </c>
      <c r="B8" s="41" t="n">
        <v>74</v>
      </c>
      <c r="C8" s="42" t="n">
        <v>8436411</v>
      </c>
      <c r="D8" s="11" t="s">
        <v>385</v>
      </c>
    </row>
    <row r="9" customFormat="false" ht="15" hidden="false" customHeight="false" outlineLevel="0" collapsed="false">
      <c r="A9" s="5" t="s">
        <v>386</v>
      </c>
      <c r="B9" s="44"/>
      <c r="C9" s="42" t="n">
        <v>3861891</v>
      </c>
      <c r="D9" s="11" t="s">
        <v>387</v>
      </c>
    </row>
    <row r="11" customFormat="false" ht="15" hidden="false" customHeight="false" outlineLevel="0" collapsed="false">
      <c r="A11" s="3" t="s">
        <v>388</v>
      </c>
    </row>
    <row r="12" customFormat="false" ht="21.75" hidden="false" customHeight="true" outlineLevel="0" collapsed="false">
      <c r="A12" s="6" t="s">
        <v>389</v>
      </c>
      <c r="B12" s="6" t="s">
        <v>379</v>
      </c>
      <c r="C12" s="6" t="s">
        <v>390</v>
      </c>
    </row>
    <row r="13" customFormat="false" ht="15" hidden="false" customHeight="false" outlineLevel="0" collapsed="false">
      <c r="A13" s="5" t="s">
        <v>391</v>
      </c>
      <c r="B13" s="42" t="n">
        <v>3861891</v>
      </c>
      <c r="C13" s="11" t="s">
        <v>392</v>
      </c>
    </row>
    <row r="14" customFormat="false" ht="15" hidden="false" customHeight="false" outlineLevel="0" collapsed="false">
      <c r="A14" s="5" t="s">
        <v>393</v>
      </c>
      <c r="B14" s="42" t="n">
        <v>-284500</v>
      </c>
      <c r="C14" s="11" t="s">
        <v>394</v>
      </c>
    </row>
    <row r="15" customFormat="false" ht="15" hidden="false" customHeight="false" outlineLevel="0" collapsed="false">
      <c r="A15" s="5" t="s">
        <v>395</v>
      </c>
      <c r="B15" s="42" t="n">
        <v>-12400</v>
      </c>
      <c r="C15" s="11" t="s">
        <v>396</v>
      </c>
    </row>
    <row r="16" customFormat="false" ht="15" hidden="false" customHeight="false" outlineLevel="0" collapsed="false">
      <c r="A16" s="5" t="s">
        <v>397</v>
      </c>
      <c r="B16" s="42" t="n">
        <v>-156300</v>
      </c>
      <c r="C16" s="11" t="s">
        <v>398</v>
      </c>
    </row>
    <row r="17" customFormat="false" ht="15" hidden="false" customHeight="false" outlineLevel="0" collapsed="false">
      <c r="A17" s="5" t="s">
        <v>399</v>
      </c>
      <c r="B17" s="42" t="n">
        <v>-98200</v>
      </c>
      <c r="C17" s="11" t="s">
        <v>400</v>
      </c>
    </row>
    <row r="18" customFormat="false" ht="15" hidden="false" customHeight="false" outlineLevel="0" collapsed="false">
      <c r="A18" s="5" t="s">
        <v>401</v>
      </c>
      <c r="B18" s="42" t="n">
        <v>412800</v>
      </c>
      <c r="C18" s="11" t="s">
        <v>402</v>
      </c>
    </row>
    <row r="19" customFormat="false" ht="15" hidden="false" customHeight="false" outlineLevel="0" collapsed="false">
      <c r="A19" s="5" t="s">
        <v>403</v>
      </c>
      <c r="B19" s="42" t="n">
        <v>0</v>
      </c>
      <c r="C19" s="11" t="s">
        <v>404</v>
      </c>
    </row>
    <row r="20" customFormat="false" ht="15" hidden="false" customHeight="false" outlineLevel="0" collapsed="false">
      <c r="A20" s="45" t="s">
        <v>405</v>
      </c>
      <c r="B20" s="46" t="n">
        <f aca="false">Summary!$B$8-SUM(B13:B19)</f>
        <v>-1448708.18</v>
      </c>
      <c r="C20" s="47" t="s">
        <v>406</v>
      </c>
    </row>
    <row r="21" customFormat="false" ht="15" hidden="false" customHeight="false" outlineLevel="0" collapsed="false">
      <c r="A21" s="15" t="s">
        <v>407</v>
      </c>
      <c r="B21" s="17" t="n">
        <f aca="false">SUM(B13:B20)</f>
        <v>2274582.82</v>
      </c>
      <c r="C21" s="32"/>
    </row>
    <row r="22" customFormat="false" ht="15" hidden="false" customHeight="false" outlineLevel="0" collapsed="false">
      <c r="A22" s="4" t="s">
        <v>408</v>
      </c>
      <c r="B22" s="12" t="n">
        <f aca="false">Summary!$B$8</f>
        <v>2274582.82</v>
      </c>
      <c r="C22" s="44"/>
    </row>
    <row r="23" customFormat="false" ht="15" hidden="false" customHeight="false" outlineLevel="0" collapsed="false">
      <c r="A23" s="48" t="s">
        <v>409</v>
      </c>
      <c r="B23" s="49" t="n">
        <f aca="false">B22-B21</f>
        <v>0</v>
      </c>
      <c r="C23" s="50" t="n">
        <f aca="false">IFERROR(ABS(B23)/B13,"")</f>
        <v>0</v>
      </c>
    </row>
    <row r="24" customFormat="false" ht="15" hidden="false" customHeight="false" outlineLevel="0" collapsed="false">
      <c r="A24" s="4" t="s">
        <v>410</v>
      </c>
      <c r="B24" s="4" t="str">
        <f aca="false">IF(IFERROR(ABS(B23)/B13,1)&lt;=0.005,"PASS","FAIL — raise AcumaticaReconciliationResult, severity high")</f>
        <v>PASS</v>
      </c>
      <c r="C24" s="44"/>
    </row>
    <row r="26" customFormat="false" ht="15" hidden="false" customHeight="false" outlineLevel="0" collapsed="false">
      <c r="A26" s="9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2026-07-26T10:20:26Z</dcterms:created>
  <dc:creator>openpyxl</dc:creator>
  <dc:description/>
  <dc:language>en-US</dc:language>
  <cp:lastModifiedBy/>
  <dcterms:modified xsi:type="dcterms:W3CDTF">2026-07-26T10:20:26Z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