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_rels/sheet4.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Filters &amp; Definitions" sheetId="2" state="visible" r:id="rId4"/>
    <sheet name="Loss by Reason" sheetId="3" state="visible" r:id="rId5"/>
    <sheet name="Episode Detail" sheetId="4" state="visible" r:id="rId6"/>
    <sheet name="Event Log" sheetId="5" state="visible" r:id="rId7"/>
    <sheet name="By Item" sheetId="6" state="visible" r:id="rId8"/>
    <sheet name="By Account" sheetId="7" state="visible" r:id="rId9"/>
    <sheet name="Acumatica Bridge" sheetId="8" state="visible" r:id="rId10"/>
    <sheet name="Lookups" sheetId="9" state="visible" r:id="rId11"/>
  </sheets>
  <definedNames>
    <definedName function="false" hidden="true" localSheetId="3" name="_xlnm._FilterDatabase" vbProcedure="false">'Episode Detail'!$A$4:$AV$25</definedName>
    <definedName function="false" hidden="true" localSheetId="4" name="_xlnm._FilterDatabase" vbProcedure="false">'Event Log'!$A$4:$N$22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<sst xmlns="http://schemas.openxmlformats.org/spreadsheetml/2006/main" count="926" uniqueCount="479">
  <si>
    <t xml:space="preserve">Back order position — audit-trail basis</t>
  </si>
  <si>
    <t xml:space="preserve">Every figure is a formula over Episode Detail. Nothing here is hardcoded. Grain = episode (one order x one item x one occurrence); an order with 3 short items counts as 3 episodes but 1 order.</t>
  </si>
  <si>
    <t xml:space="preserve">Period (opened_at):</t>
  </si>
  <si>
    <t xml:space="preserve">20 – 25 Jul 2026</t>
  </si>
  <si>
    <t xml:space="preserve">Duration basis:</t>
  </si>
  <si>
    <t xml:space="preserve">Working days (Mon–Sat, Sundays &amp; Kenyan holidays excluded)</t>
  </si>
  <si>
    <t xml:space="preserve">Metric</t>
  </si>
  <si>
    <t xml:space="preserve">Value</t>
  </si>
  <si>
    <t xml:space="preserve">Note</t>
  </si>
  <si>
    <t xml:space="preserve">Open backorder episodes (order x item)</t>
  </si>
  <si>
    <t xml:space="preserve">Base grain of the audit trail</t>
  </si>
  <si>
    <t xml:space="preserve">Open back orders (unique)</t>
  </si>
  <si>
    <t xml:space="preserve">DISTINCT order_nbr — comparable to the Acumatica order count</t>
  </si>
  <si>
    <t xml:space="preserve">Open items (unique SKUs)</t>
  </si>
  <si>
    <t xml:space="preserve">DISTINCT inventory_id</t>
  </si>
  <si>
    <t xml:space="preserve">Total order value on back order (KES)</t>
  </si>
  <si>
    <t xml:space="preserve">Value of the SHORT LINES only — see note below</t>
  </si>
  <si>
    <t xml:space="preserve">Open / at-risk value (KES)</t>
  </si>
  <si>
    <t xml:space="preserve">backorder_qty x net price. Recoverable — NOT a loss</t>
  </si>
  <si>
    <t xml:space="preserve">Value already fulfilled (KES)</t>
  </si>
  <si>
    <t xml:space="preserve">shipped_qty x net price</t>
  </si>
  <si>
    <t xml:space="preserve">Overall value fill rate</t>
  </si>
  <si>
    <t xml:space="preserve">Fulfilled / total line value</t>
  </si>
  <si>
    <t xml:space="preserve">Episodes with ZERO qty shipped</t>
  </si>
  <si>
    <t xml:space="preserve">Nothing has left the warehouse on these at all</t>
  </si>
  <si>
    <t xml:space="preserve">Open value on those episodes (KES)</t>
  </si>
  <si>
    <t xml:space="preserve">Hard stockouts</t>
  </si>
  <si>
    <t xml:space="preserve">Episodes older than 7 working days</t>
  </si>
  <si>
    <t xml:space="preserve">Threshold on Lookups</t>
  </si>
  <si>
    <t xml:space="preserve">Open value older than 7 working days (KES)</t>
  </si>
  <si>
    <t xml:space="preserve">Past the channel write-off point</t>
  </si>
  <si>
    <t xml:space="preserve">Flagged ESCALATE</t>
  </si>
  <si>
    <t xml:space="preserve">Aged AND above the value floor</t>
  </si>
  <si>
    <t xml:space="preserve">Audit-trail measures — what the Acumatica screen cannot tell you</t>
  </si>
  <si>
    <t xml:space="preserve">Resolved episodes in period</t>
  </si>
  <si>
    <t xml:space="preserve">Closed out — Acumatica loses these entirely</t>
  </si>
  <si>
    <t xml:space="preserve">Avg time to resolve</t>
  </si>
  <si>
    <t xml:space="preserve">Verified start dates only; backfilled excluded</t>
  </si>
  <si>
    <t xml:space="preserve">Avg time to resolve (label)</t>
  </si>
  <si>
    <t xml:space="preserve">Display form, e.g. 5 Days Delay</t>
  </si>
  <si>
    <t xml:space="preserve">Longest still open (working days)</t>
  </si>
  <si>
    <t xml:space="preserve">Worst live case</t>
  </si>
  <si>
    <t xml:space="preserve">Delayed revenue — shipped late (KES)</t>
  </si>
  <si>
    <t xml:space="preserve">Sale HAPPENED, just late. Not a loss</t>
  </si>
  <si>
    <t xml:space="preserve">Revenue-days delayed (KES-days)</t>
  </si>
  <si>
    <t xml:space="preserve">Weighted service cost — use this to rank causes</t>
  </si>
  <si>
    <t xml:space="preserve">Lost revenue (KES)</t>
  </si>
  <si>
    <t xml:space="preserve">Cancelled, or open past write-off. THIS is loss of sales</t>
  </si>
  <si>
    <t xml:space="preserve">of which PRODUCTION family (KES)</t>
  </si>
  <si>
    <t xml:space="preserve">"Loss of sales due to delayed production"</t>
  </si>
  <si>
    <t xml:space="preserve">Reason coverage</t>
  </si>
  <si>
    <t xml:space="preserve">Every family split is a sample of this size</t>
  </si>
  <si>
    <t xml:space="preserve">Verified start dates</t>
  </si>
  <si>
    <t xml:space="preserve">Backfilled durations are minimums</t>
  </si>
  <si>
    <t xml:space="preserve">By category</t>
  </si>
  <si>
    <t xml:space="preserve">Category</t>
  </si>
  <si>
    <t xml:space="preserve">Episodes (all)</t>
  </si>
  <si>
    <t xml:space="preserve">Open orders</t>
  </si>
  <si>
    <t xml:space="preserve">Order value (KES)</t>
  </si>
  <si>
    <t xml:space="preserve">Open value (KES)</t>
  </si>
  <si>
    <t xml:space="preserve">Fill rate</t>
  </si>
  <si>
    <t xml:space="preserve">Modern Trade T2</t>
  </si>
  <si>
    <t xml:space="preserve">Modern Trade T1</t>
  </si>
  <si>
    <t xml:space="preserve">Pharmacy</t>
  </si>
  <si>
    <t xml:space="preserve">General Trade</t>
  </si>
  <si>
    <t xml:space="preserve">Direct To Consumer (Cash Sale)</t>
  </si>
  <si>
    <t xml:space="preserve">Non Traditional Channels</t>
  </si>
  <si>
    <t xml:space="preserve">(not classified)</t>
  </si>
  <si>
    <t xml:space="preserve">Total</t>
  </si>
  <si>
    <t xml:space="preserve">By age bucket</t>
  </si>
  <si>
    <t xml:space="preserve">Open episodes only. Lower/Upper are editable (blue).</t>
  </si>
  <si>
    <t xml:space="preserve">Age bucket</t>
  </si>
  <si>
    <t xml:space="preserve">Lower</t>
  </si>
  <si>
    <t xml:space="preserve">Upper</t>
  </si>
  <si>
    <t xml:space="preserve">Open episodes</t>
  </si>
  <si>
    <t xml:space="preserve">Same day</t>
  </si>
  <si>
    <t xml:space="preserve">1-3 days</t>
  </si>
  <si>
    <t xml:space="preserve">4-7 days</t>
  </si>
  <si>
    <t xml:space="preserve">8-14 days</t>
  </si>
  <si>
    <t xml:space="preserve">15+ days</t>
  </si>
  <si>
    <t xml:space="preserve">By brand</t>
  </si>
  <si>
    <t xml:space="preserve">Brand derived from Inventory ID prefix via the map on Lookups.</t>
  </si>
  <si>
    <t xml:space="preserve">Brand</t>
  </si>
  <si>
    <t xml:space="preserve">Open SKUs</t>
  </si>
  <si>
    <t xml:space="preserve">Revenue-days delayed</t>
  </si>
  <si>
    <t xml:space="preserve">Avg days delay</t>
  </si>
  <si>
    <t xml:space="preserve">Sifa</t>
  </si>
  <si>
    <t xml:space="preserve">Cosy</t>
  </si>
  <si>
    <t xml:space="preserve">Fay</t>
  </si>
  <si>
    <t xml:space="preserve">Tishu Poa</t>
  </si>
  <si>
    <t xml:space="preserve">Cow &amp; Gate</t>
  </si>
  <si>
    <t xml:space="preserve">(unmapped)</t>
  </si>
  <si>
    <t xml:space="preserve">(unmapped) must always be 0. Anything landing there means an Inventory ID prefix is missing from the brand map on Lookups.</t>
  </si>
  <si>
    <t xml:space="preserve">Reading notes — two definitional differences from the Acumatica screen</t>
  </si>
  <si>
    <t xml:space="preserve">1.  "Total order value on back order" here is the value of the SHORT LINES only. The Acumatica screen shows the value of the WHOLE ORDER, including lines that shipped in full. Acumatica's KES 8,436,411 will therefore always be the larger number — that is correct, not a bug. See the Acumatica Bridge sheet.</t>
  </si>
  <si>
    <t xml:space="preserve">2.  Ageing uses WORKING days (Mon–Sat, Sundays and gazetted holidays excluded). The Acumatica screen has no ageing at all. A "13 Days Delay" here is 16 calendar days.</t>
  </si>
  <si>
    <t xml:space="preserve">3.  Episodes flagged "Excluded from KPI?" = Yes are visible in Episode Detail but sit outside every figure on this page.</t>
  </si>
  <si>
    <t xml:space="preserve">4.  Durations from backfilled start dates are MINIMUMS, labelled "(min.)", and are excluded from every average.</t>
  </si>
  <si>
    <t xml:space="preserve">Filters, provenance &amp; definitions</t>
  </si>
  <si>
    <t xml:space="preserve">TEMPLATE / STRUCTURE DEMO. Sample rows use real order numbers, customers and SKUs from the 23 Jul 2026 extract; quantities and dates are illustrative. In production this sheet is written from the resolved API filter payload.</t>
  </si>
  <si>
    <t xml:space="preserve">PROVENANCE</t>
  </si>
  <si>
    <t xml:space="preserve">Generated at</t>
  </si>
  <si>
    <t xml:space="preserve">2026-07-26 09:15 EAT</t>
  </si>
  <si>
    <t xml:space="preserve">Generated by</t>
  </si>
  <si>
    <t xml:space="preserve">ipay.user@kim-fay.com</t>
  </si>
  <si>
    <t xml:space="preserve">Source</t>
  </si>
  <si>
    <t xml:space="preserve">Acumatica REST API -&gt; backorder_episodes / backorder_line_events</t>
  </si>
  <si>
    <t xml:space="preserve">Sync run id</t>
  </si>
  <si>
    <t xml:space="preserve">48213</t>
  </si>
  <si>
    <t xml:space="preserve">Grain</t>
  </si>
  <si>
    <t xml:space="preserve">One row per (order_nbr, inventory_id, episode_no)</t>
  </si>
  <si>
    <t xml:space="preserve">FILTERS APPLIED — echoed verbatim from the API payload, do not edit</t>
  </si>
  <si>
    <t xml:space="preserve">Filter</t>
  </si>
  <si>
    <t xml:space="preserve">Period basis</t>
  </si>
  <si>
    <t xml:space="preserve">Backorders that STARTED in the period (opened_at)</t>
  </si>
  <si>
    <t xml:space="preserve">Period</t>
  </si>
  <si>
    <t xml:space="preserve">State</t>
  </si>
  <si>
    <t xml:space="preserve">Open + Resolved (All)</t>
  </si>
  <si>
    <t xml:space="preserve">Duration basis</t>
  </si>
  <si>
    <t xml:space="preserve">Working days (Mon–Sat; Sundays &amp; Kenyan gazetted holidays excluded)</t>
  </si>
  <si>
    <t xml:space="preserve">Order type</t>
  </si>
  <si>
    <t xml:space="preserve">SO only</t>
  </si>
  <si>
    <t xml:space="preserve">Reason family</t>
  </si>
  <si>
    <t xml:space="preserve">All</t>
  </si>
  <si>
    <t xml:space="preserve">Category / channel</t>
  </si>
  <si>
    <t xml:space="preserve">Warehouse</t>
  </si>
  <si>
    <t xml:space="preserve">All (FGS, TPFGS)</t>
  </si>
  <si>
    <t xml:space="preserve">Include excluded-from-KPI episodes</t>
  </si>
  <si>
    <t xml:space="preserve">Shown in Episode Detail, outside every KPI</t>
  </si>
  <si>
    <t xml:space="preserve">Include backfilled start dates in durations</t>
  </si>
  <si>
    <t xml:space="preserve">No</t>
  </si>
  <si>
    <t xml:space="preserve">Include zero-value / free lines</t>
  </si>
  <si>
    <t xml:space="preserve">Include internal / cash-sale accounts</t>
  </si>
  <si>
    <t xml:space="preserve">CANONICAL FORMULAS — the agreed definitions</t>
  </si>
  <si>
    <t xml:space="preserve">Measure</t>
  </si>
  <si>
    <t xml:space="preserve">Formula</t>
  </si>
  <si>
    <t xml:space="preserve">net_order_qty</t>
  </si>
  <si>
    <t xml:space="preserve">order_qty - cancelled_qty</t>
  </si>
  <si>
    <t xml:space="preserve">Cancelled qty never counts against fill rate.</t>
  </si>
  <si>
    <t xml:space="preserve">open_qty</t>
  </si>
  <si>
    <t xml:space="preserve">net_order_qty - shipped_qty</t>
  </si>
  <si>
    <t xml:space="preserve">Owed to the customer, including goods already picked.</t>
  </si>
  <si>
    <t xml:space="preserve">backorder_qty</t>
  </si>
  <si>
    <t xml:space="preserve">GREATEST(0, open_qty - qty_on_shipments)</t>
  </si>
  <si>
    <t xml:space="preserve">THE shortage. Excludes goods already on a shipment.</t>
  </si>
  <si>
    <t xml:space="preserve">fill_rate</t>
  </si>
  <si>
    <t xml:space="preserve">shipped_qty / net_order_qty</t>
  </si>
  <si>
    <t xml:space="preserve">Denominator excludes cancelled qty.</t>
  </si>
  <si>
    <t xml:space="preserve">revenue_at_risk</t>
  </si>
  <si>
    <t xml:space="preserve">backorder_qty x net_unit_price</t>
  </si>
  <si>
    <t xml:space="preserve">Still recoverable. NOT a loss.</t>
  </si>
  <si>
    <t xml:space="preserve">days (working)</t>
  </si>
  <si>
    <t xml:space="preserve">Mon–Sat between opened_at and resolved_at (or as-at date)</t>
  </si>
  <si>
    <t xml:space="preserve">Sundays and gazetted holidays excluded.</t>
  </si>
  <si>
    <t xml:space="preserve">days_late</t>
  </si>
  <si>
    <t xml:space="preserve">GREATEST(0, working_days - promised_lead_time)</t>
  </si>
  <si>
    <t xml:space="preserve">Lead time is a Lookups parameter.</t>
  </si>
  <si>
    <t xml:space="preserve">delayed_revenue</t>
  </si>
  <si>
    <t xml:space="preserve">shipped_late_qty x net_unit_price</t>
  </si>
  <si>
    <t xml:space="preserve">Sale HAPPENED, just late. Not a loss.</t>
  </si>
  <si>
    <t xml:space="preserve">revenue_days_delayed</t>
  </si>
  <si>
    <t xml:space="preserve">delayed_revenue x days_late  (KES-days)</t>
  </si>
  <si>
    <t xml:space="preserve">Ranks causes by weighted impact.</t>
  </si>
  <si>
    <t xml:space="preserve">lost_revenue</t>
  </si>
  <si>
    <t xml:space="preserve">cancelled_qty x price, or open value past the write-off threshold</t>
  </si>
  <si>
    <t xml:space="preserve">THIS is loss of sales.</t>
  </si>
  <si>
    <t xml:space="preserve">brand</t>
  </si>
  <si>
    <t xml:space="preserve">Inventory ID prefix -&gt; Lookups brand map</t>
  </si>
  <si>
    <t xml:space="preserve">In production, read from the item master instead.</t>
  </si>
  <si>
    <t xml:space="preserve">Never add Revenue at Risk + Delayed Revenue + Lost Revenue together — they measure different things and overlap.</t>
  </si>
  <si>
    <t xml:space="preserve">Loss by reason family and code</t>
  </si>
  <si>
    <t xml:space="preserve">All 33 Acumatica reason codes map to exactly one family. Family rows are shaded; code rows sit beneath them.</t>
  </si>
  <si>
    <t xml:space="preserve">Family</t>
  </si>
  <si>
    <t xml:space="preserve">Reason code</t>
  </si>
  <si>
    <t xml:space="preserve">True supply shortage?</t>
  </si>
  <si>
    <t xml:space="preserve">Episodes</t>
  </si>
  <si>
    <t xml:space="preserve">Peak qty short</t>
  </si>
  <si>
    <t xml:space="preserve">Delayed revenue (KES)</t>
  </si>
  <si>
    <t xml:space="preserve">PRODUCTION</t>
  </si>
  <si>
    <t xml:space="preserve">— family total —</t>
  </si>
  <si>
    <t xml:space="preserve">Yes</t>
  </si>
  <si>
    <t xml:space="preserve">out_of_stock_production</t>
  </si>
  <si>
    <t xml:space="preserve">production_stockout</t>
  </si>
  <si>
    <t xml:space="preserve">raw_material_stockout</t>
  </si>
  <si>
    <t xml:space="preserve">order_to_make</t>
  </si>
  <si>
    <t xml:space="preserve">conversion_delays</t>
  </si>
  <si>
    <t xml:space="preserve">conversion_issues</t>
  </si>
  <si>
    <t xml:space="preserve">batch_sequence</t>
  </si>
  <si>
    <t xml:space="preserve">wrong_moq</t>
  </si>
  <si>
    <t xml:space="preserve">PROCUREMENT</t>
  </si>
  <si>
    <t xml:space="preserve">out_of_stock_procurement</t>
  </si>
  <si>
    <t xml:space="preserve">out_of_stock_msa</t>
  </si>
  <si>
    <t xml:space="preserve">delayed_supplier_payment</t>
  </si>
  <si>
    <t xml:space="preserve">kebs_stickers</t>
  </si>
  <si>
    <t xml:space="preserve">LOGISTICS</t>
  </si>
  <si>
    <t xml:space="preserve">delay_in_delivery</t>
  </si>
  <si>
    <t xml:space="preserve">transfer_delays</t>
  </si>
  <si>
    <t xml:space="preserve">truck_full</t>
  </si>
  <si>
    <t xml:space="preserve">did_not_pick_on_shipment</t>
  </si>
  <si>
    <t xml:space="preserve">COMMERCIAL</t>
  </si>
  <si>
    <t xml:space="preserve">discontinued</t>
  </si>
  <si>
    <t xml:space="preserve">pb_discontinued</t>
  </si>
  <si>
    <t xml:space="preserve">non_focus</t>
  </si>
  <si>
    <t xml:space="preserve">promo_product</t>
  </si>
  <si>
    <t xml:space="preserve">short_expiry</t>
  </si>
  <si>
    <t xml:space="preserve">npd</t>
  </si>
  <si>
    <t xml:space="preserve">DATA_PROCESS</t>
  </si>
  <si>
    <t xml:space="preserve">delayed_communication</t>
  </si>
  <si>
    <t xml:space="preserve">price_difference</t>
  </si>
  <si>
    <t xml:space="preserve">price_variance</t>
  </si>
  <si>
    <t xml:space="preserve">price_overcharge</t>
  </si>
  <si>
    <t xml:space="preserve">invoicing_error</t>
  </si>
  <si>
    <t xml:space="preserve">stock_variance</t>
  </si>
  <si>
    <t xml:space="preserve">isolation_error</t>
  </si>
  <si>
    <t xml:space="preserve">wrong_product_description</t>
  </si>
  <si>
    <t xml:space="preserve">wrong_code</t>
  </si>
  <si>
    <t xml:space="preserve">system_error</t>
  </si>
  <si>
    <t xml:space="preserve">lpo_error</t>
  </si>
  <si>
    <t xml:space="preserve">UNCLASSIFIED</t>
  </si>
  <si>
    <t xml:space="preserve">(unreasoned)</t>
  </si>
  <si>
    <t xml:space="preserve">Episode Detail — one row per (order, item, occurrence)</t>
  </si>
  <si>
    <t xml:space="preserve">Columns A–M mirror the Acumatica export so the two can sit side by side. Amber columns are live formulas — do not paste over them. Parameters live on Lookups.</t>
  </si>
  <si>
    <t xml:space="preserve">Order Nbr.</t>
  </si>
  <si>
    <t xml:space="preserve">Order Type</t>
  </si>
  <si>
    <t xml:space="preserve">Order Date</t>
  </si>
  <si>
    <t xml:space="preserve">Customer</t>
  </si>
  <si>
    <t xml:space="preserve">Main Account</t>
  </si>
  <si>
    <t xml:space="preserve">Inventory ID</t>
  </si>
  <si>
    <t xml:space="preserve">Item Description</t>
  </si>
  <si>
    <t xml:space="preserve">UOM</t>
  </si>
  <si>
    <t xml:space="preserve">Order Qty</t>
  </si>
  <si>
    <t xml:space="preserve">Unit Price (net)</t>
  </si>
  <si>
    <t xml:space="preserve">Backordered On</t>
  </si>
  <si>
    <t xml:space="preserve">Resolved On</t>
  </si>
  <si>
    <t xml:space="preserve">Window</t>
  </si>
  <si>
    <t xml:space="preserve">Days (calendar)</t>
  </si>
  <si>
    <t xml:space="preserve">Days (working)</t>
  </si>
  <si>
    <t xml:space="preserve">Delay Label</t>
  </si>
  <si>
    <t xml:space="preserve">Start Date Verified?</t>
  </si>
  <si>
    <t xml:space="preserve">Episode No.</t>
  </si>
  <si>
    <t xml:space="preserve">Peak Backorder Qty</t>
  </si>
  <si>
    <t xml:space="preserve">Current Backorder Qty</t>
  </si>
  <si>
    <t xml:space="preserve">Shipped Qty</t>
  </si>
  <si>
    <t xml:space="preserve">Shipped Late Qty</t>
  </si>
  <si>
    <t xml:space="preserve">Cancelled Qty</t>
  </si>
  <si>
    <t xml:space="preserve">Partial Fills</t>
  </si>
  <si>
    <t xml:space="preserve">Fill Rate %</t>
  </si>
  <si>
    <t xml:space="preserve">Line Order Value (KES)</t>
  </si>
  <si>
    <t xml:space="preserve">Revenue at Risk (KES)</t>
  </si>
  <si>
    <t xml:space="preserve">Value Fulfilled (KES)</t>
  </si>
  <si>
    <t xml:space="preserve">Delayed Revenue (KES)</t>
  </si>
  <si>
    <t xml:space="preserve">Revenue-Days Delayed</t>
  </si>
  <si>
    <t xml:space="preserve">Lost Revenue (KES)</t>
  </si>
  <si>
    <t xml:space="preserve">Resolution Type</t>
  </si>
  <si>
    <t xml:space="preserve">Reason Code</t>
  </si>
  <si>
    <t xml:space="preserve">Reason Family</t>
  </si>
  <si>
    <t xml:space="preserve">Reason Notes</t>
  </si>
  <si>
    <t xml:space="preserve">Reason Set By</t>
  </si>
  <si>
    <t xml:space="preserve">Reason Set At</t>
  </si>
  <si>
    <t xml:space="preserve">Escalation Flag</t>
  </si>
  <si>
    <t xml:space="preserve">Excluded from KPI?</t>
  </si>
  <si>
    <t xml:space="preserve">Exclusion Reason</t>
  </si>
  <si>
    <t xml:space="preserve">Sync Run (opened)</t>
  </si>
  <si>
    <t xml:space="preserve">Sync Run (resolved)</t>
  </si>
  <si>
    <t xml:space="preserve">Order 1st open row</t>
  </si>
  <si>
    <t xml:space="preserve">Item 1st open row</t>
  </si>
  <si>
    <t xml:space="preserve">SO363506</t>
  </si>
  <si>
    <t xml:space="preserve">SO</t>
  </si>
  <si>
    <t xml:space="preserve">Khetia Drapers Ltd - Plus</t>
  </si>
  <si>
    <t xml:space="preserve">Khetia Drapers Ltd</t>
  </si>
  <si>
    <t xml:space="preserve">FGS</t>
  </si>
  <si>
    <t xml:space="preserve">SIFTP0015</t>
  </si>
  <si>
    <t xml:space="preserve">Sifa TP Emb. Unwrap. Twinpack 20x2s White</t>
  </si>
  <si>
    <t xml:space="preserve">CASE</t>
  </si>
  <si>
    <t xml:space="preserve">Mill line 2 down 11-14 Jul</t>
  </si>
  <si>
    <t xml:space="preserve">j.mwangi</t>
  </si>
  <si>
    <t xml:space="preserve">SO363491</t>
  </si>
  <si>
    <t xml:space="preserve">Khetia Drapers Ltd - Gigamart</t>
  </si>
  <si>
    <t xml:space="preserve">Same mill event</t>
  </si>
  <si>
    <t xml:space="preserve">SO363495</t>
  </si>
  <si>
    <t xml:space="preserve">Khetia Drapers Ltd - Eldoret CBD</t>
  </si>
  <si>
    <t xml:space="preserve">COSTP0004</t>
  </si>
  <si>
    <t xml:space="preserve">Cosy TP Emb. Wrap. 40s Singles White</t>
  </si>
  <si>
    <t xml:space="preserve">Parent reel short shipped</t>
  </si>
  <si>
    <t xml:space="preserve">SO363507</t>
  </si>
  <si>
    <t xml:space="preserve">Khetia Drapers Ltd - Kakamega Poa</t>
  </si>
  <si>
    <t xml:space="preserve">COSTP0006</t>
  </si>
  <si>
    <t xml:space="preserve">Cosy TP Emb. Unwrap. 4x10s White</t>
  </si>
  <si>
    <t xml:space="preserve">shipped_full</t>
  </si>
  <si>
    <t xml:space="preserve">Cleared on 22 Jul run</t>
  </si>
  <si>
    <t xml:space="preserve">SO363603</t>
  </si>
  <si>
    <t xml:space="preserve">Khetia Drapers Ltd - Thika</t>
  </si>
  <si>
    <t xml:space="preserve">FAYTP0013</t>
  </si>
  <si>
    <t xml:space="preserve">Fay TP Emb. Wrap. 40s Singles White</t>
  </si>
  <si>
    <t xml:space="preserve">shipped_partial</t>
  </si>
  <si>
    <t xml:space="preserve">75 CASE cancelled by buyer</t>
  </si>
  <si>
    <t xml:space="preserve">SO367035</t>
  </si>
  <si>
    <t xml:space="preserve">Majid Al Futtaim Hypermarkets Ltd - Business Bay Square</t>
  </si>
  <si>
    <t xml:space="preserve">Majid Al Futtaim Hypermarkets Ltd</t>
  </si>
  <si>
    <t xml:space="preserve">FAYFL0010</t>
  </si>
  <si>
    <t xml:space="preserve">Fay Aluminium Foil Catering (45x50m)</t>
  </si>
  <si>
    <t xml:space="preserve">ROLL</t>
  </si>
  <si>
    <t xml:space="preserve">Import ETA 29 Jul</t>
  </si>
  <si>
    <t xml:space="preserve">a.otieno</t>
  </si>
  <si>
    <t xml:space="preserve">SO367021</t>
  </si>
  <si>
    <t xml:space="preserve">Majid Al Futtaim Hypermarkets Ltd - The Hub</t>
  </si>
  <si>
    <t xml:space="preserve">Same import</t>
  </si>
  <si>
    <t xml:space="preserve">SO364962</t>
  </si>
  <si>
    <t xml:space="preserve">Quick Mart Ltd- Nakuru Statehouse</t>
  </si>
  <si>
    <t xml:space="preserve">Quick Mart Ltd</t>
  </si>
  <si>
    <t xml:space="preserve">SO364948</t>
  </si>
  <si>
    <t xml:space="preserve">Quick Mart Ltd - Rongai</t>
  </si>
  <si>
    <t xml:space="preserve">FAYCL0009</t>
  </si>
  <si>
    <t xml:space="preserve">Fay Cling Film Catering 30cmx300m GP</t>
  </si>
  <si>
    <t xml:space="preserve">PIECE</t>
  </si>
  <si>
    <t xml:space="preserve">Awaiting converting slot</t>
  </si>
  <si>
    <t xml:space="preserve">SO364955</t>
  </si>
  <si>
    <t xml:space="preserve">Quick Mart Ltd - Nakuru</t>
  </si>
  <si>
    <t xml:space="preserve">SO365985</t>
  </si>
  <si>
    <t xml:space="preserve">Sam West Distributors LTD</t>
  </si>
  <si>
    <t xml:space="preserve">TISTP0008</t>
  </si>
  <si>
    <t xml:space="preserve">Tishu Poa TP Emb. Wrap. 4x10s White 100s</t>
  </si>
  <si>
    <t xml:space="preserve">Inter-warehouse transfer 2 days late</t>
  </si>
  <si>
    <t xml:space="preserve">p.kamau</t>
  </si>
  <si>
    <t xml:space="preserve">SO367051</t>
  </si>
  <si>
    <t xml:space="preserve">Stage Mattresses Ltd</t>
  </si>
  <si>
    <t xml:space="preserve">COWGT0001</t>
  </si>
  <si>
    <t xml:space="preserve">Cow &amp; Gate First 400g</t>
  </si>
  <si>
    <t xml:space="preserve">CAN</t>
  </si>
  <si>
    <t xml:space="preserve">No (estimated)</t>
  </si>
  <si>
    <t xml:space="preserve">MSA allocation pending</t>
  </si>
  <si>
    <t xml:space="preserve">SO367174</t>
  </si>
  <si>
    <t xml:space="preserve">Goodlife Pharmacy Ltd</t>
  </si>
  <si>
    <t xml:space="preserve">COWGT0002</t>
  </si>
  <si>
    <t xml:space="preserve">Cow &amp; Gate Follow Up 400g</t>
  </si>
  <si>
    <t xml:space="preserve">SO367113</t>
  </si>
  <si>
    <t xml:space="preserve">Ava Apotheke Ltd</t>
  </si>
  <si>
    <t xml:space="preserve">SO361051</t>
  </si>
  <si>
    <t xml:space="preserve">Nairobi Java House Ltd</t>
  </si>
  <si>
    <t xml:space="preserve">SIFTP0009</t>
  </si>
  <si>
    <t xml:space="preserve">Sifa TP Emb. Unwrap. 4x10s White</t>
  </si>
  <si>
    <t xml:space="preserve">Free-goods line - excluded</t>
  </si>
  <si>
    <t xml:space="preserve">Free / zero-value promotional line</t>
  </si>
  <si>
    <t xml:space="preserve">SO363484</t>
  </si>
  <si>
    <t xml:space="preserve">Maguna's Superstore (K) Ltd - EMBU</t>
  </si>
  <si>
    <t xml:space="preserve">Maguna's Super Stores (K) Ltd</t>
  </si>
  <si>
    <t xml:space="preserve">FAYTP0008</t>
  </si>
  <si>
    <t xml:space="preserve">Fay TP Emb. Unwrap. 4x10s White</t>
  </si>
  <si>
    <t xml:space="preserve">Picked short on first shipment</t>
  </si>
  <si>
    <t xml:space="preserve">SO363482</t>
  </si>
  <si>
    <t xml:space="preserve">Re-opened after shipment cancel</t>
  </si>
  <si>
    <t xml:space="preserve">SO366429</t>
  </si>
  <si>
    <t xml:space="preserve">Sheal Limited</t>
  </si>
  <si>
    <t xml:space="preserve">TPFGS</t>
  </si>
  <si>
    <t xml:space="preserve">Item code corrected 24 Jul</t>
  </si>
  <si>
    <t xml:space="preserve">c.wanjiru</t>
  </si>
  <si>
    <t xml:space="preserve">SO362943</t>
  </si>
  <si>
    <t xml:space="preserve">Bluewave Multisupplies Ltd</t>
  </si>
  <si>
    <t xml:space="preserve">COSTP0023</t>
  </si>
  <si>
    <t xml:space="preserve">Cosy Poa TP Emb. Wrap. 4x10s White 150s</t>
  </si>
  <si>
    <t xml:space="preserve">Made-to-order, batch not scheduled</t>
  </si>
  <si>
    <t xml:space="preserve">SO362695</t>
  </si>
  <si>
    <t xml:space="preserve">Cash Sale Staff</t>
  </si>
  <si>
    <t xml:space="preserve">FAYWP0026</t>
  </si>
  <si>
    <t xml:space="preserve">Fay Everyday Baby Wet Wipes 72s + 12s</t>
  </si>
  <si>
    <t xml:space="preserve">Bumped from route load</t>
  </si>
  <si>
    <t xml:space="preserve">SO367217</t>
  </si>
  <si>
    <t xml:space="preserve">Sales Promotion - Customers (A&amp;P KimFay)</t>
  </si>
  <si>
    <t xml:space="preserve">A&amp;P sampling stock</t>
  </si>
  <si>
    <t xml:space="preserve">TOTAL</t>
  </si>
  <si>
    <t xml:space="preserve">Event Log — append-only audit trail</t>
  </si>
  <si>
    <t xml:space="preserve">One row per state transition, straight from backorder_line_events. No formulas: this sheet is evidence and must stay immutable. Amber = opened, green = resolved, red = re-opened.</t>
  </si>
  <si>
    <t xml:space="preserve">Episode ID</t>
  </si>
  <si>
    <t xml:space="preserve">Occurred At</t>
  </si>
  <si>
    <t xml:space="preserve">Event Type</t>
  </si>
  <si>
    <t xml:space="preserve">Event Label</t>
  </si>
  <si>
    <t xml:space="preserve">BO Qty Before</t>
  </si>
  <si>
    <t xml:space="preserve">BO Qty After</t>
  </si>
  <si>
    <t xml:space="preserve">Delta Qty</t>
  </si>
  <si>
    <t xml:space="preserve">Delta Value (KES)</t>
  </si>
  <si>
    <t xml:space="preserve">Order Status at Event</t>
  </si>
  <si>
    <t xml:space="preserve">Reason Code at Event</t>
  </si>
  <si>
    <t xml:space="preserve">Actor</t>
  </si>
  <si>
    <t xml:space="preserve">Sync Run ID</t>
  </si>
  <si>
    <t xml:space="preserve">opened</t>
  </si>
  <si>
    <t xml:space="preserve">Entered backorder — 680 CASE short</t>
  </si>
  <si>
    <t xml:space="preserve">Back Order</t>
  </si>
  <si>
    <t xml:space="preserve">system</t>
  </si>
  <si>
    <t xml:space="preserve">reason_set</t>
  </si>
  <si>
    <t xml:space="preserve">Reason set: Out of stock — production</t>
  </si>
  <si>
    <t xml:space="preserve">partial_fill</t>
  </si>
  <si>
    <t xml:space="preserve">Partial fill — 180 CASE shipped</t>
  </si>
  <si>
    <t xml:space="preserve">Partial fill — 80 CASE shipped</t>
  </si>
  <si>
    <t xml:space="preserve">Entered backorder — 514 CASE short</t>
  </si>
  <si>
    <t xml:space="preserve">Partial fill — 214 CASE shipped</t>
  </si>
  <si>
    <t xml:space="preserve">Partial fill — 160 CASE shipped</t>
  </si>
  <si>
    <t xml:space="preserve">resolved</t>
  </si>
  <si>
    <t xml:space="preserve">Resolved — shipped in full (10 working days)</t>
  </si>
  <si>
    <t xml:space="preserve">Shipping</t>
  </si>
  <si>
    <t xml:space="preserve">Entered backorder — 182 CASE short</t>
  </si>
  <si>
    <t xml:space="preserve">Resolved — shipped in full (5 working days)</t>
  </si>
  <si>
    <t xml:space="preserve">Entered backorder — 120 CASE short (episode 1)</t>
  </si>
  <si>
    <t xml:space="preserve">Resolved — picked and shipped</t>
  </si>
  <si>
    <t xml:space="preserve">reopened</t>
  </si>
  <si>
    <t xml:space="preserve">Re-opened — shipment cancelled, 120 CASE short again (episode 2)</t>
  </si>
  <si>
    <t xml:space="preserve">Resolved — shipped in full (1 working day)</t>
  </si>
  <si>
    <t xml:space="preserve">Entered backorder — 24 ROLL short</t>
  </si>
  <si>
    <t xml:space="preserve">Reason set: Out of stock — procurement (import ETA 29 Jul)</t>
  </si>
  <si>
    <t xml:space="preserve">excluded</t>
  </si>
  <si>
    <t xml:space="preserve">Excluded from KPIs — free / zero-value promotional line</t>
  </si>
  <si>
    <t xml:space="preserve">By item — ranked by revenue-days delayed</t>
  </si>
  <si>
    <t xml:space="preserve">Revenue-days delayed is the correct ranking measure: it weights a large order held briefly against a small one held for weeks.</t>
  </si>
  <si>
    <t xml:space="preserve">Description</t>
  </si>
  <si>
    <t xml:space="preserve">Repeat episodes</t>
  </si>
  <si>
    <t xml:space="preserve">By account — main account rollup</t>
  </si>
  <si>
    <t xml:space="preserve">Parent / branch hierarchy comes from AcumaticaCustomer.parent_acumatica_id, matching the dashboard tree.</t>
  </si>
  <si>
    <t xml:space="preserve">Branches affected</t>
  </si>
  <si>
    <t xml:space="preserve">Oldest open (days)</t>
  </si>
  <si>
    <t xml:space="preserve">Reconciliation to the Acumatica Sales Orders screen</t>
  </si>
  <si>
    <t xml:space="preserve">Reference: Order Type = SO, Status = Back Order, Created On 01–23 Jul 2026, snapshot 23/07/2026 17:41 EAT. Gate: unexplained variance must be under 0.5%.</t>
  </si>
  <si>
    <t xml:space="preserve">STEP 1 — Acumatica raw export</t>
  </si>
  <si>
    <t xml:space="preserve">Line</t>
  </si>
  <si>
    <t xml:space="preserve">Orders</t>
  </si>
  <si>
    <t xml:space="preserve">Value (KES)</t>
  </si>
  <si>
    <t xml:space="preserve">Acumatica raw export rows</t>
  </si>
  <si>
    <t xml:space="preserve">The screen repeats an order once per shipment</t>
  </si>
  <si>
    <t xml:space="preserve">less duplicate rows (one per shipment)</t>
  </si>
  <si>
    <t xml:space="preserve">SO361051 x4, SO365985 x3, SO366417 x2 ...</t>
  </si>
  <si>
    <t xml:space="preserve">→ Acumatica DISTINCT orders</t>
  </si>
  <si>
    <t xml:space="preserve">This is the number to quote</t>
  </si>
  <si>
    <t xml:space="preserve">Acumatica "Unbilled Order Total"</t>
  </si>
  <si>
    <t xml:space="preserve">Finance view of open value</t>
  </si>
  <si>
    <t xml:space="preserve">STEP 2 — Bridge to dashboard Open / at-risk value</t>
  </si>
  <si>
    <t xml:space="preserve">Bridge line</t>
  </si>
  <si>
    <t xml:space="preserve">Why it differs</t>
  </si>
  <si>
    <t xml:space="preserve">Acumatica Unbilled Order Total</t>
  </si>
  <si>
    <t xml:space="preserve">Starting point — the ERP figure</t>
  </si>
  <si>
    <t xml:space="preserve">less shipped, not yet invoiced</t>
  </si>
  <si>
    <t xml:space="preserve">Unbilled includes goods already despatched</t>
  </si>
  <si>
    <t xml:space="preserve">less zero-value / free promotional lines</t>
  </si>
  <si>
    <t xml:space="preserve">SO366417 read Unbilled 0 while still Back Order</t>
  </si>
  <si>
    <t xml:space="preserve">less non-SO order types (PP)</t>
  </si>
  <si>
    <t xml:space="preserve">Screen filter said SO but the export leaked 12 PP rows</t>
  </si>
  <si>
    <t xml:space="preserve">less rejected / on-hold headers</t>
  </si>
  <si>
    <t xml:space="preserve">Credit blocks — never reached the warehouse</t>
  </si>
  <si>
    <t xml:space="preserve">less value of lines that shipped in full on a short order</t>
  </si>
  <si>
    <t xml:space="preserve">We value SHORT LINES; Acumatica values the WHOLE ORDER</t>
  </si>
  <si>
    <t xml:space="preserve">plus short lines on "Shipping" headers</t>
  </si>
  <si>
    <t xml:space="preserve">Line is short although the header has moved on</t>
  </si>
  <si>
    <t xml:space="preserve">plus qty picked but not shipped (committed)</t>
  </si>
  <si>
    <t xml:space="preserve">Held OPEN by design — the customer still has nothing</t>
  </si>
  <si>
    <t xml:space="preserve">Sample-data adjustment  ** TEMPLATE ONLY — DELETE IN PRODUCTION **</t>
  </si>
  <si>
    <t xml:space="preserve">Exists only so this template demonstrates a PASSING gate. Real bridge lines are derived from the ledger.</t>
  </si>
  <si>
    <t xml:space="preserve">→ Dashboard Open / at-risk value (expected)</t>
  </si>
  <si>
    <t xml:space="preserve">Dashboard Open / at-risk value (actual, from Summary)</t>
  </si>
  <si>
    <t xml:space="preserve">Unexplained variance</t>
  </si>
  <si>
    <t xml:space="preserve">Reconciled?</t>
  </si>
  <si>
    <t xml:space="preserve">The bridge amounts above are ILLUSTRATIVE. ReconcileWithAcumaticaJob must compute every line from the ledger, not by hand.</t>
  </si>
  <si>
    <t xml:space="preserve">Lookups &amp; parameters</t>
  </si>
  <si>
    <t xml:space="preserve">Blue cells are editable parameters. Episode Detail and Summary read from here — change values here, never in a formula.</t>
  </si>
  <si>
    <t xml:space="preserve">BRAND MAP — Inventory ID prefix to brand</t>
  </si>
  <si>
    <t xml:space="preserve">Prefix (3 char)</t>
  </si>
  <si>
    <t xml:space="preserve">SIF</t>
  </si>
  <si>
    <t xml:space="preserve">COS</t>
  </si>
  <si>
    <t xml:space="preserve">FAY</t>
  </si>
  <si>
    <t xml:space="preserve">TIS</t>
  </si>
  <si>
    <t xml:space="preserve">COW</t>
  </si>
  <si>
    <t xml:space="preserve">In production, brand comes from the item master (item class / brand attribute), not from parsing the code. This prefix map is the fallback and must be kept in sync.</t>
  </si>
  <si>
    <t xml:space="preserve">THRESHOLDS</t>
  </si>
  <si>
    <t xml:space="preserve">Parameter</t>
  </si>
  <si>
    <t xml:space="preserve">Used by</t>
  </si>
  <si>
    <t xml:space="preserve">As-at date</t>
  </si>
  <si>
    <t xml:space="preserve">Ageing of open episodes</t>
  </si>
  <si>
    <t xml:space="preserve">Promised lead time (working days)</t>
  </si>
  <si>
    <t xml:space="preserve">days_late, Revenue-Days Delayed</t>
  </si>
  <si>
    <t xml:space="preserve">Write-off threshold (working days)</t>
  </si>
  <si>
    <t xml:space="preserve">Lost Revenue on open episodes, Aged flag</t>
  </si>
  <si>
    <t xml:space="preserve">ESCALATE value floor (KES)</t>
  </si>
  <si>
    <t xml:space="preserve">High-value floor (KES)</t>
  </si>
</sst>
</file>

<file path=xl/styles.xml><?xml version="1.0" encoding="utf-8"?>
<styleSheet xmlns="http://schemas.openxmlformats.org/spreadsheetml/2006/main">
  <numFmts count="9">
    <numFmt numFmtId="164" formatCode="General"/>
    <numFmt numFmtId="165" formatCode="#,##0"/>
    <numFmt numFmtId="166" formatCode="#,##0;\(#,##0\);\-"/>
    <numFmt numFmtId="167" formatCode="0.0%"/>
    <numFmt numFmtId="168" formatCode="#,##0.0"/>
    <numFmt numFmtId="169" formatCode="@"/>
    <numFmt numFmtId="170" formatCode="dd\-mmm\-yy"/>
    <numFmt numFmtId="171" formatCode="#,##0.00"/>
    <numFmt numFmtId="172" formatCode="dd\-mmm\-yy\ hh:mm"/>
  </numFmts>
  <fonts count="12">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0"/>
      <name val="Arial"/>
      <family val="0"/>
      <charset val="1"/>
    </font>
    <font>
      <b val="true"/>
      <sz val="10"/>
      <color rgb="FFFFFFFF"/>
      <name val="Arial"/>
      <family val="0"/>
      <charset val="1"/>
    </font>
    <font>
      <sz val="10"/>
      <name val="Arial"/>
      <family val="0"/>
      <charset val="1"/>
    </font>
    <font>
      <b val="true"/>
      <sz val="11"/>
      <color rgb="FF1F3864"/>
      <name val="Arial"/>
      <family val="0"/>
      <charset val="1"/>
    </font>
    <font>
      <b val="true"/>
      <sz val="10"/>
      <color rgb="FF0000FF"/>
      <name val="Arial"/>
      <family val="0"/>
      <charset val="1"/>
    </font>
    <font>
      <b val="true"/>
      <sz val="10"/>
      <color rgb="FFC00000"/>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DCE6F1"/>
        <bgColor rgb="FFE2EFDA"/>
      </patternFill>
    </fill>
    <fill>
      <patternFill patternType="solid">
        <fgColor rgb="FFFFF2CC"/>
        <bgColor rgb="FFFCE4D6"/>
      </patternFill>
    </fill>
    <fill>
      <patternFill patternType="solid">
        <fgColor rgb="FFE2EFDA"/>
        <bgColor rgb="FFDCE6F1"/>
      </patternFill>
    </fill>
    <fill>
      <patternFill patternType="solid">
        <fgColor rgb="FFFCE4D6"/>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8" fontId="6" fillId="0" borderId="1" xfId="0" applyFont="true" applyBorder="true" applyAlignment="false" applyProtection="false">
      <alignment horizontal="general" vertical="bottom" textRotation="0" wrapText="false" indent="0" shrinkToFit="false"/>
      <protection locked="true" hidden="false"/>
    </xf>
    <xf numFmtId="169" fontId="6"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5" fontId="6" fillId="3" borderId="1" xfId="0" applyFont="true" applyBorder="true" applyAlignment="false" applyProtection="false">
      <alignment horizontal="general" vertical="bottom" textRotation="0" wrapText="false" indent="0" shrinkToFit="false"/>
      <protection locked="true" hidden="false"/>
    </xf>
    <xf numFmtId="166" fontId="6" fillId="3" borderId="1" xfId="0" applyFont="true" applyBorder="true" applyAlignment="false" applyProtection="false">
      <alignment horizontal="general" vertical="bottom" textRotation="0" wrapText="false" indent="0" shrinkToFit="false"/>
      <protection locked="true" hidden="false"/>
    </xf>
    <xf numFmtId="167" fontId="6" fillId="3" borderId="1" xfId="0" applyFont="tru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8" fontId="6" fillId="3"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71" fontId="8" fillId="0" borderId="1" xfId="0" applyFont="true" applyBorder="true" applyAlignment="false" applyProtection="false">
      <alignment horizontal="general" vertical="bottom" textRotation="0" wrapText="false" indent="0" shrinkToFit="false"/>
      <protection locked="true" hidden="false"/>
    </xf>
    <xf numFmtId="165" fontId="8" fillId="4" borderId="1" xfId="0" applyFont="true" applyBorder="true" applyAlignment="false" applyProtection="false">
      <alignment horizontal="general" vertical="bottom" textRotation="0" wrapText="false" indent="0" shrinkToFit="false"/>
      <protection locked="true" hidden="false"/>
    </xf>
    <xf numFmtId="167" fontId="8" fillId="4" borderId="1" xfId="0" applyFont="true" applyBorder="true" applyAlignment="false" applyProtection="false">
      <alignment horizontal="general" vertical="bottom" textRotation="0" wrapText="false" indent="0" shrinkToFit="false"/>
      <protection locked="true" hidden="false"/>
    </xf>
    <xf numFmtId="166" fontId="8" fillId="4" borderId="1" xfId="0" applyFont="tru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72" fontId="8" fillId="4" borderId="1" xfId="0" applyFont="true" applyBorder="true" applyAlignment="false" applyProtection="false">
      <alignment horizontal="general" vertical="bottom" textRotation="0" wrapText="false" indent="0" shrinkToFit="false"/>
      <protection locked="true" hidden="false"/>
    </xf>
    <xf numFmtId="172" fontId="8" fillId="0"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72" fontId="8" fillId="5" borderId="1" xfId="0" applyFont="true" applyBorder="true" applyAlignment="false" applyProtection="false">
      <alignment horizontal="general" vertical="bottom" textRotation="0" wrapText="false" indent="0" shrinkToFit="false"/>
      <protection locked="true" hidden="false"/>
    </xf>
    <xf numFmtId="166" fontId="8" fillId="5" borderId="1" xfId="0" applyFont="true" applyBorder="true" applyAlignment="false" applyProtection="false">
      <alignment horizontal="general" vertical="bottom" textRotation="0" wrapText="false" indent="0" shrinkToFit="false"/>
      <protection locked="true" hidden="false"/>
    </xf>
    <xf numFmtId="164" fontId="8" fillId="6" borderId="1" xfId="0" applyFont="true" applyBorder="true" applyAlignment="false" applyProtection="false">
      <alignment horizontal="general" vertical="bottom" textRotation="0" wrapText="false" indent="0" shrinkToFit="false"/>
      <protection locked="true" hidden="false"/>
    </xf>
    <xf numFmtId="172" fontId="8" fillId="6" borderId="1" xfId="0" applyFont="true" applyBorder="true" applyAlignment="false" applyProtection="false">
      <alignment horizontal="general" vertical="bottom" textRotation="0" wrapText="false" indent="0" shrinkToFit="false"/>
      <protection locked="true" hidden="false"/>
    </xf>
    <xf numFmtId="166" fontId="8" fillId="6" borderId="1" xfId="0" applyFont="true" applyBorder="true" applyAlignment="false" applyProtection="false">
      <alignment horizontal="general" vertical="bottom" textRotation="0" wrapText="false" indent="0" shrinkToFit="false"/>
      <protection locked="true" hidden="false"/>
    </xf>
    <xf numFmtId="164" fontId="11" fillId="6" borderId="1" xfId="0" applyFont="true" applyBorder="true" applyAlignment="false" applyProtection="false">
      <alignment horizontal="general" vertical="bottom" textRotation="0" wrapText="false" indent="0" shrinkToFit="false"/>
      <protection locked="true" hidden="false"/>
    </xf>
    <xf numFmtId="166" fontId="0" fillId="6" borderId="1" xfId="0" applyFont="false" applyBorder="true" applyAlignment="false" applyProtection="false">
      <alignment horizontal="general" vertical="bottom" textRotation="0" wrapText="false" indent="0" shrinkToFit="false"/>
      <protection locked="true" hidden="false"/>
    </xf>
    <xf numFmtId="164" fontId="5" fillId="6"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6" fontId="6" fillId="4" borderId="1" xfId="0" applyFont="true" applyBorder="true" applyAlignment="false" applyProtection="false">
      <alignment horizontal="general" vertical="bottom" textRotation="0" wrapText="false" indent="0" shrinkToFit="false"/>
      <protection locked="true" hidden="false"/>
    </xf>
    <xf numFmtId="167" fontId="6" fillId="4"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70" fontId="10" fillId="4" borderId="1" xfId="0" applyFont="true" applyBorder="true" applyAlignment="false" applyProtection="false">
      <alignment horizontal="general" vertical="bottom" textRotation="0" wrapText="false" indent="0" shrinkToFit="false"/>
      <protection locked="true" hidden="false"/>
    </xf>
    <xf numFmtId="166" fontId="10" fillId="4"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FFC7CE"/>
          <bgColor rgb="FF000000"/>
        </patternFill>
      </fill>
    </dxf>
    <dxf>
      <fill>
        <patternFill patternType="solid">
          <fgColor rgb="FFFCE4D6"/>
          <bgColor rgb="FF000000"/>
        </patternFill>
      </fill>
    </dxf>
    <dxf>
      <fill>
        <patternFill>
          <bgColor rgb="FFFFC7CE"/>
        </patternFill>
      </fill>
    </dxf>
    <dxf>
      <fill>
        <patternFill>
          <bgColor rgb="FFFCE4D6"/>
        </patternFill>
      </fill>
    </dxf>
    <dxf>
      <fill>
        <patternFill patternType="solid">
          <fgColor rgb="FFE2EFDA"/>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CE4D6"/>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8"/>
    <col collapsed="false" customWidth="true" hidden="false" outlineLevel="0" max="3" min="3" style="0" width="14"/>
    <col collapsed="false" customWidth="true" hidden="false" outlineLevel="0" max="5" min="4" style="0" width="20"/>
    <col collapsed="false" customWidth="true" hidden="false" outlineLevel="0" max="6" min="6" style="0" width="13"/>
    <col collapsed="false" customWidth="true" hidden="false" outlineLevel="0" max="7" min="7" style="0" width="18"/>
    <col collapsed="false" customWidth="true" hidden="false" outlineLevel="0" max="8" min="8" style="0" width="20"/>
    <col collapsed="false" customWidth="true" hidden="false" outlineLevel="0" max="9" min="9" style="0" width="15"/>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c r="B3" s="3" t="s">
        <v>3</v>
      </c>
      <c r="D3" s="2" t="s">
        <v>4</v>
      </c>
      <c r="E3" s="3" t="s">
        <v>5</v>
      </c>
    </row>
    <row r="5" customFormat="false" ht="24" hidden="false" customHeight="true" outlineLevel="0" collapsed="false">
      <c r="A5" s="4" t="s">
        <v>6</v>
      </c>
      <c r="B5" s="4" t="s">
        <v>7</v>
      </c>
      <c r="C5" s="4" t="s">
        <v>8</v>
      </c>
    </row>
    <row r="6" customFormat="false" ht="15" hidden="false" customHeight="false" outlineLevel="0" collapsed="false">
      <c r="A6" s="5" t="s">
        <v>9</v>
      </c>
      <c r="B6" s="6" t="n">
        <f aca="false">COUNTIFS('Episode Detail'!$AT$5:$AT$25,"Open",'Episode Detail'!$AP$5:$AP$25,"No")</f>
        <v>14</v>
      </c>
      <c r="C6" s="7" t="s">
        <v>10</v>
      </c>
    </row>
    <row r="7" customFormat="false" ht="15" hidden="false" customHeight="false" outlineLevel="0" collapsed="false">
      <c r="A7" s="5" t="s">
        <v>11</v>
      </c>
      <c r="B7" s="6" t="n">
        <f aca="false">SUM('Episode Detail'!$AU$5:$AU$25)</f>
        <v>14</v>
      </c>
      <c r="C7" s="7" t="s">
        <v>12</v>
      </c>
    </row>
    <row r="8" customFormat="false" ht="15" hidden="false" customHeight="false" outlineLevel="0" collapsed="false">
      <c r="A8" s="5" t="s">
        <v>13</v>
      </c>
      <c r="B8" s="6" t="n">
        <f aca="false">SUM('Episode Detail'!$AV$5:$AV$25)</f>
        <v>8</v>
      </c>
      <c r="C8" s="7" t="s">
        <v>14</v>
      </c>
    </row>
    <row r="9" customFormat="false" ht="15" hidden="false" customHeight="false" outlineLevel="0" collapsed="false">
      <c r="A9" s="5" t="s">
        <v>15</v>
      </c>
      <c r="B9" s="8" t="n">
        <f aca="false">SUMIFS('Episode Detail'!$AC$5:$AC$25,'Episode Detail'!$AP$5:$AP$25,"No")</f>
        <v>3643902.26</v>
      </c>
      <c r="C9" s="7" t="s">
        <v>16</v>
      </c>
    </row>
    <row r="10" customFormat="false" ht="15" hidden="false" customHeight="false" outlineLevel="0" collapsed="false">
      <c r="A10" s="5" t="s">
        <v>17</v>
      </c>
      <c r="B10" s="8" t="n">
        <f aca="false">SUMIFS('Episode Detail'!$AD$5:$AD$25,'Episode Detail'!$AT$5:$AT$25,"Open",'Episode Detail'!$AP$5:$AP$25,"No")</f>
        <v>2322851.56</v>
      </c>
      <c r="C10" s="7" t="s">
        <v>18</v>
      </c>
    </row>
    <row r="11" customFormat="false" ht="15" hidden="false" customHeight="false" outlineLevel="0" collapsed="false">
      <c r="A11" s="5" t="s">
        <v>19</v>
      </c>
      <c r="B11" s="8" t="n">
        <f aca="false">SUMIFS('Episode Detail'!$AE$5:$AE$25,'Episode Detail'!$AP$5:$AP$25,"No")</f>
        <v>1315553.2</v>
      </c>
      <c r="C11" s="7" t="s">
        <v>20</v>
      </c>
    </row>
    <row r="12" customFormat="false" ht="15" hidden="false" customHeight="false" outlineLevel="0" collapsed="false">
      <c r="A12" s="5" t="s">
        <v>21</v>
      </c>
      <c r="B12" s="9" t="n">
        <f aca="false">IFERROR(B11/B9,"")</f>
        <v>0.361028673694448</v>
      </c>
      <c r="C12" s="7" t="s">
        <v>22</v>
      </c>
    </row>
    <row r="13" customFormat="false" ht="15" hidden="false" customHeight="false" outlineLevel="0" collapsed="false">
      <c r="A13" s="5" t="s">
        <v>23</v>
      </c>
      <c r="B13" s="6" t="n">
        <f aca="false">COUNTIFS('Episode Detail'!$X$5:$X$25,0,'Episode Detail'!$AT$5:$AT$25,"Open",'Episode Detail'!$AP$5:$AP$25,"No")</f>
        <v>11</v>
      </c>
      <c r="C13" s="7" t="s">
        <v>24</v>
      </c>
    </row>
    <row r="14" customFormat="false" ht="15" hidden="false" customHeight="false" outlineLevel="0" collapsed="false">
      <c r="A14" s="5" t="s">
        <v>25</v>
      </c>
      <c r="B14" s="8" t="n">
        <f aca="false">SUMIFS('Episode Detail'!$AD$5:$AD$25,'Episode Detail'!$X$5:$X$25,0,'Episode Detail'!$AT$5:$AT$25,"Open",'Episode Detail'!$AP$5:$AP$25,"No")</f>
        <v>2154793.66</v>
      </c>
      <c r="C14" s="7" t="s">
        <v>26</v>
      </c>
    </row>
    <row r="15" customFormat="false" ht="15" hidden="false" customHeight="false" outlineLevel="0" collapsed="false">
      <c r="A15" s="5" t="s">
        <v>27</v>
      </c>
      <c r="B15" s="6" t="n">
        <f aca="false">COUNTIFS('Episode Detail'!$R$5:$R$25,"&gt;"&amp;Lookups!$B$18,'Episode Detail'!$AT$5:$AT$25,"Open",'Episode Detail'!$AP$5:$AP$25,"No")</f>
        <v>7</v>
      </c>
      <c r="C15" s="7" t="s">
        <v>28</v>
      </c>
    </row>
    <row r="16" customFormat="false" ht="15" hidden="false" customHeight="false" outlineLevel="0" collapsed="false">
      <c r="A16" s="5" t="s">
        <v>29</v>
      </c>
      <c r="B16" s="8" t="n">
        <f aca="false">SUMIFS('Episode Detail'!$AD$5:$AD$25,'Episode Detail'!$R$5:$R$25,"&gt;"&amp;Lookups!$B$18,'Episode Detail'!$AT$5:$AT$25,"Open",'Episode Detail'!$AP$5:$AP$25,"No")</f>
        <v>251151.06</v>
      </c>
      <c r="C16" s="7" t="s">
        <v>30</v>
      </c>
    </row>
    <row r="17" customFormat="false" ht="15" hidden="false" customHeight="false" outlineLevel="0" collapsed="false">
      <c r="A17" s="5" t="s">
        <v>31</v>
      </c>
      <c r="B17" s="6" t="n">
        <f aca="false">COUNTIFS('Episode Detail'!$AO$5:$AO$25,"ESCALATE",'Episode Detail'!$AP$5:$AP$25,"No")</f>
        <v>4</v>
      </c>
      <c r="C17" s="7" t="s">
        <v>32</v>
      </c>
    </row>
    <row r="19" customFormat="false" ht="15" hidden="false" customHeight="false" outlineLevel="0" collapsed="false">
      <c r="A19" s="10" t="s">
        <v>33</v>
      </c>
    </row>
    <row r="20" customFormat="false" ht="24" hidden="false" customHeight="true" outlineLevel="0" collapsed="false">
      <c r="A20" s="4" t="s">
        <v>6</v>
      </c>
      <c r="B20" s="4" t="s">
        <v>7</v>
      </c>
      <c r="C20" s="4" t="s">
        <v>8</v>
      </c>
    </row>
    <row r="21" customFormat="false" ht="15" hidden="false" customHeight="false" outlineLevel="0" collapsed="false">
      <c r="A21" s="5" t="s">
        <v>34</v>
      </c>
      <c r="B21" s="6" t="n">
        <f aca="false">COUNTIFS('Episode Detail'!$AT$5:$AT$25,"Resolved",'Episode Detail'!$AP$5:$AP$25,"No")</f>
        <v>6</v>
      </c>
      <c r="C21" s="7" t="s">
        <v>35</v>
      </c>
    </row>
    <row r="22" customFormat="false" ht="15" hidden="false" customHeight="false" outlineLevel="0" collapsed="false">
      <c r="A22" s="5" t="s">
        <v>36</v>
      </c>
      <c r="B22" s="11" t="n">
        <f aca="false">IFERROR(AVERAGEIFS('Episode Detail'!$R$5:$R$25,'Episode Detail'!$AT$5:$AT$25,"Resolved",'Episode Detail'!$T$5:$T$25,"Yes",'Episode Detail'!$AP$5:$AP$25,"No"),"")</f>
        <v>5.16666666666667</v>
      </c>
      <c r="C22" s="7" t="s">
        <v>37</v>
      </c>
    </row>
    <row r="23" customFormat="false" ht="15" hidden="false" customHeight="false" outlineLevel="0" collapsed="false">
      <c r="A23" s="5" t="s">
        <v>38</v>
      </c>
      <c r="B23" s="12" t="str">
        <f aca="false">IF(B22=0,"Same Day",ROUND(B22,0)&amp;IF(ROUND(B22,0)=1," Day Delay"," Days Delay"))</f>
        <v>5 Days Delay</v>
      </c>
      <c r="C23" s="7" t="s">
        <v>39</v>
      </c>
    </row>
    <row r="24" customFormat="false" ht="15" hidden="false" customHeight="false" outlineLevel="0" collapsed="false">
      <c r="A24" s="5" t="s">
        <v>40</v>
      </c>
      <c r="B24" s="6" t="n">
        <f aca="false">_xlfn.MAXIFS('Episode Detail'!$R$5:$R$25,'Episode Detail'!$AT$5:$AT$25,"Open",'Episode Detail'!$AP$5:$AP$25,"No")</f>
        <v>15</v>
      </c>
      <c r="C24" s="7" t="s">
        <v>41</v>
      </c>
    </row>
    <row r="25" customFormat="false" ht="15" hidden="false" customHeight="false" outlineLevel="0" collapsed="false">
      <c r="A25" s="5" t="s">
        <v>42</v>
      </c>
      <c r="B25" s="8" t="n">
        <f aca="false">SUMIFS('Episode Detail'!$AF$5:$AF$25,'Episode Detail'!$AP$5:$AP$25,"No")</f>
        <v>320811.34</v>
      </c>
      <c r="C25" s="7" t="s">
        <v>43</v>
      </c>
    </row>
    <row r="26" customFormat="false" ht="15" hidden="false" customHeight="false" outlineLevel="0" collapsed="false">
      <c r="A26" s="5" t="s">
        <v>44</v>
      </c>
      <c r="B26" s="8" t="n">
        <f aca="false">SUMIFS('Episode Detail'!$AG$5:$AG$25,'Episode Detail'!$AP$5:$AP$25,"No")</f>
        <v>524947.6</v>
      </c>
      <c r="C26" s="7" t="s">
        <v>45</v>
      </c>
    </row>
    <row r="27" customFormat="false" ht="15" hidden="false" customHeight="false" outlineLevel="0" collapsed="false">
      <c r="A27" s="5" t="s">
        <v>46</v>
      </c>
      <c r="B27" s="8" t="n">
        <f aca="false">SUMIFS('Episode Detail'!$AH$5:$AH$25,'Episode Detail'!$AP$5:$AP$25,"No")</f>
        <v>256648.56</v>
      </c>
      <c r="C27" s="7" t="s">
        <v>47</v>
      </c>
    </row>
    <row r="28" customFormat="false" ht="15" hidden="false" customHeight="false" outlineLevel="0" collapsed="false">
      <c r="A28" s="5" t="s">
        <v>48</v>
      </c>
      <c r="B28" s="8" t="n">
        <f aca="false">SUMIFS('Episode Detail'!$AH$5:$AH$25,'Episode Detail'!$AK$5:$AK$25,"PRODUCTION",'Episode Detail'!$AP$5:$AP$25,"No")</f>
        <v>226138.2</v>
      </c>
      <c r="C28" s="7" t="s">
        <v>49</v>
      </c>
    </row>
    <row r="29" customFormat="false" ht="15" hidden="false" customHeight="false" outlineLevel="0" collapsed="false">
      <c r="A29" s="5" t="s">
        <v>50</v>
      </c>
      <c r="B29" s="9" t="n">
        <f aca="false">IFERROR(COUNTIFS('Episode Detail'!$AJ$5:$AJ$25,"&lt;&gt;(unreasoned)",'Episode Detail'!$AP$5:$AP$25,"No")/COUNTIFS('Episode Detail'!$AP$5:$AP$25,"No"),"")</f>
        <v>0.95</v>
      </c>
      <c r="C29" s="7" t="s">
        <v>51</v>
      </c>
    </row>
    <row r="30" customFormat="false" ht="15" hidden="false" customHeight="false" outlineLevel="0" collapsed="false">
      <c r="A30" s="5" t="s">
        <v>52</v>
      </c>
      <c r="B30" s="9" t="n">
        <f aca="false">IFERROR(COUNTIFS('Episode Detail'!$T$5:$T$25,"Yes",'Episode Detail'!$AP$5:$AP$25,"No")/COUNTIFS('Episode Detail'!$AP$5:$AP$25,"No"),"")</f>
        <v>0.9</v>
      </c>
      <c r="C30" s="7" t="s">
        <v>53</v>
      </c>
    </row>
    <row r="33" customFormat="false" ht="15" hidden="false" customHeight="false" outlineLevel="0" collapsed="false">
      <c r="A33" s="10" t="s">
        <v>54</v>
      </c>
    </row>
    <row r="34" customFormat="false" ht="24" hidden="false" customHeight="true" outlineLevel="0" collapsed="false">
      <c r="A34" s="4" t="s">
        <v>55</v>
      </c>
      <c r="B34" s="4" t="s">
        <v>56</v>
      </c>
      <c r="C34" s="4" t="s">
        <v>57</v>
      </c>
      <c r="D34" s="4" t="s">
        <v>58</v>
      </c>
      <c r="E34" s="4" t="s">
        <v>59</v>
      </c>
      <c r="F34" s="4" t="s">
        <v>60</v>
      </c>
    </row>
    <row r="35" customFormat="false" ht="15" hidden="false" customHeight="false" outlineLevel="0" collapsed="false">
      <c r="A35" s="5" t="s">
        <v>61</v>
      </c>
      <c r="B35" s="13" t="n">
        <f aca="false">COUNTIFS('Episode Detail'!$F$5:$F$25,$A35,'Episode Detail'!$AP$5:$AP$25,"No")</f>
        <v>7</v>
      </c>
      <c r="C35" s="13" t="n">
        <f aca="false">SUMPRODUCT(('Episode Detail'!$F$5:$F$25=$A35)*'Episode Detail'!$AU$5:$AU$25)</f>
        <v>3</v>
      </c>
      <c r="D35" s="14" t="n">
        <f aca="false">SUMIFS('Episode Detail'!$AC$5:$AC$25,'Episode Detail'!$F$5:$F$25,$A35,'Episode Detail'!$AP$5:$AP$25,"No")</f>
        <v>645497</v>
      </c>
      <c r="E35" s="14" t="n">
        <f aca="false">SUMIFS('Episode Detail'!$AD$5:$AD$25,'Episode Detail'!$F$5:$F$25,$A35,'Episode Detail'!$AT$5:$AT$25,"Open",'Episode Detail'!$AP$5:$AP$25,"No")</f>
        <v>168057.9</v>
      </c>
      <c r="F35" s="15" t="n">
        <f aca="false">IFERROR((D35-E35)/D35,"")</f>
        <v>0.739645730344215</v>
      </c>
    </row>
    <row r="36" customFormat="false" ht="15" hidden="false" customHeight="false" outlineLevel="0" collapsed="false">
      <c r="A36" s="5" t="s">
        <v>62</v>
      </c>
      <c r="B36" s="13" t="n">
        <f aca="false">COUNTIFS('Episode Detail'!$F$5:$F$25,$A36,'Episode Detail'!$AP$5:$AP$25,"No")</f>
        <v>5</v>
      </c>
      <c r="C36" s="13" t="n">
        <f aca="false">SUMPRODUCT(('Episode Detail'!$F$5:$F$25=$A36)*'Episode Detail'!$AU$5:$AU$25)</f>
        <v>5</v>
      </c>
      <c r="D36" s="14" t="n">
        <f aca="false">SUMIFS('Episode Detail'!$AC$5:$AC$25,'Episode Detail'!$F$5:$F$25,$A36,'Episode Detail'!$AP$5:$AP$25,"No")</f>
        <v>154298.4</v>
      </c>
      <c r="E36" s="14" t="n">
        <f aca="false">SUMIFS('Episode Detail'!$AD$5:$AD$25,'Episode Detail'!$F$5:$F$25,$A36,'Episode Detail'!$AT$5:$AT$25,"Open",'Episode Detail'!$AP$5:$AP$25,"No")</f>
        <v>154298.4</v>
      </c>
      <c r="F36" s="15" t="n">
        <f aca="false">IFERROR((D36-E36)/D36,"")</f>
        <v>0</v>
      </c>
    </row>
    <row r="37" customFormat="false" ht="15" hidden="false" customHeight="false" outlineLevel="0" collapsed="false">
      <c r="A37" s="5" t="s">
        <v>63</v>
      </c>
      <c r="B37" s="13" t="n">
        <f aca="false">COUNTIFS('Episode Detail'!$F$5:$F$25,$A37,'Episode Detail'!$AP$5:$AP$25,"No")</f>
        <v>2</v>
      </c>
      <c r="C37" s="13" t="n">
        <f aca="false">SUMPRODUCT(('Episode Detail'!$F$5:$F$25=$A37)*'Episode Detail'!$AU$5:$AU$25)</f>
        <v>2</v>
      </c>
      <c r="D37" s="14" t="n">
        <f aca="false">SUMIFS('Episode Detail'!$AC$5:$AC$25,'Episode Detail'!$F$5:$F$25,$A37,'Episode Detail'!$AP$5:$AP$25,"No")</f>
        <v>1937402.82</v>
      </c>
      <c r="E37" s="14" t="n">
        <f aca="false">SUMIFS('Episode Detail'!$AD$5:$AD$25,'Episode Detail'!$F$5:$F$25,$A37,'Episode Detail'!$AT$5:$AT$25,"Open",'Episode Detail'!$AP$5:$AP$25,"No")</f>
        <v>1937402.82</v>
      </c>
      <c r="F37" s="15" t="n">
        <f aca="false">IFERROR((D37-E37)/D37,"")</f>
        <v>0</v>
      </c>
    </row>
    <row r="38" customFormat="false" ht="15" hidden="false" customHeight="false" outlineLevel="0" collapsed="false">
      <c r="A38" s="5" t="s">
        <v>64</v>
      </c>
      <c r="B38" s="13" t="n">
        <f aca="false">COUNTIFS('Episode Detail'!$F$5:$F$25,$A38,'Episode Detail'!$AP$5:$AP$25,"No")</f>
        <v>2</v>
      </c>
      <c r="C38" s="13" t="n">
        <f aca="false">SUMPRODUCT(('Episode Detail'!$F$5:$F$25=$A38)*'Episode Detail'!$AU$5:$AU$25)</f>
        <v>1</v>
      </c>
      <c r="D38" s="14" t="n">
        <f aca="false">SUMIFS('Episode Detail'!$AC$5:$AC$25,'Episode Detail'!$F$5:$F$25,$A38,'Episode Detail'!$AP$5:$AP$25,"No")</f>
        <v>880226.6</v>
      </c>
      <c r="E38" s="14" t="n">
        <f aca="false">SUMIFS('Episode Detail'!$AD$5:$AD$25,'Episode Detail'!$F$5:$F$25,$A38,'Episode Detail'!$AT$5:$AT$25,"Open",'Episode Detail'!$AP$5:$AP$25,"No")</f>
        <v>37260</v>
      </c>
      <c r="F38" s="15" t="n">
        <f aca="false">IFERROR((D38-E38)/D38,"")</f>
        <v>0.957669990886438</v>
      </c>
    </row>
    <row r="39" customFormat="false" ht="15" hidden="false" customHeight="false" outlineLevel="0" collapsed="false">
      <c r="A39" s="5" t="s">
        <v>65</v>
      </c>
      <c r="B39" s="13" t="n">
        <f aca="false">COUNTIFS('Episode Detail'!$F$5:$F$25,$A39,'Episode Detail'!$AP$5:$AP$25,"No")</f>
        <v>1</v>
      </c>
      <c r="C39" s="13" t="n">
        <f aca="false">SUMPRODUCT(('Episode Detail'!$F$5:$F$25=$A39)*'Episode Detail'!$AU$5:$AU$25)</f>
        <v>0</v>
      </c>
      <c r="D39" s="14" t="n">
        <f aca="false">SUMIFS('Episode Detail'!$AC$5:$AC$25,'Episode Detail'!$F$5:$F$25,$A39,'Episode Detail'!$AP$5:$AP$25,"No")</f>
        <v>645</v>
      </c>
      <c r="E39" s="14" t="n">
        <f aca="false">SUMIFS('Episode Detail'!$AD$5:$AD$25,'Episode Detail'!$F$5:$F$25,$A39,'Episode Detail'!$AT$5:$AT$25,"Open",'Episode Detail'!$AP$5:$AP$25,"No")</f>
        <v>0</v>
      </c>
      <c r="F39" s="15" t="n">
        <f aca="false">IFERROR((D39-E39)/D39,"")</f>
        <v>1</v>
      </c>
    </row>
    <row r="40" customFormat="false" ht="15" hidden="false" customHeight="false" outlineLevel="0" collapsed="false">
      <c r="A40" s="5" t="s">
        <v>66</v>
      </c>
      <c r="B40" s="13" t="n">
        <f aca="false">COUNTIFS('Episode Detail'!$F$5:$F$25,$A40,'Episode Detail'!$AP$5:$AP$25,"No")</f>
        <v>1</v>
      </c>
      <c r="C40" s="13" t="n">
        <f aca="false">SUMPRODUCT(('Episode Detail'!$F$5:$F$25=$A40)*'Episode Detail'!$AU$5:$AU$25)</f>
        <v>1</v>
      </c>
      <c r="D40" s="14" t="n">
        <f aca="false">SUMIFS('Episode Detail'!$AC$5:$AC$25,'Episode Detail'!$F$5:$F$25,$A40,'Episode Detail'!$AP$5:$AP$25,"No")</f>
        <v>3397.44</v>
      </c>
      <c r="E40" s="14" t="n">
        <f aca="false">SUMIFS('Episode Detail'!$AD$5:$AD$25,'Episode Detail'!$F$5:$F$25,$A40,'Episode Detail'!$AT$5:$AT$25,"Open",'Episode Detail'!$AP$5:$AP$25,"No")</f>
        <v>3397.44</v>
      </c>
      <c r="F40" s="15" t="n">
        <f aca="false">IFERROR((D40-E40)/D40,"")</f>
        <v>0</v>
      </c>
    </row>
    <row r="41" customFormat="false" ht="15" hidden="false" customHeight="false" outlineLevel="0" collapsed="false">
      <c r="A41" s="5" t="s">
        <v>67</v>
      </c>
      <c r="B41" s="13" t="n">
        <f aca="false">COUNTIFS('Episode Detail'!$F$5:$F$25,$A41,'Episode Detail'!$AP$5:$AP$25,"No")</f>
        <v>2</v>
      </c>
      <c r="C41" s="13" t="n">
        <f aca="false">SUMPRODUCT(('Episode Detail'!$F$5:$F$25=$A41)*'Episode Detail'!$AU$5:$AU$25)</f>
        <v>2</v>
      </c>
      <c r="D41" s="14" t="n">
        <f aca="false">SUMIFS('Episode Detail'!$AC$5:$AC$25,'Episode Detail'!$F$5:$F$25,$A41,'Episode Detail'!$AP$5:$AP$25,"No")</f>
        <v>22435</v>
      </c>
      <c r="E41" s="14" t="n">
        <f aca="false">SUMIFS('Episode Detail'!$AD$5:$AD$25,'Episode Detail'!$F$5:$F$25,$A41,'Episode Detail'!$AT$5:$AT$25,"Open",'Episode Detail'!$AP$5:$AP$25,"No")</f>
        <v>22435</v>
      </c>
      <c r="F41" s="15" t="n">
        <f aca="false">IFERROR((D41-E41)/D41,"")</f>
        <v>0</v>
      </c>
    </row>
    <row r="42" customFormat="false" ht="15" hidden="false" customHeight="false" outlineLevel="0" collapsed="false">
      <c r="A42" s="16" t="s">
        <v>68</v>
      </c>
      <c r="B42" s="17" t="n">
        <f aca="false">SUM(B35:B41)</f>
        <v>20</v>
      </c>
      <c r="C42" s="17" t="n">
        <f aca="false">SUM(C35:C41)</f>
        <v>14</v>
      </c>
      <c r="D42" s="18" t="n">
        <f aca="false">SUM(D35:D41)</f>
        <v>3643902.26</v>
      </c>
      <c r="E42" s="18" t="n">
        <f aca="false">SUM(E35:E41)</f>
        <v>2322851.56</v>
      </c>
      <c r="F42" s="19" t="n">
        <f aca="false">IFERROR((D42-E42)/D42,"")</f>
        <v>0.362537358507525</v>
      </c>
    </row>
    <row r="45" customFormat="false" ht="15" hidden="false" customHeight="false" outlineLevel="0" collapsed="false">
      <c r="A45" s="10" t="s">
        <v>69</v>
      </c>
      <c r="D45" s="2" t="s">
        <v>70</v>
      </c>
    </row>
    <row r="46" customFormat="false" ht="24" hidden="false" customHeight="true" outlineLevel="0" collapsed="false">
      <c r="A46" s="4" t="s">
        <v>71</v>
      </c>
      <c r="B46" s="4" t="s">
        <v>72</v>
      </c>
      <c r="C46" s="4" t="s">
        <v>73</v>
      </c>
      <c r="D46" s="4" t="s">
        <v>74</v>
      </c>
      <c r="E46" s="4" t="s">
        <v>57</v>
      </c>
      <c r="F46" s="4" t="s">
        <v>59</v>
      </c>
    </row>
    <row r="47" customFormat="false" ht="15" hidden="false" customHeight="false" outlineLevel="0" collapsed="false">
      <c r="A47" s="5" t="s">
        <v>75</v>
      </c>
      <c r="B47" s="20" t="n">
        <v>0</v>
      </c>
      <c r="C47" s="20" t="n">
        <v>0</v>
      </c>
      <c r="D47" s="13" t="n">
        <f aca="false">COUNTIFS('Episode Detail'!$R$5:$R$25,"&gt;="&amp;$B47,'Episode Detail'!$R$5:$R$25,"&lt;="&amp;$C47,'Episode Detail'!$AT$5:$AT$25,"Open",'Episode Detail'!$AP$5:$AP$25,"No")</f>
        <v>0</v>
      </c>
      <c r="E47" s="13" t="n">
        <f aca="false">SUMPRODUCT(('Episode Detail'!$R$5:$R$25&gt;=$B47)*('Episode Detail'!$R$5:$R$25&lt;=$C47)*'Episode Detail'!$AU$5:$AU$25)</f>
        <v>0</v>
      </c>
      <c r="F47" s="14" t="n">
        <f aca="false">SUMIFS('Episode Detail'!$AD$5:$AD$25,'Episode Detail'!$R$5:$R$25,"&gt;="&amp;$B47,'Episode Detail'!$R$5:$R$25,"&lt;="&amp;$C47,'Episode Detail'!$AT$5:$AT$25,"Open",'Episode Detail'!$AP$5:$AP$25,"No")</f>
        <v>0</v>
      </c>
    </row>
    <row r="48" customFormat="false" ht="15" hidden="false" customHeight="false" outlineLevel="0" collapsed="false">
      <c r="A48" s="5" t="s">
        <v>76</v>
      </c>
      <c r="B48" s="20" t="n">
        <v>1</v>
      </c>
      <c r="C48" s="20" t="n">
        <v>3</v>
      </c>
      <c r="D48" s="13" t="n">
        <f aca="false">COUNTIFS('Episode Detail'!$R$5:$R$25,"&gt;="&amp;$B48,'Episode Detail'!$R$5:$R$25,"&lt;="&amp;$C48,'Episode Detail'!$AT$5:$AT$25,"Open",'Episode Detail'!$AP$5:$AP$25,"No")</f>
        <v>6</v>
      </c>
      <c r="E48" s="13" t="n">
        <f aca="false">SUMPRODUCT(('Episode Detail'!$R$5:$R$25&gt;=$B48)*('Episode Detail'!$R$5:$R$25&lt;=$C48)*'Episode Detail'!$AU$5:$AU$25)</f>
        <v>6</v>
      </c>
      <c r="F48" s="14" t="n">
        <f aca="false">SUMIFS('Episode Detail'!$AD$5:$AD$25,'Episode Detail'!$R$5:$R$25,"&gt;="&amp;$B48,'Episode Detail'!$R$5:$R$25,"&lt;="&amp;$C48,'Episode Detail'!$AT$5:$AT$25,"Open",'Episode Detail'!$AP$5:$AP$25,"No")</f>
        <v>2068765.5</v>
      </c>
    </row>
    <row r="49" customFormat="false" ht="15" hidden="false" customHeight="false" outlineLevel="0" collapsed="false">
      <c r="A49" s="5" t="s">
        <v>77</v>
      </c>
      <c r="B49" s="20" t="n">
        <v>4</v>
      </c>
      <c r="C49" s="20" t="n">
        <v>7</v>
      </c>
      <c r="D49" s="13" t="n">
        <f aca="false">COUNTIFS('Episode Detail'!$R$5:$R$25,"&gt;="&amp;$B49,'Episode Detail'!$R$5:$R$25,"&lt;="&amp;$C49,'Episode Detail'!$AT$5:$AT$25,"Open",'Episode Detail'!$AP$5:$AP$25,"No")</f>
        <v>1</v>
      </c>
      <c r="E49" s="13" t="n">
        <f aca="false">SUMPRODUCT(('Episode Detail'!$R$5:$R$25&gt;=$B49)*('Episode Detail'!$R$5:$R$25&lt;=$C49)*'Episode Detail'!$AU$5:$AU$25)</f>
        <v>1</v>
      </c>
      <c r="F49" s="14" t="n">
        <f aca="false">SUMIFS('Episode Detail'!$AD$5:$AD$25,'Episode Detail'!$R$5:$R$25,"&gt;="&amp;$B49,'Episode Detail'!$R$5:$R$25,"&lt;="&amp;$C49,'Episode Detail'!$AT$5:$AT$25,"Open",'Episode Detail'!$AP$5:$AP$25,"No")</f>
        <v>2935</v>
      </c>
    </row>
    <row r="50" customFormat="false" ht="15" hidden="false" customHeight="false" outlineLevel="0" collapsed="false">
      <c r="A50" s="5" t="s">
        <v>78</v>
      </c>
      <c r="B50" s="20" t="n">
        <v>8</v>
      </c>
      <c r="C50" s="20" t="n">
        <v>14</v>
      </c>
      <c r="D50" s="13" t="n">
        <f aca="false">COUNTIFS('Episode Detail'!$R$5:$R$25,"&gt;="&amp;$B50,'Episode Detail'!$R$5:$R$25,"&lt;="&amp;$C50,'Episode Detail'!$AT$5:$AT$25,"Open",'Episode Detail'!$AP$5:$AP$25,"No")</f>
        <v>6</v>
      </c>
      <c r="E50" s="13" t="n">
        <f aca="false">SUMPRODUCT(('Episode Detail'!$R$5:$R$25&gt;=$B50)*('Episode Detail'!$R$5:$R$25&lt;=$C50)*'Episode Detail'!$AU$5:$AU$25)</f>
        <v>6</v>
      </c>
      <c r="F50" s="14" t="n">
        <f aca="false">SUMIFS('Episode Detail'!$AD$5:$AD$25,'Episode Detail'!$R$5:$R$25,"&gt;="&amp;$B50,'Episode Detail'!$R$5:$R$25,"&lt;="&amp;$C50,'Episode Detail'!$AT$5:$AT$25,"Open",'Episode Detail'!$AP$5:$AP$25,"No")</f>
        <v>231651.06</v>
      </c>
    </row>
    <row r="51" customFormat="false" ht="15" hidden="false" customHeight="false" outlineLevel="0" collapsed="false">
      <c r="A51" s="5" t="s">
        <v>79</v>
      </c>
      <c r="B51" s="20" t="n">
        <v>15</v>
      </c>
      <c r="C51" s="20" t="n">
        <v>999</v>
      </c>
      <c r="D51" s="13" t="n">
        <f aca="false">COUNTIFS('Episode Detail'!$R$5:$R$25,"&gt;="&amp;$B51,'Episode Detail'!$R$5:$R$25,"&lt;="&amp;$C51,'Episode Detail'!$AT$5:$AT$25,"Open",'Episode Detail'!$AP$5:$AP$25,"No")</f>
        <v>1</v>
      </c>
      <c r="E51" s="13" t="n">
        <f aca="false">SUMPRODUCT(('Episode Detail'!$R$5:$R$25&gt;=$B51)*('Episode Detail'!$R$5:$R$25&lt;=$C51)*'Episode Detail'!$AU$5:$AU$25)</f>
        <v>1</v>
      </c>
      <c r="F51" s="14" t="n">
        <f aca="false">SUMIFS('Episode Detail'!$AD$5:$AD$25,'Episode Detail'!$R$5:$R$25,"&gt;="&amp;$B51,'Episode Detail'!$R$5:$R$25,"&lt;="&amp;$C51,'Episode Detail'!$AT$5:$AT$25,"Open",'Episode Detail'!$AP$5:$AP$25,"No")</f>
        <v>19500</v>
      </c>
    </row>
    <row r="52" customFormat="false" ht="15" hidden="false" customHeight="false" outlineLevel="0" collapsed="false">
      <c r="A52" s="16" t="s">
        <v>68</v>
      </c>
      <c r="B52" s="16"/>
      <c r="C52" s="16"/>
      <c r="D52" s="17" t="n">
        <f aca="false">SUM(D47:D51)</f>
        <v>14</v>
      </c>
      <c r="E52" s="17" t="n">
        <f aca="false">SUM(E47:E51)</f>
        <v>14</v>
      </c>
      <c r="F52" s="18" t="n">
        <f aca="false">SUM(F47:F51)</f>
        <v>2322851.56</v>
      </c>
    </row>
    <row r="55" customFormat="false" ht="15" hidden="false" customHeight="false" outlineLevel="0" collapsed="false">
      <c r="A55" s="10" t="s">
        <v>80</v>
      </c>
      <c r="D55" s="2" t="s">
        <v>81</v>
      </c>
    </row>
    <row r="56" customFormat="false" ht="31.5" hidden="false" customHeight="true" outlineLevel="0" collapsed="false">
      <c r="A56" s="4" t="s">
        <v>82</v>
      </c>
      <c r="B56" s="4" t="s">
        <v>56</v>
      </c>
      <c r="C56" s="4" t="s">
        <v>83</v>
      </c>
      <c r="D56" s="4" t="s">
        <v>58</v>
      </c>
      <c r="E56" s="4" t="s">
        <v>59</v>
      </c>
      <c r="F56" s="4" t="s">
        <v>60</v>
      </c>
      <c r="G56" s="4" t="s">
        <v>46</v>
      </c>
      <c r="H56" s="4" t="s">
        <v>84</v>
      </c>
      <c r="I56" s="4" t="s">
        <v>85</v>
      </c>
    </row>
    <row r="57" customFormat="false" ht="15" hidden="false" customHeight="false" outlineLevel="0" collapsed="false">
      <c r="A57" s="5" t="s">
        <v>86</v>
      </c>
      <c r="B57" s="13" t="n">
        <f aca="false">COUNTIFS('Episode Detail'!$I$5:$I$25,$A57,'Episode Detail'!$AP$5:$AP$25,"No")</f>
        <v>2</v>
      </c>
      <c r="C57" s="13" t="n">
        <f aca="false">SUMPRODUCT(('Episode Detail'!$I$5:$I$25=$A57)*'Episode Detail'!$AV$5:$AV$25)</f>
        <v>1</v>
      </c>
      <c r="D57" s="14" t="n">
        <f aca="false">SUMIFS('Episode Detail'!$AC$5:$AC$25,'Episode Detail'!$I$5:$I$25,$A57,'Episode Detail'!$AP$5:$AP$25,"No")</f>
        <v>348107.1</v>
      </c>
      <c r="E57" s="14" t="n">
        <f aca="false">SUMIFS('Episode Detail'!$AD$5:$AD$25,'Episode Detail'!$I$5:$I$25,$A57,'Episode Detail'!$AT$5:$AT$25,"Open",'Episode Detail'!$AP$5:$AP$25,"No")</f>
        <v>135137.4</v>
      </c>
      <c r="F57" s="15" t="n">
        <f aca="false">IFERROR((D57-E57)/D57,"")</f>
        <v>0.611793611793612</v>
      </c>
      <c r="G57" s="14" t="n">
        <f aca="false">SUMIFS('Episode Detail'!$AH$5:$AH$25,'Episode Detail'!$I$5:$I$25,$A57,'Episode Detail'!$AP$5:$AP$25,"No")</f>
        <v>135137.4</v>
      </c>
      <c r="H57" s="14" t="n">
        <f aca="false">SUMIFS('Episode Detail'!$AG$5:$AG$25,'Episode Detail'!$I$5:$I$25,$A57,'Episode Detail'!$AP$5:$AP$25,"No")</f>
        <v>0</v>
      </c>
      <c r="I57" s="21" t="n">
        <f aca="false">IFERROR(AVERAGEIFS('Episode Detail'!$R$5:$R$25,'Episode Detail'!$I$5:$I$25,$A57,'Episode Detail'!$T$5:$T$25,"Yes",'Episode Detail'!$AP$5:$AP$25,"No"),"")</f>
        <v>13</v>
      </c>
    </row>
    <row r="58" customFormat="false" ht="15" hidden="false" customHeight="false" outlineLevel="0" collapsed="false">
      <c r="A58" s="5" t="s">
        <v>87</v>
      </c>
      <c r="B58" s="13" t="n">
        <f aca="false">COUNTIFS('Episode Detail'!$I$5:$I$25,$A58,'Episode Detail'!$AP$5:$AP$25,"No")</f>
        <v>3</v>
      </c>
      <c r="C58" s="13" t="n">
        <f aca="false">SUMPRODUCT(('Episode Detail'!$I$5:$I$25=$A58)*'Episode Detail'!$AV$5:$AV$25)</f>
        <v>2</v>
      </c>
      <c r="D58" s="14" t="n">
        <f aca="false">SUMIFS('Episode Detail'!$AC$5:$AC$25,'Episode Detail'!$I$5:$I$25,$A58,'Episode Detail'!$AP$5:$AP$25,"No")</f>
        <v>148858.2</v>
      </c>
      <c r="E58" s="14" t="n">
        <f aca="false">SUMIFS('Episode Detail'!$AD$5:$AD$25,'Episode Detail'!$I$5:$I$25,$A58,'Episode Detail'!$AT$5:$AT$25,"Open",'Episode Detail'!$AP$5:$AP$25,"No")</f>
        <v>52420.5</v>
      </c>
      <c r="F58" s="15" t="n">
        <f aca="false">IFERROR((D58-E58)/D58,"")</f>
        <v>0.647849429860095</v>
      </c>
      <c r="G58" s="14" t="n">
        <f aca="false">SUMIFS('Episode Detail'!$AH$5:$AH$25,'Episode Detail'!$I$5:$I$25,$A58,'Episode Detail'!$AP$5:$AP$25,"No")</f>
        <v>52420.5</v>
      </c>
      <c r="H58" s="14" t="n">
        <f aca="false">SUMIFS('Episode Detail'!$AG$5:$AG$25,'Episode Detail'!$I$5:$I$25,$A58,'Episode Detail'!$AP$5:$AP$25,"No")</f>
        <v>265429.6</v>
      </c>
      <c r="I58" s="21" t="n">
        <f aca="false">IFERROR(AVERAGEIFS('Episode Detail'!$R$5:$R$25,'Episode Detail'!$I$5:$I$25,$A58,'Episode Detail'!$T$5:$T$25,"Yes",'Episode Detail'!$AP$5:$AP$25,"No"),"")</f>
        <v>11.5</v>
      </c>
    </row>
    <row r="59" customFormat="false" ht="15" hidden="false" customHeight="false" outlineLevel="0" collapsed="false">
      <c r="A59" s="5" t="s">
        <v>88</v>
      </c>
      <c r="B59" s="13" t="n">
        <f aca="false">COUNTIFS('Episode Detail'!$I$5:$I$25,$A59,'Episode Detail'!$AP$5:$AP$25,"No")</f>
        <v>9</v>
      </c>
      <c r="C59" s="13" t="n">
        <f aca="false">SUMPRODUCT(('Episode Detail'!$I$5:$I$25=$A59)*'Episode Detail'!$AV$5:$AV$25)</f>
        <v>2</v>
      </c>
      <c r="D59" s="14" t="n">
        <f aca="false">SUMIFS('Episode Detail'!$AC$5:$AC$25,'Episode Detail'!$I$5:$I$25,$A59,'Episode Detail'!$AP$5:$AP$25,"No")</f>
        <v>322975.1</v>
      </c>
      <c r="E59" s="14" t="n">
        <f aca="false">SUMIFS('Episode Detail'!$AD$5:$AD$25,'Episode Detail'!$I$5:$I$25,$A59,'Episode Detail'!$AT$5:$AT$25,"Open",'Episode Detail'!$AP$5:$AP$25,"No")</f>
        <v>154298.4</v>
      </c>
      <c r="F59" s="15" t="n">
        <f aca="false">IFERROR((D59-E59)/D59,"")</f>
        <v>0.522259146293321</v>
      </c>
      <c r="G59" s="14" t="n">
        <f aca="false">SUMIFS('Episode Detail'!$AH$5:$AH$25,'Episode Detail'!$I$5:$I$25,$A59,'Episode Detail'!$AP$5:$AP$25,"No")</f>
        <v>69090.66</v>
      </c>
      <c r="H59" s="14" t="n">
        <f aca="false">SUMIFS('Episode Detail'!$AG$5:$AG$25,'Episode Detail'!$I$5:$I$25,$A59,'Episode Detail'!$AP$5:$AP$25,"No")</f>
        <v>259518</v>
      </c>
      <c r="I59" s="21" t="n">
        <f aca="false">IFERROR(AVERAGEIFS('Episode Detail'!$R$5:$R$25,'Episode Detail'!$I$5:$I$25,$A59,'Episode Detail'!$T$5:$T$25,"Yes",'Episode Detail'!$AP$5:$AP$25,"No"),"")</f>
        <v>5.44444444444445</v>
      </c>
    </row>
    <row r="60" customFormat="false" ht="15" hidden="false" customHeight="false" outlineLevel="0" collapsed="false">
      <c r="A60" s="5" t="s">
        <v>89</v>
      </c>
      <c r="B60" s="13" t="n">
        <f aca="false">COUNTIFS('Episode Detail'!$I$5:$I$25,$A60,'Episode Detail'!$AP$5:$AP$25,"No")</f>
        <v>3</v>
      </c>
      <c r="C60" s="13" t="n">
        <f aca="false">SUMPRODUCT(('Episode Detail'!$I$5:$I$25=$A60)*'Episode Detail'!$AV$5:$AV$25)</f>
        <v>1</v>
      </c>
      <c r="D60" s="14" t="n">
        <f aca="false">SUMIFS('Episode Detail'!$AC$5:$AC$25,'Episode Detail'!$I$5:$I$25,$A60,'Episode Detail'!$AP$5:$AP$25,"No")</f>
        <v>849299.04</v>
      </c>
      <c r="E60" s="14" t="n">
        <f aca="false">SUMIFS('Episode Detail'!$AD$5:$AD$25,'Episode Detail'!$I$5:$I$25,$A60,'Episode Detail'!$AT$5:$AT$25,"Open",'Episode Detail'!$AP$5:$AP$25,"No")</f>
        <v>6332.44</v>
      </c>
      <c r="F60" s="15" t="n">
        <f aca="false">IFERROR((D60-E60)/D60,"")</f>
        <v>0.992543921867615</v>
      </c>
      <c r="G60" s="14" t="n">
        <f aca="false">SUMIFS('Episode Detail'!$AH$5:$AH$25,'Episode Detail'!$I$5:$I$25,$A60,'Episode Detail'!$AP$5:$AP$25,"No")</f>
        <v>0</v>
      </c>
      <c r="H60" s="14" t="n">
        <f aca="false">SUMIFS('Episode Detail'!$AG$5:$AG$25,'Episode Detail'!$I$5:$I$25,$A60,'Episode Detail'!$AP$5:$AP$25,"No")</f>
        <v>0</v>
      </c>
      <c r="I60" s="21" t="n">
        <f aca="false">IFERROR(AVERAGEIFS('Episode Detail'!$R$5:$R$25,'Episode Detail'!$I$5:$I$25,$A60,'Episode Detail'!$T$5:$T$25,"Yes",'Episode Detail'!$AP$5:$AP$25,"No"),"")</f>
        <v>2.66666666666667</v>
      </c>
    </row>
    <row r="61" customFormat="false" ht="15" hidden="false" customHeight="false" outlineLevel="0" collapsed="false">
      <c r="A61" s="5" t="s">
        <v>90</v>
      </c>
      <c r="B61" s="13" t="n">
        <f aca="false">COUNTIFS('Episode Detail'!$I$5:$I$25,$A61,'Episode Detail'!$AP$5:$AP$25,"No")</f>
        <v>3</v>
      </c>
      <c r="C61" s="13" t="n">
        <f aca="false">SUMPRODUCT(('Episode Detail'!$I$5:$I$25=$A61)*'Episode Detail'!$AV$5:$AV$25)</f>
        <v>2</v>
      </c>
      <c r="D61" s="14" t="n">
        <f aca="false">SUMIFS('Episode Detail'!$AC$5:$AC$25,'Episode Detail'!$I$5:$I$25,$A61,'Episode Detail'!$AP$5:$AP$25,"No")</f>
        <v>1974662.82</v>
      </c>
      <c r="E61" s="14" t="n">
        <f aca="false">SUMIFS('Episode Detail'!$AD$5:$AD$25,'Episode Detail'!$I$5:$I$25,$A61,'Episode Detail'!$AT$5:$AT$25,"Open",'Episode Detail'!$AP$5:$AP$25,"No")</f>
        <v>1974662.82</v>
      </c>
      <c r="F61" s="15" t="n">
        <f aca="false">IFERROR((D61-E61)/D61,"")</f>
        <v>0</v>
      </c>
      <c r="G61" s="14" t="n">
        <f aca="false">SUMIFS('Episode Detail'!$AH$5:$AH$25,'Episode Detail'!$I$5:$I$25,$A61,'Episode Detail'!$AP$5:$AP$25,"No")</f>
        <v>0</v>
      </c>
      <c r="H61" s="14" t="n">
        <f aca="false">SUMIFS('Episode Detail'!$AG$5:$AG$25,'Episode Detail'!$I$5:$I$25,$A61,'Episode Detail'!$AP$5:$AP$25,"No")</f>
        <v>0</v>
      </c>
      <c r="I61" s="21" t="n">
        <f aca="false">IFERROR(AVERAGEIFS('Episode Detail'!$R$5:$R$25,'Episode Detail'!$I$5:$I$25,$A61,'Episode Detail'!$T$5:$T$25,"Yes",'Episode Detail'!$AP$5:$AP$25,"No"),"")</f>
        <v>2</v>
      </c>
    </row>
    <row r="62" customFormat="false" ht="15" hidden="false" customHeight="false" outlineLevel="0" collapsed="false">
      <c r="A62" s="5" t="s">
        <v>91</v>
      </c>
      <c r="B62" s="13" t="n">
        <f aca="false">COUNTIFS('Episode Detail'!$I$5:$I$25,"(unmapped)",'Episode Detail'!$AP$5:$AP$25,"No")</f>
        <v>0</v>
      </c>
      <c r="C62" s="22"/>
      <c r="D62" s="14" t="n">
        <f aca="false">SUMIFS('Episode Detail'!$AC$5:$AC$25,'Episode Detail'!$I$5:$I$25,"(unmapped)",'Episode Detail'!$AP$5:$AP$25,"No")</f>
        <v>0</v>
      </c>
      <c r="E62" s="14" t="n">
        <f aca="false">SUMIFS('Episode Detail'!$AD$5:$AD$25,'Episode Detail'!$I$5:$I$25,"(unmapped)",'Episode Detail'!$AT$5:$AT$25,"Open",'Episode Detail'!$AP$5:$AP$25,"No")</f>
        <v>0</v>
      </c>
      <c r="F62" s="22"/>
      <c r="G62" s="22"/>
      <c r="H62" s="22"/>
      <c r="I62" s="22"/>
    </row>
    <row r="63" customFormat="false" ht="15" hidden="false" customHeight="false" outlineLevel="0" collapsed="false">
      <c r="A63" s="16" t="s">
        <v>68</v>
      </c>
      <c r="B63" s="17" t="n">
        <f aca="false">SUM(B57:B62)</f>
        <v>20</v>
      </c>
      <c r="C63" s="17" t="n">
        <f aca="false">SUM(C57:C62)</f>
        <v>8</v>
      </c>
      <c r="D63" s="18" t="n">
        <f aca="false">SUM(D57:D62)</f>
        <v>3643902.26</v>
      </c>
      <c r="E63" s="18" t="n">
        <f aca="false">SUM(E57:E62)</f>
        <v>2322851.56</v>
      </c>
      <c r="F63" s="19" t="n">
        <f aca="false">IFERROR((D63-E63)/D63,"")</f>
        <v>0.362537358507525</v>
      </c>
      <c r="G63" s="18" t="n">
        <f aca="false">SUM(G57:G62)</f>
        <v>256648.56</v>
      </c>
      <c r="H63" s="18" t="n">
        <f aca="false">SUM(H57:H62)</f>
        <v>524947.6</v>
      </c>
      <c r="I63" s="16"/>
    </row>
    <row r="64" customFormat="false" ht="15" hidden="false" customHeight="false" outlineLevel="0" collapsed="false">
      <c r="A64" s="23" t="s">
        <v>92</v>
      </c>
    </row>
    <row r="67" customFormat="false" ht="15" hidden="false" customHeight="false" outlineLevel="0" collapsed="false">
      <c r="A67" s="10" t="s">
        <v>93</v>
      </c>
    </row>
    <row r="68" customFormat="false" ht="30" hidden="false" customHeight="true" outlineLevel="0" collapsed="false">
      <c r="A68" s="24" t="s">
        <v>94</v>
      </c>
      <c r="B68" s="24"/>
      <c r="C68" s="24"/>
      <c r="D68" s="24"/>
      <c r="E68" s="24"/>
      <c r="F68" s="24"/>
      <c r="G68" s="24"/>
      <c r="H68" s="24"/>
      <c r="I68" s="24"/>
    </row>
    <row r="69" customFormat="false" ht="30" hidden="false" customHeight="true" outlineLevel="0" collapsed="false">
      <c r="A69" s="24" t="s">
        <v>95</v>
      </c>
      <c r="B69" s="24"/>
      <c r="C69" s="24"/>
      <c r="D69" s="24"/>
      <c r="E69" s="24"/>
      <c r="F69" s="24"/>
      <c r="G69" s="24"/>
      <c r="H69" s="24"/>
      <c r="I69" s="24"/>
    </row>
    <row r="70" customFormat="false" ht="30" hidden="false" customHeight="true" outlineLevel="0" collapsed="false">
      <c r="A70" s="24" t="s">
        <v>96</v>
      </c>
      <c r="B70" s="24"/>
      <c r="C70" s="24"/>
      <c r="D70" s="24"/>
      <c r="E70" s="24"/>
      <c r="F70" s="24"/>
      <c r="G70" s="24"/>
      <c r="H70" s="24"/>
      <c r="I70" s="24"/>
    </row>
    <row r="71" customFormat="false" ht="30" hidden="false" customHeight="true" outlineLevel="0" collapsed="false">
      <c r="A71" s="24" t="s">
        <v>97</v>
      </c>
      <c r="B71" s="24"/>
      <c r="C71" s="24"/>
      <c r="D71" s="24"/>
      <c r="E71" s="24"/>
      <c r="F71" s="24"/>
      <c r="G71" s="24"/>
      <c r="H71" s="24"/>
      <c r="I71" s="24"/>
    </row>
  </sheetData>
  <mergeCells count="4">
    <mergeCell ref="A68:I68"/>
    <mergeCell ref="A69:I69"/>
    <mergeCell ref="A70:I70"/>
    <mergeCell ref="A71:I7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64"/>
    <col collapsed="false" customWidth="true" hidden="false" outlineLevel="0" max="3" min="3" style="0" width="56"/>
  </cols>
  <sheetData>
    <row r="1" customFormat="false" ht="17.35" hidden="false" customHeight="false" outlineLevel="0" collapsed="false">
      <c r="A1" s="1" t="s">
        <v>98</v>
      </c>
    </row>
    <row r="2" customFormat="false" ht="15" hidden="false" customHeight="false" outlineLevel="0" collapsed="false">
      <c r="A2" s="2" t="s">
        <v>99</v>
      </c>
    </row>
    <row r="4" customFormat="false" ht="15" hidden="false" customHeight="false" outlineLevel="0" collapsed="false">
      <c r="A4" s="10" t="s">
        <v>100</v>
      </c>
    </row>
    <row r="5" customFormat="false" ht="15" hidden="false" customHeight="false" outlineLevel="0" collapsed="false">
      <c r="A5" s="25" t="s">
        <v>101</v>
      </c>
      <c r="B5" s="5" t="s">
        <v>102</v>
      </c>
    </row>
    <row r="6" customFormat="false" ht="15" hidden="false" customHeight="false" outlineLevel="0" collapsed="false">
      <c r="A6" s="25" t="s">
        <v>103</v>
      </c>
      <c r="B6" s="5" t="s">
        <v>104</v>
      </c>
    </row>
    <row r="7" customFormat="false" ht="15" hidden="false" customHeight="false" outlineLevel="0" collapsed="false">
      <c r="A7" s="25" t="s">
        <v>105</v>
      </c>
      <c r="B7" s="5" t="s">
        <v>106</v>
      </c>
    </row>
    <row r="8" customFormat="false" ht="15" hidden="false" customHeight="false" outlineLevel="0" collapsed="false">
      <c r="A8" s="25" t="s">
        <v>107</v>
      </c>
      <c r="B8" s="5" t="s">
        <v>108</v>
      </c>
    </row>
    <row r="9" customFormat="false" ht="15" hidden="false" customHeight="false" outlineLevel="0" collapsed="false">
      <c r="A9" s="25" t="s">
        <v>109</v>
      </c>
      <c r="B9" s="5" t="s">
        <v>110</v>
      </c>
    </row>
    <row r="11" customFormat="false" ht="15" hidden="false" customHeight="false" outlineLevel="0" collapsed="false">
      <c r="A11" s="10" t="s">
        <v>111</v>
      </c>
    </row>
    <row r="12" customFormat="false" ht="21.75" hidden="false" customHeight="true" outlineLevel="0" collapsed="false">
      <c r="A12" s="4" t="s">
        <v>112</v>
      </c>
      <c r="B12" s="4" t="s">
        <v>7</v>
      </c>
    </row>
    <row r="13" customFormat="false" ht="15" hidden="false" customHeight="false" outlineLevel="0" collapsed="false">
      <c r="A13" s="5" t="s">
        <v>113</v>
      </c>
      <c r="B13" s="5" t="s">
        <v>114</v>
      </c>
    </row>
    <row r="14" customFormat="false" ht="15" hidden="false" customHeight="false" outlineLevel="0" collapsed="false">
      <c r="A14" s="5" t="s">
        <v>115</v>
      </c>
      <c r="B14" s="5" t="s">
        <v>3</v>
      </c>
    </row>
    <row r="15" customFormat="false" ht="15" hidden="false" customHeight="false" outlineLevel="0" collapsed="false">
      <c r="A15" s="5" t="s">
        <v>116</v>
      </c>
      <c r="B15" s="5" t="s">
        <v>117</v>
      </c>
    </row>
    <row r="16" customFormat="false" ht="15" hidden="false" customHeight="false" outlineLevel="0" collapsed="false">
      <c r="A16" s="5" t="s">
        <v>118</v>
      </c>
      <c r="B16" s="5" t="s">
        <v>119</v>
      </c>
    </row>
    <row r="17" customFormat="false" ht="15" hidden="false" customHeight="false" outlineLevel="0" collapsed="false">
      <c r="A17" s="5" t="s">
        <v>120</v>
      </c>
      <c r="B17" s="5" t="s">
        <v>121</v>
      </c>
    </row>
    <row r="18" customFormat="false" ht="15" hidden="false" customHeight="false" outlineLevel="0" collapsed="false">
      <c r="A18" s="5" t="s">
        <v>122</v>
      </c>
      <c r="B18" s="5" t="s">
        <v>123</v>
      </c>
    </row>
    <row r="19" customFormat="false" ht="15" hidden="false" customHeight="false" outlineLevel="0" collapsed="false">
      <c r="A19" s="5" t="s">
        <v>124</v>
      </c>
      <c r="B19" s="5" t="s">
        <v>123</v>
      </c>
    </row>
    <row r="20" customFormat="false" ht="15" hidden="false" customHeight="false" outlineLevel="0" collapsed="false">
      <c r="A20" s="5" t="s">
        <v>82</v>
      </c>
      <c r="B20" s="5" t="s">
        <v>123</v>
      </c>
    </row>
    <row r="21" customFormat="false" ht="15" hidden="false" customHeight="false" outlineLevel="0" collapsed="false">
      <c r="A21" s="5" t="s">
        <v>125</v>
      </c>
      <c r="B21" s="5" t="s">
        <v>126</v>
      </c>
    </row>
    <row r="22" customFormat="false" ht="15" hidden="false" customHeight="false" outlineLevel="0" collapsed="false">
      <c r="A22" s="5" t="s">
        <v>127</v>
      </c>
      <c r="B22" s="5" t="s">
        <v>128</v>
      </c>
    </row>
    <row r="23" customFormat="false" ht="15" hidden="false" customHeight="false" outlineLevel="0" collapsed="false">
      <c r="A23" s="5" t="s">
        <v>129</v>
      </c>
      <c r="B23" s="5" t="s">
        <v>130</v>
      </c>
    </row>
    <row r="24" customFormat="false" ht="15" hidden="false" customHeight="false" outlineLevel="0" collapsed="false">
      <c r="A24" s="5" t="s">
        <v>131</v>
      </c>
      <c r="B24" s="5" t="s">
        <v>130</v>
      </c>
    </row>
    <row r="25" customFormat="false" ht="15" hidden="false" customHeight="false" outlineLevel="0" collapsed="false">
      <c r="A25" s="5" t="s">
        <v>132</v>
      </c>
      <c r="B25" s="5" t="s">
        <v>130</v>
      </c>
    </row>
    <row r="27" customFormat="false" ht="15" hidden="false" customHeight="false" outlineLevel="0" collapsed="false">
      <c r="A27" s="10" t="s">
        <v>133</v>
      </c>
    </row>
    <row r="28" customFormat="false" ht="21.75" hidden="false" customHeight="true" outlineLevel="0" collapsed="false">
      <c r="A28" s="4" t="s">
        <v>134</v>
      </c>
      <c r="B28" s="4" t="s">
        <v>135</v>
      </c>
      <c r="C28" s="4" t="s">
        <v>8</v>
      </c>
    </row>
    <row r="29" customFormat="false" ht="27.75" hidden="false" customHeight="true" outlineLevel="0" collapsed="false">
      <c r="A29" s="26" t="s">
        <v>136</v>
      </c>
      <c r="B29" s="27" t="s">
        <v>137</v>
      </c>
      <c r="C29" s="27" t="s">
        <v>138</v>
      </c>
    </row>
    <row r="30" customFormat="false" ht="27.75" hidden="false" customHeight="true" outlineLevel="0" collapsed="false">
      <c r="A30" s="26" t="s">
        <v>139</v>
      </c>
      <c r="B30" s="27" t="s">
        <v>140</v>
      </c>
      <c r="C30" s="27" t="s">
        <v>141</v>
      </c>
    </row>
    <row r="31" customFormat="false" ht="27.75" hidden="false" customHeight="true" outlineLevel="0" collapsed="false">
      <c r="A31" s="26" t="s">
        <v>142</v>
      </c>
      <c r="B31" s="27" t="s">
        <v>143</v>
      </c>
      <c r="C31" s="27" t="s">
        <v>144</v>
      </c>
    </row>
    <row r="32" customFormat="false" ht="27.75" hidden="false" customHeight="true" outlineLevel="0" collapsed="false">
      <c r="A32" s="26" t="s">
        <v>145</v>
      </c>
      <c r="B32" s="27" t="s">
        <v>146</v>
      </c>
      <c r="C32" s="27" t="s">
        <v>147</v>
      </c>
    </row>
    <row r="33" customFormat="false" ht="27.75" hidden="false" customHeight="true" outlineLevel="0" collapsed="false">
      <c r="A33" s="26" t="s">
        <v>148</v>
      </c>
      <c r="B33" s="27" t="s">
        <v>149</v>
      </c>
      <c r="C33" s="27" t="s">
        <v>150</v>
      </c>
    </row>
    <row r="34" customFormat="false" ht="27.75" hidden="false" customHeight="true" outlineLevel="0" collapsed="false">
      <c r="A34" s="26" t="s">
        <v>151</v>
      </c>
      <c r="B34" s="27" t="s">
        <v>152</v>
      </c>
      <c r="C34" s="27" t="s">
        <v>153</v>
      </c>
    </row>
    <row r="35" customFormat="false" ht="27.75" hidden="false" customHeight="true" outlineLevel="0" collapsed="false">
      <c r="A35" s="26" t="s">
        <v>154</v>
      </c>
      <c r="B35" s="27" t="s">
        <v>155</v>
      </c>
      <c r="C35" s="27" t="s">
        <v>156</v>
      </c>
    </row>
    <row r="36" customFormat="false" ht="27.75" hidden="false" customHeight="true" outlineLevel="0" collapsed="false">
      <c r="A36" s="26" t="s">
        <v>157</v>
      </c>
      <c r="B36" s="27" t="s">
        <v>158</v>
      </c>
      <c r="C36" s="27" t="s">
        <v>159</v>
      </c>
    </row>
    <row r="37" customFormat="false" ht="27.75" hidden="false" customHeight="true" outlineLevel="0" collapsed="false">
      <c r="A37" s="26" t="s">
        <v>160</v>
      </c>
      <c r="B37" s="27" t="s">
        <v>161</v>
      </c>
      <c r="C37" s="27" t="s">
        <v>162</v>
      </c>
    </row>
    <row r="38" customFormat="false" ht="27.75" hidden="false" customHeight="true" outlineLevel="0" collapsed="false">
      <c r="A38" s="26" t="s">
        <v>163</v>
      </c>
      <c r="B38" s="27" t="s">
        <v>164</v>
      </c>
      <c r="C38" s="27" t="s">
        <v>165</v>
      </c>
    </row>
    <row r="39" customFormat="false" ht="27.75" hidden="false" customHeight="true" outlineLevel="0" collapsed="false">
      <c r="A39" s="26" t="s">
        <v>166</v>
      </c>
      <c r="B39" s="27" t="s">
        <v>167</v>
      </c>
      <c r="C39" s="27" t="s">
        <v>168</v>
      </c>
    </row>
    <row r="41" customFormat="false" ht="15" hidden="false" customHeight="false" outlineLevel="0" collapsed="false">
      <c r="A41" s="23" t="s">
        <v>169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2"/>
    <col collapsed="false" customWidth="true" hidden="false" outlineLevel="0" max="3" min="3" style="0" width="20"/>
    <col collapsed="false" customWidth="true" hidden="false" outlineLevel="0" max="4" min="4" style="0" width="11"/>
    <col collapsed="false" customWidth="true" hidden="false" outlineLevel="0" max="5" min="5" style="0" width="14"/>
    <col collapsed="false" customWidth="true" hidden="false" outlineLevel="0" max="6" min="6" style="0" width="18"/>
    <col collapsed="false" customWidth="true" hidden="false" outlineLevel="0" max="8" min="7" style="0" width="20"/>
    <col collapsed="false" customWidth="true" hidden="false" outlineLevel="0" max="9" min="9" style="0" width="17"/>
    <col collapsed="false" customWidth="true" hidden="false" outlineLevel="0" max="10" min="10" style="0" width="15"/>
  </cols>
  <sheetData>
    <row r="1" customFormat="false" ht="17.35" hidden="false" customHeight="false" outlineLevel="0" collapsed="false">
      <c r="A1" s="1" t="s">
        <v>170</v>
      </c>
    </row>
    <row r="2" customFormat="false" ht="15" hidden="false" customHeight="false" outlineLevel="0" collapsed="false">
      <c r="A2" s="2" t="s">
        <v>171</v>
      </c>
    </row>
    <row r="4" customFormat="false" ht="42" hidden="false" customHeight="true" outlineLevel="0" collapsed="false">
      <c r="A4" s="4" t="s">
        <v>172</v>
      </c>
      <c r="B4" s="4" t="s">
        <v>173</v>
      </c>
      <c r="C4" s="4" t="s">
        <v>174</v>
      </c>
      <c r="D4" s="4" t="s">
        <v>175</v>
      </c>
      <c r="E4" s="4" t="s">
        <v>176</v>
      </c>
      <c r="F4" s="4" t="s">
        <v>59</v>
      </c>
      <c r="G4" s="4" t="s">
        <v>177</v>
      </c>
      <c r="H4" s="4" t="s">
        <v>84</v>
      </c>
      <c r="I4" s="4" t="s">
        <v>46</v>
      </c>
      <c r="J4" s="4" t="s">
        <v>85</v>
      </c>
    </row>
    <row r="5" customFormat="false" ht="15" hidden="false" customHeight="false" outlineLevel="0" collapsed="false">
      <c r="A5" s="16" t="s">
        <v>178</v>
      </c>
      <c r="B5" s="16" t="s">
        <v>179</v>
      </c>
      <c r="C5" s="16" t="s">
        <v>180</v>
      </c>
      <c r="D5" s="17" t="n">
        <f aca="false">COUNTIFS('Episode Detail'!$AK$5:$AK$25,$A5,'Episode Detail'!$AP$5:$AP$25,"No")</f>
        <v>8</v>
      </c>
      <c r="E5" s="18" t="n">
        <f aca="false">SUMIFS('Episode Detail'!$V$5:$V$25,'Episode Detail'!$AK$5:$AK$25,$A5,'Episode Detail'!$AP$5:$AP$25,"No")</f>
        <v>3080</v>
      </c>
      <c r="F5" s="18" t="n">
        <f aca="false">SUMIFS('Episode Detail'!$AD$5:$AD$25,'Episode Detail'!$AK$5:$AK$25,$A5,'Episode Detail'!$AT$5:$AT$25,"Open",'Episode Detail'!$AP$5:$AP$25,"No")</f>
        <v>220640.7</v>
      </c>
      <c r="G5" s="18" t="n">
        <f aca="false">SUMIFS('Episode Detail'!$AF$5:$AF$25,'Episode Detail'!$AK$5:$AK$25,$A5,'Episode Detail'!$AP$5:$AP$25,"No")</f>
        <v>68216.1</v>
      </c>
      <c r="H5" s="18" t="n">
        <f aca="false">SUMIFS('Episode Detail'!$AG$5:$AG$25,'Episode Detail'!$AK$5:$AK$25,$A5,'Episode Detail'!$AP$5:$AP$25,"No")</f>
        <v>475654</v>
      </c>
      <c r="I5" s="18" t="n">
        <f aca="false">SUMIFS('Episode Detail'!$AH$5:$AH$25,'Episode Detail'!$AK$5:$AK$25,$A5,'Episode Detail'!$AP$5:$AP$25,"No")</f>
        <v>226138.2</v>
      </c>
      <c r="J5" s="28" t="n">
        <f aca="false">IFERROR(AVERAGEIFS('Episode Detail'!$R$5:$R$25,'Episode Detail'!$AK$5:$AK$25,$A5,'Episode Detail'!$T$5:$T$25,"Yes",'Episode Detail'!$AP$5:$AP$25,"No"),"")</f>
        <v>10.7142857142857</v>
      </c>
    </row>
    <row r="6" customFormat="false" ht="15" hidden="false" customHeight="false" outlineLevel="0" collapsed="false">
      <c r="A6" s="5"/>
      <c r="B6" s="5" t="s">
        <v>181</v>
      </c>
      <c r="C6" s="5"/>
      <c r="D6" s="29" t="n">
        <f aca="false">COUNTIFS('Episode Detail'!$AJ$5:$AJ$25,$B6,'Episode Detail'!$AP$5:$AP$25,"No")</f>
        <v>4</v>
      </c>
      <c r="E6" s="30" t="n">
        <f aca="false">SUMIFS('Episode Detail'!$V$5:$V$25,'Episode Detail'!$AJ$5:$AJ$25,$B6,'Episode Detail'!$AP$5:$AP$25,"No")</f>
        <v>2266</v>
      </c>
      <c r="F6" s="30" t="n">
        <f aca="false">SUMIFS('Episode Detail'!$AD$5:$AD$25,'Episode Detail'!$AJ$5:$AJ$25,$B6,'Episode Detail'!$AT$5:$AT$25,"Open",'Episode Detail'!$AP$5:$AP$25,"No")</f>
        <v>135137.4</v>
      </c>
      <c r="G6" s="30" t="n">
        <f aca="false">SUMIFS('Episode Detail'!$AF$5:$AF$25,'Episode Detail'!$AJ$5:$AJ$25,$B6,'Episode Detail'!$AP$5:$AP$25,"No")</f>
        <v>68216.1</v>
      </c>
      <c r="H6" s="30" t="n">
        <f aca="false">SUMIFS('Episode Detail'!$AG$5:$AG$25,'Episode Detail'!$AJ$5:$AJ$25,$B6,'Episode Detail'!$AP$5:$AP$25,"No")</f>
        <v>475654</v>
      </c>
      <c r="I6" s="30" t="n">
        <f aca="false">SUMIFS('Episode Detail'!$AH$5:$AH$25,'Episode Detail'!$AJ$5:$AJ$25,$B6,'Episode Detail'!$AP$5:$AP$25,"No")</f>
        <v>140634.9</v>
      </c>
      <c r="J6" s="31" t="n">
        <f aca="false">IFERROR(AVERAGEIFS('Episode Detail'!$R$5:$R$25,'Episode Detail'!$AJ$5:$AJ$25,$B6,'Episode Detail'!$T$5:$T$25,"Yes",'Episode Detail'!$AP$5:$AP$25,"No"),"")</f>
        <v>11</v>
      </c>
    </row>
    <row r="7" customFormat="false" ht="15" hidden="false" customHeight="false" outlineLevel="0" collapsed="false">
      <c r="A7" s="5"/>
      <c r="B7" s="5" t="s">
        <v>182</v>
      </c>
      <c r="C7" s="5"/>
      <c r="D7" s="29" t="n">
        <f aca="false">COUNTIFS('Episode Detail'!$AJ$5:$AJ$25,$B7,'Episode Detail'!$AP$5:$AP$25,"No")</f>
        <v>0</v>
      </c>
      <c r="E7" s="30" t="n">
        <f aca="false">SUMIFS('Episode Detail'!$V$5:$V$25,'Episode Detail'!$AJ$5:$AJ$25,$B7,'Episode Detail'!$AP$5:$AP$25,"No")</f>
        <v>0</v>
      </c>
      <c r="F7" s="30" t="n">
        <f aca="false">SUMIFS('Episode Detail'!$AD$5:$AD$25,'Episode Detail'!$AJ$5:$AJ$25,$B7,'Episode Detail'!$AT$5:$AT$25,"Open",'Episode Detail'!$AP$5:$AP$25,"No")</f>
        <v>0</v>
      </c>
      <c r="G7" s="30" t="n">
        <f aca="false">SUMIFS('Episode Detail'!$AF$5:$AF$25,'Episode Detail'!$AJ$5:$AJ$25,$B7,'Episode Detail'!$AP$5:$AP$25,"No")</f>
        <v>0</v>
      </c>
      <c r="H7" s="30" t="n">
        <f aca="false">SUMIFS('Episode Detail'!$AG$5:$AG$25,'Episode Detail'!$AJ$5:$AJ$25,$B7,'Episode Detail'!$AP$5:$AP$25,"No")</f>
        <v>0</v>
      </c>
      <c r="I7" s="30" t="n">
        <f aca="false">SUMIFS('Episode Detail'!$AH$5:$AH$25,'Episode Detail'!$AJ$5:$AJ$25,$B7,'Episode Detail'!$AP$5:$AP$25,"No")</f>
        <v>0</v>
      </c>
      <c r="J7" s="31" t="str">
        <f aca="false">IFERROR(AVERAGEIFS('Episode Detail'!$R$5:$R$25,'Episode Detail'!$AJ$5:$AJ$25,$B7,'Episode Detail'!$T$5:$T$25,"Yes",'Episode Detail'!$AP$5:$AP$25,"No"),"")</f>
        <v/>
      </c>
    </row>
    <row r="8" customFormat="false" ht="15" hidden="false" customHeight="false" outlineLevel="0" collapsed="false">
      <c r="A8" s="5"/>
      <c r="B8" s="5" t="s">
        <v>183</v>
      </c>
      <c r="C8" s="5"/>
      <c r="D8" s="29" t="n">
        <f aca="false">COUNTIFS('Episode Detail'!$AJ$5:$AJ$25,$B8,'Episode Detail'!$AP$5:$AP$25,"No")</f>
        <v>1</v>
      </c>
      <c r="E8" s="30" t="n">
        <f aca="false">SUMIFS('Episode Detail'!$V$5:$V$25,'Episode Detail'!$AJ$5:$AJ$25,$B8,'Episode Detail'!$AP$5:$AP$25,"No")</f>
        <v>542</v>
      </c>
      <c r="F8" s="30" t="n">
        <f aca="false">SUMIFS('Episode Detail'!$AD$5:$AD$25,'Episode Detail'!$AJ$5:$AJ$25,$B8,'Episode Detail'!$AT$5:$AT$25,"Open",'Episode Detail'!$AP$5:$AP$25,"No")</f>
        <v>32920.5</v>
      </c>
      <c r="G8" s="30" t="n">
        <f aca="false">SUMIFS('Episode Detail'!$AF$5:$AF$25,'Episode Detail'!$AJ$5:$AJ$25,$B8,'Episode Detail'!$AP$5:$AP$25,"No")</f>
        <v>0</v>
      </c>
      <c r="H8" s="30" t="n">
        <f aca="false">SUMIFS('Episode Detail'!$AG$5:$AG$25,'Episode Detail'!$AJ$5:$AJ$25,$B8,'Episode Detail'!$AP$5:$AP$25,"No")</f>
        <v>0</v>
      </c>
      <c r="I8" s="30" t="n">
        <f aca="false">SUMIFS('Episode Detail'!$AH$5:$AH$25,'Episode Detail'!$AJ$5:$AJ$25,$B8,'Episode Detail'!$AP$5:$AP$25,"No")</f>
        <v>32920.5</v>
      </c>
      <c r="J8" s="31" t="n">
        <f aca="false">IFERROR(AVERAGEIFS('Episode Detail'!$R$5:$R$25,'Episode Detail'!$AJ$5:$AJ$25,$B8,'Episode Detail'!$T$5:$T$25,"Yes",'Episode Detail'!$AP$5:$AP$25,"No"),"")</f>
        <v>13</v>
      </c>
    </row>
    <row r="9" customFormat="false" ht="15" hidden="false" customHeight="false" outlineLevel="0" collapsed="false">
      <c r="A9" s="5"/>
      <c r="B9" s="5" t="s">
        <v>184</v>
      </c>
      <c r="C9" s="5"/>
      <c r="D9" s="29" t="n">
        <f aca="false">COUNTIFS('Episode Detail'!$AJ$5:$AJ$25,$B9,'Episode Detail'!$AP$5:$AP$25,"No")</f>
        <v>1</v>
      </c>
      <c r="E9" s="30" t="n">
        <f aca="false">SUMIFS('Episode Detail'!$V$5:$V$25,'Episode Detail'!$AJ$5:$AJ$25,$B9,'Episode Detail'!$AP$5:$AP$25,"No")</f>
        <v>260</v>
      </c>
      <c r="F9" s="30" t="n">
        <f aca="false">SUMIFS('Episode Detail'!$AD$5:$AD$25,'Episode Detail'!$AJ$5:$AJ$25,$B9,'Episode Detail'!$AT$5:$AT$25,"Open",'Episode Detail'!$AP$5:$AP$25,"No")</f>
        <v>19500</v>
      </c>
      <c r="G9" s="30" t="n">
        <f aca="false">SUMIFS('Episode Detail'!$AF$5:$AF$25,'Episode Detail'!$AJ$5:$AJ$25,$B9,'Episode Detail'!$AP$5:$AP$25,"No")</f>
        <v>0</v>
      </c>
      <c r="H9" s="30" t="n">
        <f aca="false">SUMIFS('Episode Detail'!$AG$5:$AG$25,'Episode Detail'!$AJ$5:$AJ$25,$B9,'Episode Detail'!$AP$5:$AP$25,"No")</f>
        <v>0</v>
      </c>
      <c r="I9" s="30" t="n">
        <f aca="false">SUMIFS('Episode Detail'!$AH$5:$AH$25,'Episode Detail'!$AJ$5:$AJ$25,$B9,'Episode Detail'!$AP$5:$AP$25,"No")</f>
        <v>19500</v>
      </c>
      <c r="J9" s="31" t="str">
        <f aca="false">IFERROR(AVERAGEIFS('Episode Detail'!$R$5:$R$25,'Episode Detail'!$AJ$5:$AJ$25,$B9,'Episode Detail'!$T$5:$T$25,"Yes",'Episode Detail'!$AP$5:$AP$25,"No"),"")</f>
        <v/>
      </c>
    </row>
    <row r="10" customFormat="false" ht="15" hidden="false" customHeight="false" outlineLevel="0" collapsed="false">
      <c r="A10" s="5"/>
      <c r="B10" s="5" t="s">
        <v>185</v>
      </c>
      <c r="C10" s="5"/>
      <c r="D10" s="29" t="n">
        <f aca="false">COUNTIFS('Episode Detail'!$AJ$5:$AJ$25,$B10,'Episode Detail'!$AP$5:$AP$25,"No")</f>
        <v>2</v>
      </c>
      <c r="E10" s="30" t="n">
        <f aca="false">SUMIFS('Episode Detail'!$V$5:$V$25,'Episode Detail'!$AJ$5:$AJ$25,$B10,'Episode Detail'!$AP$5:$AP$25,"No")</f>
        <v>12</v>
      </c>
      <c r="F10" s="30" t="n">
        <f aca="false">SUMIFS('Episode Detail'!$AD$5:$AD$25,'Episode Detail'!$AJ$5:$AJ$25,$B10,'Episode Detail'!$AT$5:$AT$25,"Open",'Episode Detail'!$AP$5:$AP$25,"No")</f>
        <v>33082.8</v>
      </c>
      <c r="G10" s="30" t="n">
        <f aca="false">SUMIFS('Episode Detail'!$AF$5:$AF$25,'Episode Detail'!$AJ$5:$AJ$25,$B10,'Episode Detail'!$AP$5:$AP$25,"No")</f>
        <v>0</v>
      </c>
      <c r="H10" s="30" t="n">
        <f aca="false">SUMIFS('Episode Detail'!$AG$5:$AG$25,'Episode Detail'!$AJ$5:$AJ$25,$B10,'Episode Detail'!$AP$5:$AP$25,"No")</f>
        <v>0</v>
      </c>
      <c r="I10" s="30" t="n">
        <f aca="false">SUMIFS('Episode Detail'!$AH$5:$AH$25,'Episode Detail'!$AJ$5:$AJ$25,$B10,'Episode Detail'!$AP$5:$AP$25,"No")</f>
        <v>33082.8</v>
      </c>
      <c r="J10" s="31" t="n">
        <f aca="false">IFERROR(AVERAGEIFS('Episode Detail'!$R$5:$R$25,'Episode Detail'!$AJ$5:$AJ$25,$B10,'Episode Detail'!$T$5:$T$25,"Yes",'Episode Detail'!$AP$5:$AP$25,"No"),"")</f>
        <v>9</v>
      </c>
    </row>
    <row r="11" customFormat="false" ht="15" hidden="false" customHeight="false" outlineLevel="0" collapsed="false">
      <c r="A11" s="5"/>
      <c r="B11" s="5" t="s">
        <v>186</v>
      </c>
      <c r="C11" s="5"/>
      <c r="D11" s="29" t="n">
        <f aca="false">COUNTIFS('Episode Detail'!$AJ$5:$AJ$25,$B11,'Episode Detail'!$AP$5:$AP$25,"No")</f>
        <v>0</v>
      </c>
      <c r="E11" s="30" t="n">
        <f aca="false">SUMIFS('Episode Detail'!$V$5:$V$25,'Episode Detail'!$AJ$5:$AJ$25,$B11,'Episode Detail'!$AP$5:$AP$25,"No")</f>
        <v>0</v>
      </c>
      <c r="F11" s="30" t="n">
        <f aca="false">SUMIFS('Episode Detail'!$AD$5:$AD$25,'Episode Detail'!$AJ$5:$AJ$25,$B11,'Episode Detail'!$AT$5:$AT$25,"Open",'Episode Detail'!$AP$5:$AP$25,"No")</f>
        <v>0</v>
      </c>
      <c r="G11" s="30" t="n">
        <f aca="false">SUMIFS('Episode Detail'!$AF$5:$AF$25,'Episode Detail'!$AJ$5:$AJ$25,$B11,'Episode Detail'!$AP$5:$AP$25,"No")</f>
        <v>0</v>
      </c>
      <c r="H11" s="30" t="n">
        <f aca="false">SUMIFS('Episode Detail'!$AG$5:$AG$25,'Episode Detail'!$AJ$5:$AJ$25,$B11,'Episode Detail'!$AP$5:$AP$25,"No")</f>
        <v>0</v>
      </c>
      <c r="I11" s="30" t="n">
        <f aca="false">SUMIFS('Episode Detail'!$AH$5:$AH$25,'Episode Detail'!$AJ$5:$AJ$25,$B11,'Episode Detail'!$AP$5:$AP$25,"No")</f>
        <v>0</v>
      </c>
      <c r="J11" s="31" t="str">
        <f aca="false">IFERROR(AVERAGEIFS('Episode Detail'!$R$5:$R$25,'Episode Detail'!$AJ$5:$AJ$25,$B11,'Episode Detail'!$T$5:$T$25,"Yes",'Episode Detail'!$AP$5:$AP$25,"No"),"")</f>
        <v/>
      </c>
    </row>
    <row r="12" customFormat="false" ht="15" hidden="false" customHeight="false" outlineLevel="0" collapsed="false">
      <c r="A12" s="5"/>
      <c r="B12" s="5" t="s">
        <v>187</v>
      </c>
      <c r="C12" s="5"/>
      <c r="D12" s="29" t="n">
        <f aca="false">COUNTIFS('Episode Detail'!$AJ$5:$AJ$25,$B12,'Episode Detail'!$AP$5:$AP$25,"No")</f>
        <v>0</v>
      </c>
      <c r="E12" s="30" t="n">
        <f aca="false">SUMIFS('Episode Detail'!$V$5:$V$25,'Episode Detail'!$AJ$5:$AJ$25,$B12,'Episode Detail'!$AP$5:$AP$25,"No")</f>
        <v>0</v>
      </c>
      <c r="F12" s="30" t="n">
        <f aca="false">SUMIFS('Episode Detail'!$AD$5:$AD$25,'Episode Detail'!$AJ$5:$AJ$25,$B12,'Episode Detail'!$AT$5:$AT$25,"Open",'Episode Detail'!$AP$5:$AP$25,"No")</f>
        <v>0</v>
      </c>
      <c r="G12" s="30" t="n">
        <f aca="false">SUMIFS('Episode Detail'!$AF$5:$AF$25,'Episode Detail'!$AJ$5:$AJ$25,$B12,'Episode Detail'!$AP$5:$AP$25,"No")</f>
        <v>0</v>
      </c>
      <c r="H12" s="30" t="n">
        <f aca="false">SUMIFS('Episode Detail'!$AG$5:$AG$25,'Episode Detail'!$AJ$5:$AJ$25,$B12,'Episode Detail'!$AP$5:$AP$25,"No")</f>
        <v>0</v>
      </c>
      <c r="I12" s="30" t="n">
        <f aca="false">SUMIFS('Episode Detail'!$AH$5:$AH$25,'Episode Detail'!$AJ$5:$AJ$25,$B12,'Episode Detail'!$AP$5:$AP$25,"No")</f>
        <v>0</v>
      </c>
      <c r="J12" s="31" t="str">
        <f aca="false">IFERROR(AVERAGEIFS('Episode Detail'!$R$5:$R$25,'Episode Detail'!$AJ$5:$AJ$25,$B12,'Episode Detail'!$T$5:$T$25,"Yes",'Episode Detail'!$AP$5:$AP$25,"No"),"")</f>
        <v/>
      </c>
    </row>
    <row r="13" customFormat="false" ht="15" hidden="false" customHeight="false" outlineLevel="0" collapsed="false">
      <c r="A13" s="5"/>
      <c r="B13" s="5" t="s">
        <v>188</v>
      </c>
      <c r="C13" s="5"/>
      <c r="D13" s="29" t="n">
        <f aca="false">COUNTIFS('Episode Detail'!$AJ$5:$AJ$25,$B13,'Episode Detail'!$AP$5:$AP$25,"No")</f>
        <v>0</v>
      </c>
      <c r="E13" s="30" t="n">
        <f aca="false">SUMIFS('Episode Detail'!$V$5:$V$25,'Episode Detail'!$AJ$5:$AJ$25,$B13,'Episode Detail'!$AP$5:$AP$25,"No")</f>
        <v>0</v>
      </c>
      <c r="F13" s="30" t="n">
        <f aca="false">SUMIFS('Episode Detail'!$AD$5:$AD$25,'Episode Detail'!$AJ$5:$AJ$25,$B13,'Episode Detail'!$AT$5:$AT$25,"Open",'Episode Detail'!$AP$5:$AP$25,"No")</f>
        <v>0</v>
      </c>
      <c r="G13" s="30" t="n">
        <f aca="false">SUMIFS('Episode Detail'!$AF$5:$AF$25,'Episode Detail'!$AJ$5:$AJ$25,$B13,'Episode Detail'!$AP$5:$AP$25,"No")</f>
        <v>0</v>
      </c>
      <c r="H13" s="30" t="n">
        <f aca="false">SUMIFS('Episode Detail'!$AG$5:$AG$25,'Episode Detail'!$AJ$5:$AJ$25,$B13,'Episode Detail'!$AP$5:$AP$25,"No")</f>
        <v>0</v>
      </c>
      <c r="I13" s="30" t="n">
        <f aca="false">SUMIFS('Episode Detail'!$AH$5:$AH$25,'Episode Detail'!$AJ$5:$AJ$25,$B13,'Episode Detail'!$AP$5:$AP$25,"No")</f>
        <v>0</v>
      </c>
      <c r="J13" s="31" t="str">
        <f aca="false">IFERROR(AVERAGEIFS('Episode Detail'!$R$5:$R$25,'Episode Detail'!$AJ$5:$AJ$25,$B13,'Episode Detail'!$T$5:$T$25,"Yes",'Episode Detail'!$AP$5:$AP$25,"No"),"")</f>
        <v/>
      </c>
    </row>
    <row r="14" customFormat="false" ht="15" hidden="false" customHeight="false" outlineLevel="0" collapsed="false">
      <c r="A14" s="16" t="s">
        <v>189</v>
      </c>
      <c r="B14" s="16" t="s">
        <v>179</v>
      </c>
      <c r="C14" s="16" t="s">
        <v>180</v>
      </c>
      <c r="D14" s="17" t="n">
        <f aca="false">COUNTIFS('Episode Detail'!$AK$5:$AK$25,$A14,'Episode Detail'!$AP$5:$AP$25,"No")</f>
        <v>5</v>
      </c>
      <c r="E14" s="18" t="n">
        <f aca="false">SUMIFS('Episode Detail'!$V$5:$V$25,'Episode Detail'!$AK$5:$AK$25,$A14,'Episode Detail'!$AP$5:$AP$25,"No")</f>
        <v>108</v>
      </c>
      <c r="F14" s="18" t="n">
        <f aca="false">SUMIFS('Episode Detail'!$AD$5:$AD$25,'Episode Detail'!$AK$5:$AK$25,$A14,'Episode Detail'!$AT$5:$AT$25,"Open",'Episode Detail'!$AP$5:$AP$25,"No")</f>
        <v>203346.9</v>
      </c>
      <c r="G14" s="18" t="n">
        <f aca="false">SUMIFS('Episode Detail'!$AF$5:$AF$25,'Episode Detail'!$AK$5:$AK$25,$A14,'Episode Detail'!$AP$5:$AP$25,"No")</f>
        <v>0</v>
      </c>
      <c r="H14" s="18" t="n">
        <f aca="false">SUMIFS('Episode Detail'!$AG$5:$AG$25,'Episode Detail'!$AK$5:$AK$25,$A14,'Episode Detail'!$AP$5:$AP$25,"No")</f>
        <v>0</v>
      </c>
      <c r="I14" s="18" t="n">
        <f aca="false">SUMIFS('Episode Detail'!$AH$5:$AH$25,'Episode Detail'!$AK$5:$AK$25,$A14,'Episode Detail'!$AP$5:$AP$25,"No")</f>
        <v>30510.36</v>
      </c>
      <c r="J14" s="28" t="n">
        <f aca="false">IFERROR(AVERAGEIFS('Episode Detail'!$R$5:$R$25,'Episode Detail'!$AK$5:$AK$25,$A14,'Episode Detail'!$T$5:$T$25,"Yes",'Episode Detail'!$AP$5:$AP$25,"No"),"")</f>
        <v>3.5</v>
      </c>
    </row>
    <row r="15" customFormat="false" ht="15" hidden="false" customHeight="false" outlineLevel="0" collapsed="false">
      <c r="A15" s="5"/>
      <c r="B15" s="5" t="s">
        <v>190</v>
      </c>
      <c r="C15" s="5"/>
      <c r="D15" s="29" t="n">
        <f aca="false">COUNTIFS('Episode Detail'!$AJ$5:$AJ$25,$B15,'Episode Detail'!$AP$5:$AP$25,"No")</f>
        <v>3</v>
      </c>
      <c r="E15" s="30" t="n">
        <f aca="false">SUMIFS('Episode Detail'!$V$5:$V$25,'Episode Detail'!$AJ$5:$AJ$25,$B15,'Episode Detail'!$AP$5:$AP$25,"No")</f>
        <v>54</v>
      </c>
      <c r="F15" s="30" t="n">
        <f aca="false">SUMIFS('Episode Detail'!$AD$5:$AD$25,'Episode Detail'!$AJ$5:$AJ$25,$B15,'Episode Detail'!$AT$5:$AT$25,"Open",'Episode Detail'!$AP$5:$AP$25,"No")</f>
        <v>121215.6</v>
      </c>
      <c r="G15" s="30" t="n">
        <f aca="false">SUMIFS('Episode Detail'!$AF$5:$AF$25,'Episode Detail'!$AJ$5:$AJ$25,$B15,'Episode Detail'!$AP$5:$AP$25,"No")</f>
        <v>0</v>
      </c>
      <c r="H15" s="30" t="n">
        <f aca="false">SUMIFS('Episode Detail'!$AG$5:$AG$25,'Episode Detail'!$AJ$5:$AJ$25,$B15,'Episode Detail'!$AP$5:$AP$25,"No")</f>
        <v>0</v>
      </c>
      <c r="I15" s="30" t="n">
        <f aca="false">SUMIFS('Episode Detail'!$AH$5:$AH$25,'Episode Detail'!$AJ$5:$AJ$25,$B15,'Episode Detail'!$AP$5:$AP$25,"No")</f>
        <v>30510.36</v>
      </c>
      <c r="J15" s="31" t="n">
        <f aca="false">IFERROR(AVERAGEIFS('Episode Detail'!$R$5:$R$25,'Episode Detail'!$AJ$5:$AJ$25,$B15,'Episode Detail'!$T$5:$T$25,"Yes",'Episode Detail'!$AP$5:$AP$25,"No"),"")</f>
        <v>4</v>
      </c>
    </row>
    <row r="16" customFormat="false" ht="15" hidden="false" customHeight="false" outlineLevel="0" collapsed="false">
      <c r="A16" s="5"/>
      <c r="B16" s="5" t="s">
        <v>191</v>
      </c>
      <c r="C16" s="5"/>
      <c r="D16" s="29" t="n">
        <f aca="false">COUNTIFS('Episode Detail'!$AJ$5:$AJ$25,$B16,'Episode Detail'!$AP$5:$AP$25,"No")</f>
        <v>2</v>
      </c>
      <c r="E16" s="30" t="n">
        <f aca="false">SUMIFS('Episode Detail'!$V$5:$V$25,'Episode Detail'!$AJ$5:$AJ$25,$B16,'Episode Detail'!$AP$5:$AP$25,"No")</f>
        <v>54</v>
      </c>
      <c r="F16" s="30" t="n">
        <f aca="false">SUMIFS('Episode Detail'!$AD$5:$AD$25,'Episode Detail'!$AJ$5:$AJ$25,$B16,'Episode Detail'!$AT$5:$AT$25,"Open",'Episode Detail'!$AP$5:$AP$25,"No")</f>
        <v>82131.3</v>
      </c>
      <c r="G16" s="30" t="n">
        <f aca="false">SUMIFS('Episode Detail'!$AF$5:$AF$25,'Episode Detail'!$AJ$5:$AJ$25,$B16,'Episode Detail'!$AP$5:$AP$25,"No")</f>
        <v>0</v>
      </c>
      <c r="H16" s="30" t="n">
        <f aca="false">SUMIFS('Episode Detail'!$AG$5:$AG$25,'Episode Detail'!$AJ$5:$AJ$25,$B16,'Episode Detail'!$AP$5:$AP$25,"No")</f>
        <v>0</v>
      </c>
      <c r="I16" s="30" t="n">
        <f aca="false">SUMIFS('Episode Detail'!$AH$5:$AH$25,'Episode Detail'!$AJ$5:$AJ$25,$B16,'Episode Detail'!$AP$5:$AP$25,"No")</f>
        <v>0</v>
      </c>
      <c r="J16" s="31" t="n">
        <f aca="false">IFERROR(AVERAGEIFS('Episode Detail'!$R$5:$R$25,'Episode Detail'!$AJ$5:$AJ$25,$B16,'Episode Detail'!$T$5:$T$25,"Yes",'Episode Detail'!$AP$5:$AP$25,"No"),"")</f>
        <v>2</v>
      </c>
    </row>
    <row r="17" customFormat="false" ht="15" hidden="false" customHeight="false" outlineLevel="0" collapsed="false">
      <c r="A17" s="5"/>
      <c r="B17" s="5" t="s">
        <v>192</v>
      </c>
      <c r="C17" s="5"/>
      <c r="D17" s="29" t="n">
        <f aca="false">COUNTIFS('Episode Detail'!$AJ$5:$AJ$25,$B17,'Episode Detail'!$AP$5:$AP$25,"No")</f>
        <v>0</v>
      </c>
      <c r="E17" s="30" t="n">
        <f aca="false">SUMIFS('Episode Detail'!$V$5:$V$25,'Episode Detail'!$AJ$5:$AJ$25,$B17,'Episode Detail'!$AP$5:$AP$25,"No")</f>
        <v>0</v>
      </c>
      <c r="F17" s="30" t="n">
        <f aca="false">SUMIFS('Episode Detail'!$AD$5:$AD$25,'Episode Detail'!$AJ$5:$AJ$25,$B17,'Episode Detail'!$AT$5:$AT$25,"Open",'Episode Detail'!$AP$5:$AP$25,"No")</f>
        <v>0</v>
      </c>
      <c r="G17" s="30" t="n">
        <f aca="false">SUMIFS('Episode Detail'!$AF$5:$AF$25,'Episode Detail'!$AJ$5:$AJ$25,$B17,'Episode Detail'!$AP$5:$AP$25,"No")</f>
        <v>0</v>
      </c>
      <c r="H17" s="30" t="n">
        <f aca="false">SUMIFS('Episode Detail'!$AG$5:$AG$25,'Episode Detail'!$AJ$5:$AJ$25,$B17,'Episode Detail'!$AP$5:$AP$25,"No")</f>
        <v>0</v>
      </c>
      <c r="I17" s="30" t="n">
        <f aca="false">SUMIFS('Episode Detail'!$AH$5:$AH$25,'Episode Detail'!$AJ$5:$AJ$25,$B17,'Episode Detail'!$AP$5:$AP$25,"No")</f>
        <v>0</v>
      </c>
      <c r="J17" s="31" t="str">
        <f aca="false">IFERROR(AVERAGEIFS('Episode Detail'!$R$5:$R$25,'Episode Detail'!$AJ$5:$AJ$25,$B17,'Episode Detail'!$T$5:$T$25,"Yes",'Episode Detail'!$AP$5:$AP$25,"No"),"")</f>
        <v/>
      </c>
    </row>
    <row r="18" customFormat="false" ht="15" hidden="false" customHeight="false" outlineLevel="0" collapsed="false">
      <c r="A18" s="5"/>
      <c r="B18" s="5" t="s">
        <v>193</v>
      </c>
      <c r="C18" s="5"/>
      <c r="D18" s="29" t="n">
        <f aca="false">COUNTIFS('Episode Detail'!$AJ$5:$AJ$25,$B18,'Episode Detail'!$AP$5:$AP$25,"No")</f>
        <v>0</v>
      </c>
      <c r="E18" s="30" t="n">
        <f aca="false">SUMIFS('Episode Detail'!$V$5:$V$25,'Episode Detail'!$AJ$5:$AJ$25,$B18,'Episode Detail'!$AP$5:$AP$25,"No")</f>
        <v>0</v>
      </c>
      <c r="F18" s="30" t="n">
        <f aca="false">SUMIFS('Episode Detail'!$AD$5:$AD$25,'Episode Detail'!$AJ$5:$AJ$25,$B18,'Episode Detail'!$AT$5:$AT$25,"Open",'Episode Detail'!$AP$5:$AP$25,"No")</f>
        <v>0</v>
      </c>
      <c r="G18" s="30" t="n">
        <f aca="false">SUMIFS('Episode Detail'!$AF$5:$AF$25,'Episode Detail'!$AJ$5:$AJ$25,$B18,'Episode Detail'!$AP$5:$AP$25,"No")</f>
        <v>0</v>
      </c>
      <c r="H18" s="30" t="n">
        <f aca="false">SUMIFS('Episode Detail'!$AG$5:$AG$25,'Episode Detail'!$AJ$5:$AJ$25,$B18,'Episode Detail'!$AP$5:$AP$25,"No")</f>
        <v>0</v>
      </c>
      <c r="I18" s="30" t="n">
        <f aca="false">SUMIFS('Episode Detail'!$AH$5:$AH$25,'Episode Detail'!$AJ$5:$AJ$25,$B18,'Episode Detail'!$AP$5:$AP$25,"No")</f>
        <v>0</v>
      </c>
      <c r="J18" s="31" t="str">
        <f aca="false">IFERROR(AVERAGEIFS('Episode Detail'!$R$5:$R$25,'Episode Detail'!$AJ$5:$AJ$25,$B18,'Episode Detail'!$T$5:$T$25,"Yes",'Episode Detail'!$AP$5:$AP$25,"No"),"")</f>
        <v/>
      </c>
    </row>
    <row r="19" customFormat="false" ht="15" hidden="false" customHeight="false" outlineLevel="0" collapsed="false">
      <c r="A19" s="16" t="s">
        <v>194</v>
      </c>
      <c r="B19" s="16" t="s">
        <v>179</v>
      </c>
      <c r="C19" s="16" t="s">
        <v>130</v>
      </c>
      <c r="D19" s="17" t="n">
        <f aca="false">COUNTIFS('Episode Detail'!$AK$5:$AK$25,$A19,'Episode Detail'!$AP$5:$AP$25,"No")</f>
        <v>4</v>
      </c>
      <c r="E19" s="18" t="n">
        <f aca="false">SUMIFS('Episode Detail'!$V$5:$V$25,'Episode Detail'!$AK$5:$AK$25,$A19,'Episode Detail'!$AP$5:$AP$25,"No")</f>
        <v>570</v>
      </c>
      <c r="F19" s="18" t="n">
        <f aca="false">SUMIFS('Episode Detail'!$AD$5:$AD$25,'Episode Detail'!$AK$5:$AK$25,$A19,'Episode Detail'!$AT$5:$AT$25,"Open",'Episode Detail'!$AP$5:$AP$25,"No")</f>
        <v>0</v>
      </c>
      <c r="G19" s="18" t="n">
        <f aca="false">SUMIFS('Episode Detail'!$AF$5:$AF$25,'Episode Detail'!$AK$5:$AK$25,$A19,'Episode Detail'!$AP$5:$AP$25,"No")</f>
        <v>252595.24</v>
      </c>
      <c r="H19" s="18" t="n">
        <f aca="false">SUMIFS('Episode Detail'!$AG$5:$AG$25,'Episode Detail'!$AK$5:$AK$25,$A19,'Episode Detail'!$AP$5:$AP$25,"No")</f>
        <v>49293.6</v>
      </c>
      <c r="I19" s="18" t="n">
        <f aca="false">SUMIFS('Episode Detail'!$AH$5:$AH$25,'Episode Detail'!$AK$5:$AK$25,$A19,'Episode Detail'!$AP$5:$AP$25,"No")</f>
        <v>0</v>
      </c>
      <c r="J19" s="28" t="n">
        <f aca="false">IFERROR(AVERAGEIFS('Episode Detail'!$R$5:$R$25,'Episode Detail'!$AK$5:$AK$25,$A19,'Episode Detail'!$T$5:$T$25,"Yes",'Episode Detail'!$AP$5:$AP$25,"No"),"")</f>
        <v>3.25</v>
      </c>
    </row>
    <row r="20" customFormat="false" ht="15" hidden="false" customHeight="false" outlineLevel="0" collapsed="false">
      <c r="A20" s="5"/>
      <c r="B20" s="5" t="s">
        <v>195</v>
      </c>
      <c r="C20" s="5"/>
      <c r="D20" s="29" t="n">
        <f aca="false">COUNTIFS('Episode Detail'!$AJ$5:$AJ$25,$B20,'Episode Detail'!$AP$5:$AP$25,"No")</f>
        <v>0</v>
      </c>
      <c r="E20" s="30" t="n">
        <f aca="false">SUMIFS('Episode Detail'!$V$5:$V$25,'Episode Detail'!$AJ$5:$AJ$25,$B20,'Episode Detail'!$AP$5:$AP$25,"No")</f>
        <v>0</v>
      </c>
      <c r="F20" s="30" t="n">
        <f aca="false">SUMIFS('Episode Detail'!$AD$5:$AD$25,'Episode Detail'!$AJ$5:$AJ$25,$B20,'Episode Detail'!$AT$5:$AT$25,"Open",'Episode Detail'!$AP$5:$AP$25,"No")</f>
        <v>0</v>
      </c>
      <c r="G20" s="30" t="n">
        <f aca="false">SUMIFS('Episode Detail'!$AF$5:$AF$25,'Episode Detail'!$AJ$5:$AJ$25,$B20,'Episode Detail'!$AP$5:$AP$25,"No")</f>
        <v>0</v>
      </c>
      <c r="H20" s="30" t="n">
        <f aca="false">SUMIFS('Episode Detail'!$AG$5:$AG$25,'Episode Detail'!$AJ$5:$AJ$25,$B20,'Episode Detail'!$AP$5:$AP$25,"No")</f>
        <v>0</v>
      </c>
      <c r="I20" s="30" t="n">
        <f aca="false">SUMIFS('Episode Detail'!$AH$5:$AH$25,'Episode Detail'!$AJ$5:$AJ$25,$B20,'Episode Detail'!$AP$5:$AP$25,"No")</f>
        <v>0</v>
      </c>
      <c r="J20" s="31" t="str">
        <f aca="false">IFERROR(AVERAGEIFS('Episode Detail'!$R$5:$R$25,'Episode Detail'!$AJ$5:$AJ$25,$B20,'Episode Detail'!$T$5:$T$25,"Yes",'Episode Detail'!$AP$5:$AP$25,"No"),"")</f>
        <v/>
      </c>
    </row>
    <row r="21" customFormat="false" ht="15" hidden="false" customHeight="false" outlineLevel="0" collapsed="false">
      <c r="A21" s="5"/>
      <c r="B21" s="5" t="s">
        <v>196</v>
      </c>
      <c r="C21" s="5"/>
      <c r="D21" s="29" t="n">
        <f aca="false">COUNTIFS('Episode Detail'!$AJ$5:$AJ$25,$B21,'Episode Detail'!$AP$5:$AP$25,"No")</f>
        <v>1</v>
      </c>
      <c r="E21" s="30" t="n">
        <f aca="false">SUMIFS('Episode Detail'!$V$5:$V$25,'Episode Detail'!$AJ$5:$AJ$25,$B21,'Episode Detail'!$AP$5:$AP$25,"No")</f>
        <v>262</v>
      </c>
      <c r="F21" s="30" t="n">
        <f aca="false">SUMIFS('Episode Detail'!$AD$5:$AD$25,'Episode Detail'!$AJ$5:$AJ$25,$B21,'Episode Detail'!$AT$5:$AT$25,"Open",'Episode Detail'!$AP$5:$AP$25,"No")</f>
        <v>0</v>
      </c>
      <c r="G21" s="30" t="n">
        <f aca="false">SUMIFS('Episode Detail'!$AF$5:$AF$25,'Episode Detail'!$AJ$5:$AJ$25,$B21,'Episode Detail'!$AP$5:$AP$25,"No")</f>
        <v>225364.54</v>
      </c>
      <c r="H21" s="30" t="n">
        <f aca="false">SUMIFS('Episode Detail'!$AG$5:$AG$25,'Episode Detail'!$AJ$5:$AJ$25,$B21,'Episode Detail'!$AP$5:$AP$25,"No")</f>
        <v>0</v>
      </c>
      <c r="I21" s="30" t="n">
        <f aca="false">SUMIFS('Episode Detail'!$AH$5:$AH$25,'Episode Detail'!$AJ$5:$AJ$25,$B21,'Episode Detail'!$AP$5:$AP$25,"No")</f>
        <v>0</v>
      </c>
      <c r="J21" s="31" t="n">
        <f aca="false">IFERROR(AVERAGEIFS('Episode Detail'!$R$5:$R$25,'Episode Detail'!$AJ$5:$AJ$25,$B21,'Episode Detail'!$T$5:$T$25,"Yes",'Episode Detail'!$AP$5:$AP$25,"No"),"")</f>
        <v>2</v>
      </c>
    </row>
    <row r="22" customFormat="false" ht="15" hidden="false" customHeight="false" outlineLevel="0" collapsed="false">
      <c r="A22" s="5"/>
      <c r="B22" s="5" t="s">
        <v>197</v>
      </c>
      <c r="C22" s="5"/>
      <c r="D22" s="29" t="n">
        <f aca="false">COUNTIFS('Episode Detail'!$AJ$5:$AJ$25,$B22,'Episode Detail'!$AP$5:$AP$25,"No")</f>
        <v>1</v>
      </c>
      <c r="E22" s="30" t="n">
        <f aca="false">SUMIFS('Episode Detail'!$V$5:$V$25,'Episode Detail'!$AJ$5:$AJ$25,$B22,'Episode Detail'!$AP$5:$AP$25,"No")</f>
        <v>6</v>
      </c>
      <c r="F22" s="30" t="n">
        <f aca="false">SUMIFS('Episode Detail'!$AD$5:$AD$25,'Episode Detail'!$AJ$5:$AJ$25,$B22,'Episode Detail'!$AT$5:$AT$25,"Open",'Episode Detail'!$AP$5:$AP$25,"No")</f>
        <v>0</v>
      </c>
      <c r="G22" s="30" t="n">
        <f aca="false">SUMIFS('Episode Detail'!$AF$5:$AF$25,'Episode Detail'!$AJ$5:$AJ$25,$B22,'Episode Detail'!$AP$5:$AP$25,"No")</f>
        <v>322.5</v>
      </c>
      <c r="H22" s="30" t="n">
        <f aca="false">SUMIFS('Episode Detail'!$AG$5:$AG$25,'Episode Detail'!$AJ$5:$AJ$25,$B22,'Episode Detail'!$AP$5:$AP$25,"No")</f>
        <v>645</v>
      </c>
      <c r="I22" s="30" t="n">
        <f aca="false">SUMIFS('Episode Detail'!$AH$5:$AH$25,'Episode Detail'!$AJ$5:$AJ$25,$B22,'Episode Detail'!$AP$5:$AP$25,"No")</f>
        <v>0</v>
      </c>
      <c r="J22" s="31" t="n">
        <f aca="false">IFERROR(AVERAGEIFS('Episode Detail'!$R$5:$R$25,'Episode Detail'!$AJ$5:$AJ$25,$B22,'Episode Detail'!$T$5:$T$25,"Yes",'Episode Detail'!$AP$5:$AP$25,"No"),"")</f>
        <v>4</v>
      </c>
    </row>
    <row r="23" customFormat="false" ht="15" hidden="false" customHeight="false" outlineLevel="0" collapsed="false">
      <c r="A23" s="5"/>
      <c r="B23" s="5" t="s">
        <v>198</v>
      </c>
      <c r="C23" s="5"/>
      <c r="D23" s="29" t="n">
        <f aca="false">COUNTIFS('Episode Detail'!$AJ$5:$AJ$25,$B23,'Episode Detail'!$AP$5:$AP$25,"No")</f>
        <v>2</v>
      </c>
      <c r="E23" s="30" t="n">
        <f aca="false">SUMIFS('Episode Detail'!$V$5:$V$25,'Episode Detail'!$AJ$5:$AJ$25,$B23,'Episode Detail'!$AP$5:$AP$25,"No")</f>
        <v>302</v>
      </c>
      <c r="F23" s="30" t="n">
        <f aca="false">SUMIFS('Episode Detail'!$AD$5:$AD$25,'Episode Detail'!$AJ$5:$AJ$25,$B23,'Episode Detail'!$AT$5:$AT$25,"Open",'Episode Detail'!$AP$5:$AP$25,"No")</f>
        <v>0</v>
      </c>
      <c r="G23" s="30" t="n">
        <f aca="false">SUMIFS('Episode Detail'!$AF$5:$AF$25,'Episode Detail'!$AJ$5:$AJ$25,$B23,'Episode Detail'!$AP$5:$AP$25,"No")</f>
        <v>26908.2</v>
      </c>
      <c r="H23" s="30" t="n">
        <f aca="false">SUMIFS('Episode Detail'!$AG$5:$AG$25,'Episode Detail'!$AJ$5:$AJ$25,$B23,'Episode Detail'!$AP$5:$AP$25,"No")</f>
        <v>48648.6</v>
      </c>
      <c r="I23" s="30" t="n">
        <f aca="false">SUMIFS('Episode Detail'!$AH$5:$AH$25,'Episode Detail'!$AJ$5:$AJ$25,$B23,'Episode Detail'!$AP$5:$AP$25,"No")</f>
        <v>0</v>
      </c>
      <c r="J23" s="31" t="n">
        <f aca="false">IFERROR(AVERAGEIFS('Episode Detail'!$R$5:$R$25,'Episode Detail'!$AJ$5:$AJ$25,$B23,'Episode Detail'!$T$5:$T$25,"Yes",'Episode Detail'!$AP$5:$AP$25,"No"),"")</f>
        <v>3.5</v>
      </c>
    </row>
    <row r="24" customFormat="false" ht="15" hidden="false" customHeight="false" outlineLevel="0" collapsed="false">
      <c r="A24" s="16" t="s">
        <v>199</v>
      </c>
      <c r="B24" s="16" t="s">
        <v>179</v>
      </c>
      <c r="C24" s="16" t="s">
        <v>130</v>
      </c>
      <c r="D24" s="17" t="n">
        <f aca="false">COUNTIFS('Episode Detail'!$AK$5:$AK$25,$A24,'Episode Detail'!$AP$5:$AP$25,"No")</f>
        <v>1</v>
      </c>
      <c r="E24" s="18" t="n">
        <f aca="false">SUMIFS('Episode Detail'!$V$5:$V$25,'Episode Detail'!$AK$5:$AK$25,$A24,'Episode Detail'!$AP$5:$AP$25,"No")</f>
        <v>12</v>
      </c>
      <c r="F24" s="18" t="n">
        <f aca="false">SUMIFS('Episode Detail'!$AD$5:$AD$25,'Episode Detail'!$AK$5:$AK$25,$A24,'Episode Detail'!$AT$5:$AT$25,"Open",'Episode Detail'!$AP$5:$AP$25,"No")</f>
        <v>3397.44</v>
      </c>
      <c r="G24" s="18" t="n">
        <f aca="false">SUMIFS('Episode Detail'!$AF$5:$AF$25,'Episode Detail'!$AK$5:$AK$25,$A24,'Episode Detail'!$AP$5:$AP$25,"No")</f>
        <v>0</v>
      </c>
      <c r="H24" s="18" t="n">
        <f aca="false">SUMIFS('Episode Detail'!$AG$5:$AG$25,'Episode Detail'!$AK$5:$AK$25,$A24,'Episode Detail'!$AP$5:$AP$25,"No")</f>
        <v>0</v>
      </c>
      <c r="I24" s="18" t="n">
        <f aca="false">SUMIFS('Episode Detail'!$AH$5:$AH$25,'Episode Detail'!$AK$5:$AK$25,$A24,'Episode Detail'!$AP$5:$AP$25,"No")</f>
        <v>0</v>
      </c>
      <c r="J24" s="28" t="n">
        <f aca="false">IFERROR(AVERAGEIFS('Episode Detail'!$R$5:$R$25,'Episode Detail'!$AK$5:$AK$25,$A24,'Episode Detail'!$T$5:$T$25,"Yes",'Episode Detail'!$AP$5:$AP$25,"No"),"")</f>
        <v>2</v>
      </c>
    </row>
    <row r="25" customFormat="false" ht="15" hidden="false" customHeight="false" outlineLevel="0" collapsed="false">
      <c r="A25" s="5"/>
      <c r="B25" s="5" t="s">
        <v>200</v>
      </c>
      <c r="C25" s="5"/>
      <c r="D25" s="29" t="n">
        <f aca="false">COUNTIFS('Episode Detail'!$AJ$5:$AJ$25,$B25,'Episode Detail'!$AP$5:$AP$25,"No")</f>
        <v>0</v>
      </c>
      <c r="E25" s="30" t="n">
        <f aca="false">SUMIFS('Episode Detail'!$V$5:$V$25,'Episode Detail'!$AJ$5:$AJ$25,$B25,'Episode Detail'!$AP$5:$AP$25,"No")</f>
        <v>0</v>
      </c>
      <c r="F25" s="30" t="n">
        <f aca="false">SUMIFS('Episode Detail'!$AD$5:$AD$25,'Episode Detail'!$AJ$5:$AJ$25,$B25,'Episode Detail'!$AT$5:$AT$25,"Open",'Episode Detail'!$AP$5:$AP$25,"No")</f>
        <v>0</v>
      </c>
      <c r="G25" s="30" t="n">
        <f aca="false">SUMIFS('Episode Detail'!$AF$5:$AF$25,'Episode Detail'!$AJ$5:$AJ$25,$B25,'Episode Detail'!$AP$5:$AP$25,"No")</f>
        <v>0</v>
      </c>
      <c r="H25" s="30" t="n">
        <f aca="false">SUMIFS('Episode Detail'!$AG$5:$AG$25,'Episode Detail'!$AJ$5:$AJ$25,$B25,'Episode Detail'!$AP$5:$AP$25,"No")</f>
        <v>0</v>
      </c>
      <c r="I25" s="30" t="n">
        <f aca="false">SUMIFS('Episode Detail'!$AH$5:$AH$25,'Episode Detail'!$AJ$5:$AJ$25,$B25,'Episode Detail'!$AP$5:$AP$25,"No")</f>
        <v>0</v>
      </c>
      <c r="J25" s="31" t="str">
        <f aca="false">IFERROR(AVERAGEIFS('Episode Detail'!$R$5:$R$25,'Episode Detail'!$AJ$5:$AJ$25,$B25,'Episode Detail'!$T$5:$T$25,"Yes",'Episode Detail'!$AP$5:$AP$25,"No"),"")</f>
        <v/>
      </c>
    </row>
    <row r="26" customFormat="false" ht="15" hidden="false" customHeight="false" outlineLevel="0" collapsed="false">
      <c r="A26" s="5"/>
      <c r="B26" s="5" t="s">
        <v>201</v>
      </c>
      <c r="C26" s="5"/>
      <c r="D26" s="29" t="n">
        <f aca="false">COUNTIFS('Episode Detail'!$AJ$5:$AJ$25,$B26,'Episode Detail'!$AP$5:$AP$25,"No")</f>
        <v>0</v>
      </c>
      <c r="E26" s="30" t="n">
        <f aca="false">SUMIFS('Episode Detail'!$V$5:$V$25,'Episode Detail'!$AJ$5:$AJ$25,$B26,'Episode Detail'!$AP$5:$AP$25,"No")</f>
        <v>0</v>
      </c>
      <c r="F26" s="30" t="n">
        <f aca="false">SUMIFS('Episode Detail'!$AD$5:$AD$25,'Episode Detail'!$AJ$5:$AJ$25,$B26,'Episode Detail'!$AT$5:$AT$25,"Open",'Episode Detail'!$AP$5:$AP$25,"No")</f>
        <v>0</v>
      </c>
      <c r="G26" s="30" t="n">
        <f aca="false">SUMIFS('Episode Detail'!$AF$5:$AF$25,'Episode Detail'!$AJ$5:$AJ$25,$B26,'Episode Detail'!$AP$5:$AP$25,"No")</f>
        <v>0</v>
      </c>
      <c r="H26" s="30" t="n">
        <f aca="false">SUMIFS('Episode Detail'!$AG$5:$AG$25,'Episode Detail'!$AJ$5:$AJ$25,$B26,'Episode Detail'!$AP$5:$AP$25,"No")</f>
        <v>0</v>
      </c>
      <c r="I26" s="30" t="n">
        <f aca="false">SUMIFS('Episode Detail'!$AH$5:$AH$25,'Episode Detail'!$AJ$5:$AJ$25,$B26,'Episode Detail'!$AP$5:$AP$25,"No")</f>
        <v>0</v>
      </c>
      <c r="J26" s="31" t="str">
        <f aca="false">IFERROR(AVERAGEIFS('Episode Detail'!$R$5:$R$25,'Episode Detail'!$AJ$5:$AJ$25,$B26,'Episode Detail'!$T$5:$T$25,"Yes",'Episode Detail'!$AP$5:$AP$25,"No"),"")</f>
        <v/>
      </c>
    </row>
    <row r="27" customFormat="false" ht="15" hidden="false" customHeight="false" outlineLevel="0" collapsed="false">
      <c r="A27" s="5"/>
      <c r="B27" s="5" t="s">
        <v>202</v>
      </c>
      <c r="C27" s="5"/>
      <c r="D27" s="29" t="n">
        <f aca="false">COUNTIFS('Episode Detail'!$AJ$5:$AJ$25,$B27,'Episode Detail'!$AP$5:$AP$25,"No")</f>
        <v>1</v>
      </c>
      <c r="E27" s="30" t="n">
        <f aca="false">SUMIFS('Episode Detail'!$V$5:$V$25,'Episode Detail'!$AJ$5:$AJ$25,$B27,'Episode Detail'!$AP$5:$AP$25,"No")</f>
        <v>12</v>
      </c>
      <c r="F27" s="30" t="n">
        <f aca="false">SUMIFS('Episode Detail'!$AD$5:$AD$25,'Episode Detail'!$AJ$5:$AJ$25,$B27,'Episode Detail'!$AT$5:$AT$25,"Open",'Episode Detail'!$AP$5:$AP$25,"No")</f>
        <v>3397.44</v>
      </c>
      <c r="G27" s="30" t="n">
        <f aca="false">SUMIFS('Episode Detail'!$AF$5:$AF$25,'Episode Detail'!$AJ$5:$AJ$25,$B27,'Episode Detail'!$AP$5:$AP$25,"No")</f>
        <v>0</v>
      </c>
      <c r="H27" s="30" t="n">
        <f aca="false">SUMIFS('Episode Detail'!$AG$5:$AG$25,'Episode Detail'!$AJ$5:$AJ$25,$B27,'Episode Detail'!$AP$5:$AP$25,"No")</f>
        <v>0</v>
      </c>
      <c r="I27" s="30" t="n">
        <f aca="false">SUMIFS('Episode Detail'!$AH$5:$AH$25,'Episode Detail'!$AJ$5:$AJ$25,$B27,'Episode Detail'!$AP$5:$AP$25,"No")</f>
        <v>0</v>
      </c>
      <c r="J27" s="31" t="n">
        <f aca="false">IFERROR(AVERAGEIFS('Episode Detail'!$R$5:$R$25,'Episode Detail'!$AJ$5:$AJ$25,$B27,'Episode Detail'!$T$5:$T$25,"Yes",'Episode Detail'!$AP$5:$AP$25,"No"),"")</f>
        <v>2</v>
      </c>
    </row>
    <row r="28" customFormat="false" ht="15" hidden="false" customHeight="false" outlineLevel="0" collapsed="false">
      <c r="A28" s="5"/>
      <c r="B28" s="5" t="s">
        <v>203</v>
      </c>
      <c r="C28" s="5"/>
      <c r="D28" s="29" t="n">
        <f aca="false">COUNTIFS('Episode Detail'!$AJ$5:$AJ$25,$B28,'Episode Detail'!$AP$5:$AP$25,"No")</f>
        <v>0</v>
      </c>
      <c r="E28" s="30" t="n">
        <f aca="false">SUMIFS('Episode Detail'!$V$5:$V$25,'Episode Detail'!$AJ$5:$AJ$25,$B28,'Episode Detail'!$AP$5:$AP$25,"No")</f>
        <v>0</v>
      </c>
      <c r="F28" s="30" t="n">
        <f aca="false">SUMIFS('Episode Detail'!$AD$5:$AD$25,'Episode Detail'!$AJ$5:$AJ$25,$B28,'Episode Detail'!$AT$5:$AT$25,"Open",'Episode Detail'!$AP$5:$AP$25,"No")</f>
        <v>0</v>
      </c>
      <c r="G28" s="30" t="n">
        <f aca="false">SUMIFS('Episode Detail'!$AF$5:$AF$25,'Episode Detail'!$AJ$5:$AJ$25,$B28,'Episode Detail'!$AP$5:$AP$25,"No")</f>
        <v>0</v>
      </c>
      <c r="H28" s="30" t="n">
        <f aca="false">SUMIFS('Episode Detail'!$AG$5:$AG$25,'Episode Detail'!$AJ$5:$AJ$25,$B28,'Episode Detail'!$AP$5:$AP$25,"No")</f>
        <v>0</v>
      </c>
      <c r="I28" s="30" t="n">
        <f aca="false">SUMIFS('Episode Detail'!$AH$5:$AH$25,'Episode Detail'!$AJ$5:$AJ$25,$B28,'Episode Detail'!$AP$5:$AP$25,"No")</f>
        <v>0</v>
      </c>
      <c r="J28" s="31" t="str">
        <f aca="false">IFERROR(AVERAGEIFS('Episode Detail'!$R$5:$R$25,'Episode Detail'!$AJ$5:$AJ$25,$B28,'Episode Detail'!$T$5:$T$25,"Yes",'Episode Detail'!$AP$5:$AP$25,"No"),"")</f>
        <v/>
      </c>
    </row>
    <row r="29" customFormat="false" ht="15" hidden="false" customHeight="false" outlineLevel="0" collapsed="false">
      <c r="A29" s="5"/>
      <c r="B29" s="5" t="s">
        <v>204</v>
      </c>
      <c r="C29" s="5"/>
      <c r="D29" s="29" t="n">
        <f aca="false">COUNTIFS('Episode Detail'!$AJ$5:$AJ$25,$B29,'Episode Detail'!$AP$5:$AP$25,"No")</f>
        <v>0</v>
      </c>
      <c r="E29" s="30" t="n">
        <f aca="false">SUMIFS('Episode Detail'!$V$5:$V$25,'Episode Detail'!$AJ$5:$AJ$25,$B29,'Episode Detail'!$AP$5:$AP$25,"No")</f>
        <v>0</v>
      </c>
      <c r="F29" s="30" t="n">
        <f aca="false">SUMIFS('Episode Detail'!$AD$5:$AD$25,'Episode Detail'!$AJ$5:$AJ$25,$B29,'Episode Detail'!$AT$5:$AT$25,"Open",'Episode Detail'!$AP$5:$AP$25,"No")</f>
        <v>0</v>
      </c>
      <c r="G29" s="30" t="n">
        <f aca="false">SUMIFS('Episode Detail'!$AF$5:$AF$25,'Episode Detail'!$AJ$5:$AJ$25,$B29,'Episode Detail'!$AP$5:$AP$25,"No")</f>
        <v>0</v>
      </c>
      <c r="H29" s="30" t="n">
        <f aca="false">SUMIFS('Episode Detail'!$AG$5:$AG$25,'Episode Detail'!$AJ$5:$AJ$25,$B29,'Episode Detail'!$AP$5:$AP$25,"No")</f>
        <v>0</v>
      </c>
      <c r="I29" s="30" t="n">
        <f aca="false">SUMIFS('Episode Detail'!$AH$5:$AH$25,'Episode Detail'!$AJ$5:$AJ$25,$B29,'Episode Detail'!$AP$5:$AP$25,"No")</f>
        <v>0</v>
      </c>
      <c r="J29" s="31" t="str">
        <f aca="false">IFERROR(AVERAGEIFS('Episode Detail'!$R$5:$R$25,'Episode Detail'!$AJ$5:$AJ$25,$B29,'Episode Detail'!$T$5:$T$25,"Yes",'Episode Detail'!$AP$5:$AP$25,"No"),"")</f>
        <v/>
      </c>
    </row>
    <row r="30" customFormat="false" ht="15" hidden="false" customHeight="false" outlineLevel="0" collapsed="false">
      <c r="A30" s="5"/>
      <c r="B30" s="5" t="s">
        <v>205</v>
      </c>
      <c r="C30" s="5"/>
      <c r="D30" s="29" t="n">
        <f aca="false">COUNTIFS('Episode Detail'!$AJ$5:$AJ$25,$B30,'Episode Detail'!$AP$5:$AP$25,"No")</f>
        <v>0</v>
      </c>
      <c r="E30" s="30" t="n">
        <f aca="false">SUMIFS('Episode Detail'!$V$5:$V$25,'Episode Detail'!$AJ$5:$AJ$25,$B30,'Episode Detail'!$AP$5:$AP$25,"No")</f>
        <v>0</v>
      </c>
      <c r="F30" s="30" t="n">
        <f aca="false">SUMIFS('Episode Detail'!$AD$5:$AD$25,'Episode Detail'!$AJ$5:$AJ$25,$B30,'Episode Detail'!$AT$5:$AT$25,"Open",'Episode Detail'!$AP$5:$AP$25,"No")</f>
        <v>0</v>
      </c>
      <c r="G30" s="30" t="n">
        <f aca="false">SUMIFS('Episode Detail'!$AF$5:$AF$25,'Episode Detail'!$AJ$5:$AJ$25,$B30,'Episode Detail'!$AP$5:$AP$25,"No")</f>
        <v>0</v>
      </c>
      <c r="H30" s="30" t="n">
        <f aca="false">SUMIFS('Episode Detail'!$AG$5:$AG$25,'Episode Detail'!$AJ$5:$AJ$25,$B30,'Episode Detail'!$AP$5:$AP$25,"No")</f>
        <v>0</v>
      </c>
      <c r="I30" s="30" t="n">
        <f aca="false">SUMIFS('Episode Detail'!$AH$5:$AH$25,'Episode Detail'!$AJ$5:$AJ$25,$B30,'Episode Detail'!$AP$5:$AP$25,"No")</f>
        <v>0</v>
      </c>
      <c r="J30" s="31" t="str">
        <f aca="false">IFERROR(AVERAGEIFS('Episode Detail'!$R$5:$R$25,'Episode Detail'!$AJ$5:$AJ$25,$B30,'Episode Detail'!$T$5:$T$25,"Yes",'Episode Detail'!$AP$5:$AP$25,"No"),"")</f>
        <v/>
      </c>
    </row>
    <row r="31" customFormat="false" ht="15" hidden="false" customHeight="false" outlineLevel="0" collapsed="false">
      <c r="A31" s="16" t="s">
        <v>206</v>
      </c>
      <c r="B31" s="16" t="s">
        <v>179</v>
      </c>
      <c r="C31" s="16" t="s">
        <v>130</v>
      </c>
      <c r="D31" s="17" t="n">
        <f aca="false">COUNTIFS('Episode Detail'!$AK$5:$AK$25,$A31,'Episode Detail'!$AP$5:$AP$25,"No")</f>
        <v>1</v>
      </c>
      <c r="E31" s="18" t="n">
        <f aca="false">SUMIFS('Episode Detail'!$V$5:$V$25,'Episode Detail'!$AK$5:$AK$25,$A31,'Episode Detail'!$AP$5:$AP$25,"No")</f>
        <v>1</v>
      </c>
      <c r="F31" s="18" t="n">
        <f aca="false">SUMIFS('Episode Detail'!$AD$5:$AD$25,'Episode Detail'!$AK$5:$AK$25,$A31,'Episode Detail'!$AT$5:$AT$25,"Open",'Episode Detail'!$AP$5:$AP$25,"No")</f>
        <v>2935</v>
      </c>
      <c r="G31" s="18" t="n">
        <f aca="false">SUMIFS('Episode Detail'!$AF$5:$AF$25,'Episode Detail'!$AK$5:$AK$25,$A31,'Episode Detail'!$AP$5:$AP$25,"No")</f>
        <v>0</v>
      </c>
      <c r="H31" s="18" t="n">
        <f aca="false">SUMIFS('Episode Detail'!$AG$5:$AG$25,'Episode Detail'!$AK$5:$AK$25,$A31,'Episode Detail'!$AP$5:$AP$25,"No")</f>
        <v>0</v>
      </c>
      <c r="I31" s="18" t="n">
        <f aca="false">SUMIFS('Episode Detail'!$AH$5:$AH$25,'Episode Detail'!$AK$5:$AK$25,$A31,'Episode Detail'!$AP$5:$AP$25,"No")</f>
        <v>0</v>
      </c>
      <c r="J31" s="28" t="n">
        <f aca="false">IFERROR(AVERAGEIFS('Episode Detail'!$R$5:$R$25,'Episode Detail'!$AK$5:$AK$25,$A31,'Episode Detail'!$T$5:$T$25,"Yes",'Episode Detail'!$AP$5:$AP$25,"No"),"")</f>
        <v>4</v>
      </c>
    </row>
    <row r="32" customFormat="false" ht="15" hidden="false" customHeight="false" outlineLevel="0" collapsed="false">
      <c r="A32" s="5"/>
      <c r="B32" s="5" t="s">
        <v>207</v>
      </c>
      <c r="C32" s="5"/>
      <c r="D32" s="29" t="n">
        <f aca="false">COUNTIFS('Episode Detail'!$AJ$5:$AJ$25,$B32,'Episode Detail'!$AP$5:$AP$25,"No")</f>
        <v>0</v>
      </c>
      <c r="E32" s="30" t="n">
        <f aca="false">SUMIFS('Episode Detail'!$V$5:$V$25,'Episode Detail'!$AJ$5:$AJ$25,$B32,'Episode Detail'!$AP$5:$AP$25,"No")</f>
        <v>0</v>
      </c>
      <c r="F32" s="30" t="n">
        <f aca="false">SUMIFS('Episode Detail'!$AD$5:$AD$25,'Episode Detail'!$AJ$5:$AJ$25,$B32,'Episode Detail'!$AT$5:$AT$25,"Open",'Episode Detail'!$AP$5:$AP$25,"No")</f>
        <v>0</v>
      </c>
      <c r="G32" s="30" t="n">
        <f aca="false">SUMIFS('Episode Detail'!$AF$5:$AF$25,'Episode Detail'!$AJ$5:$AJ$25,$B32,'Episode Detail'!$AP$5:$AP$25,"No")</f>
        <v>0</v>
      </c>
      <c r="H32" s="30" t="n">
        <f aca="false">SUMIFS('Episode Detail'!$AG$5:$AG$25,'Episode Detail'!$AJ$5:$AJ$25,$B32,'Episode Detail'!$AP$5:$AP$25,"No")</f>
        <v>0</v>
      </c>
      <c r="I32" s="30" t="n">
        <f aca="false">SUMIFS('Episode Detail'!$AH$5:$AH$25,'Episode Detail'!$AJ$5:$AJ$25,$B32,'Episode Detail'!$AP$5:$AP$25,"No")</f>
        <v>0</v>
      </c>
      <c r="J32" s="31" t="str">
        <f aca="false">IFERROR(AVERAGEIFS('Episode Detail'!$R$5:$R$25,'Episode Detail'!$AJ$5:$AJ$25,$B32,'Episode Detail'!$T$5:$T$25,"Yes",'Episode Detail'!$AP$5:$AP$25,"No"),"")</f>
        <v/>
      </c>
    </row>
    <row r="33" customFormat="false" ht="15" hidden="false" customHeight="false" outlineLevel="0" collapsed="false">
      <c r="A33" s="5"/>
      <c r="B33" s="5" t="s">
        <v>208</v>
      </c>
      <c r="C33" s="5"/>
      <c r="D33" s="29" t="n">
        <f aca="false">COUNTIFS('Episode Detail'!$AJ$5:$AJ$25,$B33,'Episode Detail'!$AP$5:$AP$25,"No")</f>
        <v>0</v>
      </c>
      <c r="E33" s="30" t="n">
        <f aca="false">SUMIFS('Episode Detail'!$V$5:$V$25,'Episode Detail'!$AJ$5:$AJ$25,$B33,'Episode Detail'!$AP$5:$AP$25,"No")</f>
        <v>0</v>
      </c>
      <c r="F33" s="30" t="n">
        <f aca="false">SUMIFS('Episode Detail'!$AD$5:$AD$25,'Episode Detail'!$AJ$5:$AJ$25,$B33,'Episode Detail'!$AT$5:$AT$25,"Open",'Episode Detail'!$AP$5:$AP$25,"No")</f>
        <v>0</v>
      </c>
      <c r="G33" s="30" t="n">
        <f aca="false">SUMIFS('Episode Detail'!$AF$5:$AF$25,'Episode Detail'!$AJ$5:$AJ$25,$B33,'Episode Detail'!$AP$5:$AP$25,"No")</f>
        <v>0</v>
      </c>
      <c r="H33" s="30" t="n">
        <f aca="false">SUMIFS('Episode Detail'!$AG$5:$AG$25,'Episode Detail'!$AJ$5:$AJ$25,$B33,'Episode Detail'!$AP$5:$AP$25,"No")</f>
        <v>0</v>
      </c>
      <c r="I33" s="30" t="n">
        <f aca="false">SUMIFS('Episode Detail'!$AH$5:$AH$25,'Episode Detail'!$AJ$5:$AJ$25,$B33,'Episode Detail'!$AP$5:$AP$25,"No")</f>
        <v>0</v>
      </c>
      <c r="J33" s="31" t="str">
        <f aca="false">IFERROR(AVERAGEIFS('Episode Detail'!$R$5:$R$25,'Episode Detail'!$AJ$5:$AJ$25,$B33,'Episode Detail'!$T$5:$T$25,"Yes",'Episode Detail'!$AP$5:$AP$25,"No"),"")</f>
        <v/>
      </c>
    </row>
    <row r="34" customFormat="false" ht="15" hidden="false" customHeight="false" outlineLevel="0" collapsed="false">
      <c r="A34" s="5"/>
      <c r="B34" s="5" t="s">
        <v>209</v>
      </c>
      <c r="C34" s="5"/>
      <c r="D34" s="29" t="n">
        <f aca="false">COUNTIFS('Episode Detail'!$AJ$5:$AJ$25,$B34,'Episode Detail'!$AP$5:$AP$25,"No")</f>
        <v>0</v>
      </c>
      <c r="E34" s="30" t="n">
        <f aca="false">SUMIFS('Episode Detail'!$V$5:$V$25,'Episode Detail'!$AJ$5:$AJ$25,$B34,'Episode Detail'!$AP$5:$AP$25,"No")</f>
        <v>0</v>
      </c>
      <c r="F34" s="30" t="n">
        <f aca="false">SUMIFS('Episode Detail'!$AD$5:$AD$25,'Episode Detail'!$AJ$5:$AJ$25,$B34,'Episode Detail'!$AT$5:$AT$25,"Open",'Episode Detail'!$AP$5:$AP$25,"No")</f>
        <v>0</v>
      </c>
      <c r="G34" s="30" t="n">
        <f aca="false">SUMIFS('Episode Detail'!$AF$5:$AF$25,'Episode Detail'!$AJ$5:$AJ$25,$B34,'Episode Detail'!$AP$5:$AP$25,"No")</f>
        <v>0</v>
      </c>
      <c r="H34" s="30" t="n">
        <f aca="false">SUMIFS('Episode Detail'!$AG$5:$AG$25,'Episode Detail'!$AJ$5:$AJ$25,$B34,'Episode Detail'!$AP$5:$AP$25,"No")</f>
        <v>0</v>
      </c>
      <c r="I34" s="30" t="n">
        <f aca="false">SUMIFS('Episode Detail'!$AH$5:$AH$25,'Episode Detail'!$AJ$5:$AJ$25,$B34,'Episode Detail'!$AP$5:$AP$25,"No")</f>
        <v>0</v>
      </c>
      <c r="J34" s="31" t="str">
        <f aca="false">IFERROR(AVERAGEIFS('Episode Detail'!$R$5:$R$25,'Episode Detail'!$AJ$5:$AJ$25,$B34,'Episode Detail'!$T$5:$T$25,"Yes",'Episode Detail'!$AP$5:$AP$25,"No"),"")</f>
        <v/>
      </c>
    </row>
    <row r="35" customFormat="false" ht="15" hidden="false" customHeight="false" outlineLevel="0" collapsed="false">
      <c r="A35" s="5"/>
      <c r="B35" s="5" t="s">
        <v>210</v>
      </c>
      <c r="C35" s="5"/>
      <c r="D35" s="29" t="n">
        <f aca="false">COUNTIFS('Episode Detail'!$AJ$5:$AJ$25,$B35,'Episode Detail'!$AP$5:$AP$25,"No")</f>
        <v>0</v>
      </c>
      <c r="E35" s="30" t="n">
        <f aca="false">SUMIFS('Episode Detail'!$V$5:$V$25,'Episode Detail'!$AJ$5:$AJ$25,$B35,'Episode Detail'!$AP$5:$AP$25,"No")</f>
        <v>0</v>
      </c>
      <c r="F35" s="30" t="n">
        <f aca="false">SUMIFS('Episode Detail'!$AD$5:$AD$25,'Episode Detail'!$AJ$5:$AJ$25,$B35,'Episode Detail'!$AT$5:$AT$25,"Open",'Episode Detail'!$AP$5:$AP$25,"No")</f>
        <v>0</v>
      </c>
      <c r="G35" s="30" t="n">
        <f aca="false">SUMIFS('Episode Detail'!$AF$5:$AF$25,'Episode Detail'!$AJ$5:$AJ$25,$B35,'Episode Detail'!$AP$5:$AP$25,"No")</f>
        <v>0</v>
      </c>
      <c r="H35" s="30" t="n">
        <f aca="false">SUMIFS('Episode Detail'!$AG$5:$AG$25,'Episode Detail'!$AJ$5:$AJ$25,$B35,'Episode Detail'!$AP$5:$AP$25,"No")</f>
        <v>0</v>
      </c>
      <c r="I35" s="30" t="n">
        <f aca="false">SUMIFS('Episode Detail'!$AH$5:$AH$25,'Episode Detail'!$AJ$5:$AJ$25,$B35,'Episode Detail'!$AP$5:$AP$25,"No")</f>
        <v>0</v>
      </c>
      <c r="J35" s="31" t="str">
        <f aca="false">IFERROR(AVERAGEIFS('Episode Detail'!$R$5:$R$25,'Episode Detail'!$AJ$5:$AJ$25,$B35,'Episode Detail'!$T$5:$T$25,"Yes",'Episode Detail'!$AP$5:$AP$25,"No"),"")</f>
        <v/>
      </c>
    </row>
    <row r="36" customFormat="false" ht="15" hidden="false" customHeight="false" outlineLevel="0" collapsed="false">
      <c r="A36" s="5"/>
      <c r="B36" s="5" t="s">
        <v>211</v>
      </c>
      <c r="C36" s="5"/>
      <c r="D36" s="29" t="n">
        <f aca="false">COUNTIFS('Episode Detail'!$AJ$5:$AJ$25,$B36,'Episode Detail'!$AP$5:$AP$25,"No")</f>
        <v>0</v>
      </c>
      <c r="E36" s="30" t="n">
        <f aca="false">SUMIFS('Episode Detail'!$V$5:$V$25,'Episode Detail'!$AJ$5:$AJ$25,$B36,'Episode Detail'!$AP$5:$AP$25,"No")</f>
        <v>0</v>
      </c>
      <c r="F36" s="30" t="n">
        <f aca="false">SUMIFS('Episode Detail'!$AD$5:$AD$25,'Episode Detail'!$AJ$5:$AJ$25,$B36,'Episode Detail'!$AT$5:$AT$25,"Open",'Episode Detail'!$AP$5:$AP$25,"No")</f>
        <v>0</v>
      </c>
      <c r="G36" s="30" t="n">
        <f aca="false">SUMIFS('Episode Detail'!$AF$5:$AF$25,'Episode Detail'!$AJ$5:$AJ$25,$B36,'Episode Detail'!$AP$5:$AP$25,"No")</f>
        <v>0</v>
      </c>
      <c r="H36" s="30" t="n">
        <f aca="false">SUMIFS('Episode Detail'!$AG$5:$AG$25,'Episode Detail'!$AJ$5:$AJ$25,$B36,'Episode Detail'!$AP$5:$AP$25,"No")</f>
        <v>0</v>
      </c>
      <c r="I36" s="30" t="n">
        <f aca="false">SUMIFS('Episode Detail'!$AH$5:$AH$25,'Episode Detail'!$AJ$5:$AJ$25,$B36,'Episode Detail'!$AP$5:$AP$25,"No")</f>
        <v>0</v>
      </c>
      <c r="J36" s="31" t="str">
        <f aca="false">IFERROR(AVERAGEIFS('Episode Detail'!$R$5:$R$25,'Episode Detail'!$AJ$5:$AJ$25,$B36,'Episode Detail'!$T$5:$T$25,"Yes",'Episode Detail'!$AP$5:$AP$25,"No"),"")</f>
        <v/>
      </c>
    </row>
    <row r="37" customFormat="false" ht="15" hidden="false" customHeight="false" outlineLevel="0" collapsed="false">
      <c r="A37" s="5"/>
      <c r="B37" s="5" t="s">
        <v>212</v>
      </c>
      <c r="C37" s="5"/>
      <c r="D37" s="29" t="n">
        <f aca="false">COUNTIFS('Episode Detail'!$AJ$5:$AJ$25,$B37,'Episode Detail'!$AP$5:$AP$25,"No")</f>
        <v>0</v>
      </c>
      <c r="E37" s="30" t="n">
        <f aca="false">SUMIFS('Episode Detail'!$V$5:$V$25,'Episode Detail'!$AJ$5:$AJ$25,$B37,'Episode Detail'!$AP$5:$AP$25,"No")</f>
        <v>0</v>
      </c>
      <c r="F37" s="30" t="n">
        <f aca="false">SUMIFS('Episode Detail'!$AD$5:$AD$25,'Episode Detail'!$AJ$5:$AJ$25,$B37,'Episode Detail'!$AT$5:$AT$25,"Open",'Episode Detail'!$AP$5:$AP$25,"No")</f>
        <v>0</v>
      </c>
      <c r="G37" s="30" t="n">
        <f aca="false">SUMIFS('Episode Detail'!$AF$5:$AF$25,'Episode Detail'!$AJ$5:$AJ$25,$B37,'Episode Detail'!$AP$5:$AP$25,"No")</f>
        <v>0</v>
      </c>
      <c r="H37" s="30" t="n">
        <f aca="false">SUMIFS('Episode Detail'!$AG$5:$AG$25,'Episode Detail'!$AJ$5:$AJ$25,$B37,'Episode Detail'!$AP$5:$AP$25,"No")</f>
        <v>0</v>
      </c>
      <c r="I37" s="30" t="n">
        <f aca="false">SUMIFS('Episode Detail'!$AH$5:$AH$25,'Episode Detail'!$AJ$5:$AJ$25,$B37,'Episode Detail'!$AP$5:$AP$25,"No")</f>
        <v>0</v>
      </c>
      <c r="J37" s="31" t="str">
        <f aca="false">IFERROR(AVERAGEIFS('Episode Detail'!$R$5:$R$25,'Episode Detail'!$AJ$5:$AJ$25,$B37,'Episode Detail'!$T$5:$T$25,"Yes",'Episode Detail'!$AP$5:$AP$25,"No"),"")</f>
        <v/>
      </c>
    </row>
    <row r="38" customFormat="false" ht="15" hidden="false" customHeight="false" outlineLevel="0" collapsed="false">
      <c r="A38" s="5"/>
      <c r="B38" s="5" t="s">
        <v>213</v>
      </c>
      <c r="C38" s="5"/>
      <c r="D38" s="29" t="n">
        <f aca="false">COUNTIFS('Episode Detail'!$AJ$5:$AJ$25,$B38,'Episode Detail'!$AP$5:$AP$25,"No")</f>
        <v>0</v>
      </c>
      <c r="E38" s="30" t="n">
        <f aca="false">SUMIFS('Episode Detail'!$V$5:$V$25,'Episode Detail'!$AJ$5:$AJ$25,$B38,'Episode Detail'!$AP$5:$AP$25,"No")</f>
        <v>0</v>
      </c>
      <c r="F38" s="30" t="n">
        <f aca="false">SUMIFS('Episode Detail'!$AD$5:$AD$25,'Episode Detail'!$AJ$5:$AJ$25,$B38,'Episode Detail'!$AT$5:$AT$25,"Open",'Episode Detail'!$AP$5:$AP$25,"No")</f>
        <v>0</v>
      </c>
      <c r="G38" s="30" t="n">
        <f aca="false">SUMIFS('Episode Detail'!$AF$5:$AF$25,'Episode Detail'!$AJ$5:$AJ$25,$B38,'Episode Detail'!$AP$5:$AP$25,"No")</f>
        <v>0</v>
      </c>
      <c r="H38" s="30" t="n">
        <f aca="false">SUMIFS('Episode Detail'!$AG$5:$AG$25,'Episode Detail'!$AJ$5:$AJ$25,$B38,'Episode Detail'!$AP$5:$AP$25,"No")</f>
        <v>0</v>
      </c>
      <c r="I38" s="30" t="n">
        <f aca="false">SUMIFS('Episode Detail'!$AH$5:$AH$25,'Episode Detail'!$AJ$5:$AJ$25,$B38,'Episode Detail'!$AP$5:$AP$25,"No")</f>
        <v>0</v>
      </c>
      <c r="J38" s="31" t="str">
        <f aca="false">IFERROR(AVERAGEIFS('Episode Detail'!$R$5:$R$25,'Episode Detail'!$AJ$5:$AJ$25,$B38,'Episode Detail'!$T$5:$T$25,"Yes",'Episode Detail'!$AP$5:$AP$25,"No"),"")</f>
        <v/>
      </c>
    </row>
    <row r="39" customFormat="false" ht="15" hidden="false" customHeight="false" outlineLevel="0" collapsed="false">
      <c r="A39" s="5"/>
      <c r="B39" s="5" t="s">
        <v>214</v>
      </c>
      <c r="C39" s="5"/>
      <c r="D39" s="29" t="n">
        <f aca="false">COUNTIFS('Episode Detail'!$AJ$5:$AJ$25,$B39,'Episode Detail'!$AP$5:$AP$25,"No")</f>
        <v>0</v>
      </c>
      <c r="E39" s="30" t="n">
        <f aca="false">SUMIFS('Episode Detail'!$V$5:$V$25,'Episode Detail'!$AJ$5:$AJ$25,$B39,'Episode Detail'!$AP$5:$AP$25,"No")</f>
        <v>0</v>
      </c>
      <c r="F39" s="30" t="n">
        <f aca="false">SUMIFS('Episode Detail'!$AD$5:$AD$25,'Episode Detail'!$AJ$5:$AJ$25,$B39,'Episode Detail'!$AT$5:$AT$25,"Open",'Episode Detail'!$AP$5:$AP$25,"No")</f>
        <v>0</v>
      </c>
      <c r="G39" s="30" t="n">
        <f aca="false">SUMIFS('Episode Detail'!$AF$5:$AF$25,'Episode Detail'!$AJ$5:$AJ$25,$B39,'Episode Detail'!$AP$5:$AP$25,"No")</f>
        <v>0</v>
      </c>
      <c r="H39" s="30" t="n">
        <f aca="false">SUMIFS('Episode Detail'!$AG$5:$AG$25,'Episode Detail'!$AJ$5:$AJ$25,$B39,'Episode Detail'!$AP$5:$AP$25,"No")</f>
        <v>0</v>
      </c>
      <c r="I39" s="30" t="n">
        <f aca="false">SUMIFS('Episode Detail'!$AH$5:$AH$25,'Episode Detail'!$AJ$5:$AJ$25,$B39,'Episode Detail'!$AP$5:$AP$25,"No")</f>
        <v>0</v>
      </c>
      <c r="J39" s="31" t="str">
        <f aca="false">IFERROR(AVERAGEIFS('Episode Detail'!$R$5:$R$25,'Episode Detail'!$AJ$5:$AJ$25,$B39,'Episode Detail'!$T$5:$T$25,"Yes",'Episode Detail'!$AP$5:$AP$25,"No"),"")</f>
        <v/>
      </c>
    </row>
    <row r="40" customFormat="false" ht="15" hidden="false" customHeight="false" outlineLevel="0" collapsed="false">
      <c r="A40" s="5"/>
      <c r="B40" s="5" t="s">
        <v>215</v>
      </c>
      <c r="C40" s="5"/>
      <c r="D40" s="29" t="n">
        <f aca="false">COUNTIFS('Episode Detail'!$AJ$5:$AJ$25,$B40,'Episode Detail'!$AP$5:$AP$25,"No")</f>
        <v>1</v>
      </c>
      <c r="E40" s="30" t="n">
        <f aca="false">SUMIFS('Episode Detail'!$V$5:$V$25,'Episode Detail'!$AJ$5:$AJ$25,$B40,'Episode Detail'!$AP$5:$AP$25,"No")</f>
        <v>1</v>
      </c>
      <c r="F40" s="30" t="n">
        <f aca="false">SUMIFS('Episode Detail'!$AD$5:$AD$25,'Episode Detail'!$AJ$5:$AJ$25,$B40,'Episode Detail'!$AT$5:$AT$25,"Open",'Episode Detail'!$AP$5:$AP$25,"No")</f>
        <v>2935</v>
      </c>
      <c r="G40" s="30" t="n">
        <f aca="false">SUMIFS('Episode Detail'!$AF$5:$AF$25,'Episode Detail'!$AJ$5:$AJ$25,$B40,'Episode Detail'!$AP$5:$AP$25,"No")</f>
        <v>0</v>
      </c>
      <c r="H40" s="30" t="n">
        <f aca="false">SUMIFS('Episode Detail'!$AG$5:$AG$25,'Episode Detail'!$AJ$5:$AJ$25,$B40,'Episode Detail'!$AP$5:$AP$25,"No")</f>
        <v>0</v>
      </c>
      <c r="I40" s="30" t="n">
        <f aca="false">SUMIFS('Episode Detail'!$AH$5:$AH$25,'Episode Detail'!$AJ$5:$AJ$25,$B40,'Episode Detail'!$AP$5:$AP$25,"No")</f>
        <v>0</v>
      </c>
      <c r="J40" s="31" t="n">
        <f aca="false">IFERROR(AVERAGEIFS('Episode Detail'!$R$5:$R$25,'Episode Detail'!$AJ$5:$AJ$25,$B40,'Episode Detail'!$T$5:$T$25,"Yes",'Episode Detail'!$AP$5:$AP$25,"No"),"")</f>
        <v>4</v>
      </c>
    </row>
    <row r="41" customFormat="false" ht="15" hidden="false" customHeight="false" outlineLevel="0" collapsed="false">
      <c r="A41" s="5"/>
      <c r="B41" s="5" t="s">
        <v>216</v>
      </c>
      <c r="C41" s="5"/>
      <c r="D41" s="29" t="n">
        <f aca="false">COUNTIFS('Episode Detail'!$AJ$5:$AJ$25,$B41,'Episode Detail'!$AP$5:$AP$25,"No")</f>
        <v>0</v>
      </c>
      <c r="E41" s="30" t="n">
        <f aca="false">SUMIFS('Episode Detail'!$V$5:$V$25,'Episode Detail'!$AJ$5:$AJ$25,$B41,'Episode Detail'!$AP$5:$AP$25,"No")</f>
        <v>0</v>
      </c>
      <c r="F41" s="30" t="n">
        <f aca="false">SUMIFS('Episode Detail'!$AD$5:$AD$25,'Episode Detail'!$AJ$5:$AJ$25,$B41,'Episode Detail'!$AT$5:$AT$25,"Open",'Episode Detail'!$AP$5:$AP$25,"No")</f>
        <v>0</v>
      </c>
      <c r="G41" s="30" t="n">
        <f aca="false">SUMIFS('Episode Detail'!$AF$5:$AF$25,'Episode Detail'!$AJ$5:$AJ$25,$B41,'Episode Detail'!$AP$5:$AP$25,"No")</f>
        <v>0</v>
      </c>
      <c r="H41" s="30" t="n">
        <f aca="false">SUMIFS('Episode Detail'!$AG$5:$AG$25,'Episode Detail'!$AJ$5:$AJ$25,$B41,'Episode Detail'!$AP$5:$AP$25,"No")</f>
        <v>0</v>
      </c>
      <c r="I41" s="30" t="n">
        <f aca="false">SUMIFS('Episode Detail'!$AH$5:$AH$25,'Episode Detail'!$AJ$5:$AJ$25,$B41,'Episode Detail'!$AP$5:$AP$25,"No")</f>
        <v>0</v>
      </c>
      <c r="J41" s="31" t="str">
        <f aca="false">IFERROR(AVERAGEIFS('Episode Detail'!$R$5:$R$25,'Episode Detail'!$AJ$5:$AJ$25,$B41,'Episode Detail'!$T$5:$T$25,"Yes",'Episode Detail'!$AP$5:$AP$25,"No"),"")</f>
        <v/>
      </c>
    </row>
    <row r="42" customFormat="false" ht="15" hidden="false" customHeight="false" outlineLevel="0" collapsed="false">
      <c r="A42" s="5"/>
      <c r="B42" s="5" t="s">
        <v>217</v>
      </c>
      <c r="C42" s="5"/>
      <c r="D42" s="29" t="n">
        <f aca="false">COUNTIFS('Episode Detail'!$AJ$5:$AJ$25,$B42,'Episode Detail'!$AP$5:$AP$25,"No")</f>
        <v>0</v>
      </c>
      <c r="E42" s="30" t="n">
        <f aca="false">SUMIFS('Episode Detail'!$V$5:$V$25,'Episode Detail'!$AJ$5:$AJ$25,$B42,'Episode Detail'!$AP$5:$AP$25,"No")</f>
        <v>0</v>
      </c>
      <c r="F42" s="30" t="n">
        <f aca="false">SUMIFS('Episode Detail'!$AD$5:$AD$25,'Episode Detail'!$AJ$5:$AJ$25,$B42,'Episode Detail'!$AT$5:$AT$25,"Open",'Episode Detail'!$AP$5:$AP$25,"No")</f>
        <v>0</v>
      </c>
      <c r="G42" s="30" t="n">
        <f aca="false">SUMIFS('Episode Detail'!$AF$5:$AF$25,'Episode Detail'!$AJ$5:$AJ$25,$B42,'Episode Detail'!$AP$5:$AP$25,"No")</f>
        <v>0</v>
      </c>
      <c r="H42" s="30" t="n">
        <f aca="false">SUMIFS('Episode Detail'!$AG$5:$AG$25,'Episode Detail'!$AJ$5:$AJ$25,$B42,'Episode Detail'!$AP$5:$AP$25,"No")</f>
        <v>0</v>
      </c>
      <c r="I42" s="30" t="n">
        <f aca="false">SUMIFS('Episode Detail'!$AH$5:$AH$25,'Episode Detail'!$AJ$5:$AJ$25,$B42,'Episode Detail'!$AP$5:$AP$25,"No")</f>
        <v>0</v>
      </c>
      <c r="J42" s="31" t="str">
        <f aca="false">IFERROR(AVERAGEIFS('Episode Detail'!$R$5:$R$25,'Episode Detail'!$AJ$5:$AJ$25,$B42,'Episode Detail'!$T$5:$T$25,"Yes",'Episode Detail'!$AP$5:$AP$25,"No"),"")</f>
        <v/>
      </c>
    </row>
    <row r="43" customFormat="false" ht="15" hidden="false" customHeight="false" outlineLevel="0" collapsed="false">
      <c r="A43" s="16" t="s">
        <v>218</v>
      </c>
      <c r="B43" s="16" t="s">
        <v>179</v>
      </c>
      <c r="C43" s="16" t="s">
        <v>130</v>
      </c>
      <c r="D43" s="17" t="n">
        <f aca="false">COUNTIFS('Episode Detail'!$AK$5:$AK$25,$A43,'Episode Detail'!$AP$5:$AP$25,"No")</f>
        <v>1</v>
      </c>
      <c r="E43" s="18" t="n">
        <f aca="false">SUMIFS('Episode Detail'!$V$5:$V$25,'Episode Detail'!$AK$5:$AK$25,$A43,'Episode Detail'!$AP$5:$AP$25,"No")</f>
        <v>1188</v>
      </c>
      <c r="F43" s="18" t="n">
        <f aca="false">SUMIFS('Episode Detail'!$AD$5:$AD$25,'Episode Detail'!$AK$5:$AK$25,$A43,'Episode Detail'!$AT$5:$AT$25,"Open",'Episode Detail'!$AP$5:$AP$25,"No")</f>
        <v>1892531.52</v>
      </c>
      <c r="G43" s="18" t="n">
        <f aca="false">SUMIFS('Episode Detail'!$AF$5:$AF$25,'Episode Detail'!$AK$5:$AK$25,$A43,'Episode Detail'!$AP$5:$AP$25,"No")</f>
        <v>0</v>
      </c>
      <c r="H43" s="18" t="n">
        <f aca="false">SUMIFS('Episode Detail'!$AG$5:$AG$25,'Episode Detail'!$AK$5:$AK$25,$A43,'Episode Detail'!$AP$5:$AP$25,"No")</f>
        <v>0</v>
      </c>
      <c r="I43" s="18" t="n">
        <f aca="false">SUMIFS('Episode Detail'!$AH$5:$AH$25,'Episode Detail'!$AK$5:$AK$25,$A43,'Episode Detail'!$AP$5:$AP$25,"No")</f>
        <v>0</v>
      </c>
      <c r="J43" s="28" t="n">
        <f aca="false">IFERROR(AVERAGEIFS('Episode Detail'!$R$5:$R$25,'Episode Detail'!$AK$5:$AK$25,$A43,'Episode Detail'!$T$5:$T$25,"Yes",'Episode Detail'!$AP$5:$AP$25,"No"),"")</f>
        <v>2</v>
      </c>
    </row>
    <row r="44" customFormat="false" ht="15" hidden="false" customHeight="false" outlineLevel="0" collapsed="false">
      <c r="A44" s="5"/>
      <c r="B44" s="5" t="s">
        <v>219</v>
      </c>
      <c r="C44" s="5"/>
      <c r="D44" s="29" t="n">
        <f aca="false">COUNTIFS('Episode Detail'!$AJ$5:$AJ$25,$B44,'Episode Detail'!$AP$5:$AP$25,"No")</f>
        <v>1</v>
      </c>
      <c r="E44" s="30" t="n">
        <f aca="false">SUMIFS('Episode Detail'!$V$5:$V$25,'Episode Detail'!$AJ$5:$AJ$25,$B44,'Episode Detail'!$AP$5:$AP$25,"No")</f>
        <v>1188</v>
      </c>
      <c r="F44" s="30" t="n">
        <f aca="false">SUMIFS('Episode Detail'!$AD$5:$AD$25,'Episode Detail'!$AJ$5:$AJ$25,$B44,'Episode Detail'!$AT$5:$AT$25,"Open",'Episode Detail'!$AP$5:$AP$25,"No")</f>
        <v>1892531.52</v>
      </c>
      <c r="G44" s="30" t="n">
        <f aca="false">SUMIFS('Episode Detail'!$AF$5:$AF$25,'Episode Detail'!$AJ$5:$AJ$25,$B44,'Episode Detail'!$AP$5:$AP$25,"No")</f>
        <v>0</v>
      </c>
      <c r="H44" s="30" t="n">
        <f aca="false">SUMIFS('Episode Detail'!$AG$5:$AG$25,'Episode Detail'!$AJ$5:$AJ$25,$B44,'Episode Detail'!$AP$5:$AP$25,"No")</f>
        <v>0</v>
      </c>
      <c r="I44" s="30" t="n">
        <f aca="false">SUMIFS('Episode Detail'!$AH$5:$AH$25,'Episode Detail'!$AJ$5:$AJ$25,$B44,'Episode Detail'!$AP$5:$AP$25,"No")</f>
        <v>0</v>
      </c>
      <c r="J44" s="31" t="n">
        <f aca="false">IFERROR(AVERAGEIFS('Episode Detail'!$R$5:$R$25,'Episode Detail'!$AJ$5:$AJ$25,$B44,'Episode Detail'!$T$5:$T$25,"Yes",'Episode Detail'!$AP$5:$AP$25,"No"),"")</f>
        <v>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V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7"/>
    <col collapsed="false" customWidth="true" hidden="false" outlineLevel="0" max="3" min="3" style="0" width="11"/>
    <col collapsed="false" customWidth="true" hidden="false" outlineLevel="0" max="4" min="4" style="0" width="40"/>
    <col collapsed="false" customWidth="true" hidden="false" outlineLevel="0" max="5" min="5" style="0" width="28"/>
    <col collapsed="false" customWidth="true" hidden="false" outlineLevel="0" max="6" min="6" style="0" width="17"/>
    <col collapsed="false" customWidth="true" hidden="false" outlineLevel="0" max="7" min="7" style="0" width="11"/>
    <col collapsed="false" customWidth="true" hidden="false" outlineLevel="0" max="8" min="8" style="0" width="13"/>
    <col collapsed="false" customWidth="true" hidden="false" outlineLevel="0" max="9" min="9" style="0" width="12"/>
    <col collapsed="false" customWidth="true" hidden="false" outlineLevel="0" max="10" min="10" style="0" width="42"/>
    <col collapsed="false" customWidth="true" hidden="false" outlineLevel="0" max="11" min="11" style="0" width="8"/>
    <col collapsed="false" customWidth="true" hidden="false" outlineLevel="0" max="12" min="12" style="0" width="10"/>
    <col collapsed="false" customWidth="true" hidden="false" outlineLevel="0" max="13" min="13" style="0" width="13"/>
    <col collapsed="false" customWidth="true" hidden="false" outlineLevel="0" max="14" min="14" style="0" width="14"/>
    <col collapsed="false" customWidth="true" hidden="false" outlineLevel="0" max="15" min="15" style="0" width="12"/>
    <col collapsed="false" customWidth="true" hidden="false" outlineLevel="0" max="16" min="16" style="0" width="22"/>
    <col collapsed="false" customWidth="true" hidden="false" outlineLevel="0" max="18" min="17" style="0" width="11"/>
    <col collapsed="false" customWidth="true" hidden="false" outlineLevel="0" max="19" min="19" style="0" width="20"/>
    <col collapsed="false" customWidth="true" hidden="false" outlineLevel="0" max="20" min="20" style="0" width="17"/>
    <col collapsed="false" customWidth="true" hidden="false" outlineLevel="0" max="21" min="21" style="0" width="9"/>
    <col collapsed="false" customWidth="true" hidden="false" outlineLevel="0" max="22" min="22" style="0" width="12"/>
    <col collapsed="false" customWidth="true" hidden="false" outlineLevel="0" max="23" min="23" style="0" width="14"/>
    <col collapsed="false" customWidth="true" hidden="false" outlineLevel="0" max="24" min="24" style="0" width="11"/>
    <col collapsed="false" customWidth="true" hidden="false" outlineLevel="0" max="25" min="25" style="0" width="12"/>
    <col collapsed="false" customWidth="true" hidden="false" outlineLevel="0" max="26" min="26" style="0" width="11"/>
    <col collapsed="false" customWidth="true" hidden="false" outlineLevel="0" max="27" min="27" style="0" width="9"/>
    <col collapsed="false" customWidth="true" hidden="false" outlineLevel="0" max="28" min="28" style="0" width="10"/>
    <col collapsed="false" customWidth="true" hidden="false" outlineLevel="0" max="31" min="29" style="0" width="16"/>
    <col collapsed="false" customWidth="true" hidden="false" outlineLevel="0" max="32" min="32" style="0" width="15"/>
    <col collapsed="false" customWidth="true" hidden="false" outlineLevel="0" max="33" min="33" style="0" width="17"/>
    <col collapsed="false" customWidth="true" hidden="false" outlineLevel="0" max="34" min="34" style="0" width="14"/>
    <col collapsed="false" customWidth="true" hidden="false" outlineLevel="0" max="35" min="35" style="0" width="16"/>
    <col collapsed="false" customWidth="true" hidden="false" outlineLevel="0" max="36" min="36" style="0" width="26"/>
    <col collapsed="false" customWidth="true" hidden="false" outlineLevel="0" max="37" min="37" style="0" width="15"/>
    <col collapsed="false" customWidth="true" hidden="false" outlineLevel="0" max="38" min="38" style="0" width="34"/>
    <col collapsed="false" customWidth="true" hidden="false" outlineLevel="0" max="39" min="39" style="0" width="13"/>
    <col collapsed="false" customWidth="true" hidden="false" outlineLevel="0" max="40" min="40" style="0" width="12"/>
    <col collapsed="false" customWidth="true" hidden="false" outlineLevel="0" max="41" min="41" style="0" width="14"/>
    <col collapsed="false" customWidth="true" hidden="false" outlineLevel="0" max="42" min="42" style="0" width="12"/>
    <col collapsed="false" customWidth="true" hidden="false" outlineLevel="0" max="43" min="43" style="0" width="22"/>
    <col collapsed="false" customWidth="true" hidden="false" outlineLevel="0" max="45" min="44" style="0" width="12"/>
    <col collapsed="false" customWidth="true" hidden="false" outlineLevel="0" max="46" min="46" style="0" width="10"/>
    <col collapsed="false" customWidth="true" hidden="false" outlineLevel="0" max="48" min="47" style="0" width="17"/>
  </cols>
  <sheetData>
    <row r="1" customFormat="false" ht="17.35" hidden="false" customHeight="false" outlineLevel="0" collapsed="false">
      <c r="A1" s="1" t="s">
        <v>220</v>
      </c>
    </row>
    <row r="2" customFormat="false" ht="15" hidden="false" customHeight="false" outlineLevel="0" collapsed="false">
      <c r="A2" s="2" t="s">
        <v>221</v>
      </c>
    </row>
    <row r="4" customFormat="false" ht="42" hidden="false" customHeight="true" outlineLevel="0" collapsed="false">
      <c r="A4" s="4" t="s">
        <v>222</v>
      </c>
      <c r="B4" s="4" t="s">
        <v>223</v>
      </c>
      <c r="C4" s="4" t="s">
        <v>224</v>
      </c>
      <c r="D4" s="4" t="s">
        <v>225</v>
      </c>
      <c r="E4" s="4" t="s">
        <v>226</v>
      </c>
      <c r="F4" s="4" t="s">
        <v>55</v>
      </c>
      <c r="G4" s="4" t="s">
        <v>125</v>
      </c>
      <c r="H4" s="4" t="s">
        <v>227</v>
      </c>
      <c r="I4" s="4" t="s">
        <v>82</v>
      </c>
      <c r="J4" s="4" t="s">
        <v>228</v>
      </c>
      <c r="K4" s="4" t="s">
        <v>229</v>
      </c>
      <c r="L4" s="4" t="s">
        <v>230</v>
      </c>
      <c r="M4" s="4" t="s">
        <v>231</v>
      </c>
      <c r="N4" s="4" t="s">
        <v>232</v>
      </c>
      <c r="O4" s="4" t="s">
        <v>233</v>
      </c>
      <c r="P4" s="4" t="s">
        <v>234</v>
      </c>
      <c r="Q4" s="4" t="s">
        <v>235</v>
      </c>
      <c r="R4" s="4" t="s">
        <v>236</v>
      </c>
      <c r="S4" s="4" t="s">
        <v>237</v>
      </c>
      <c r="T4" s="4" t="s">
        <v>238</v>
      </c>
      <c r="U4" s="4" t="s">
        <v>239</v>
      </c>
      <c r="V4" s="4" t="s">
        <v>240</v>
      </c>
      <c r="W4" s="4" t="s">
        <v>241</v>
      </c>
      <c r="X4" s="4" t="s">
        <v>242</v>
      </c>
      <c r="Y4" s="4" t="s">
        <v>243</v>
      </c>
      <c r="Z4" s="4" t="s">
        <v>244</v>
      </c>
      <c r="AA4" s="4" t="s">
        <v>245</v>
      </c>
      <c r="AB4" s="4" t="s">
        <v>246</v>
      </c>
      <c r="AC4" s="4" t="s">
        <v>247</v>
      </c>
      <c r="AD4" s="4" t="s">
        <v>248</v>
      </c>
      <c r="AE4" s="4" t="s">
        <v>249</v>
      </c>
      <c r="AF4" s="4" t="s">
        <v>250</v>
      </c>
      <c r="AG4" s="4" t="s">
        <v>251</v>
      </c>
      <c r="AH4" s="4" t="s">
        <v>252</v>
      </c>
      <c r="AI4" s="4" t="s">
        <v>253</v>
      </c>
      <c r="AJ4" s="4" t="s">
        <v>254</v>
      </c>
      <c r="AK4" s="4" t="s">
        <v>255</v>
      </c>
      <c r="AL4" s="4" t="s">
        <v>256</v>
      </c>
      <c r="AM4" s="4" t="s">
        <v>257</v>
      </c>
      <c r="AN4" s="4" t="s">
        <v>258</v>
      </c>
      <c r="AO4" s="4" t="s">
        <v>259</v>
      </c>
      <c r="AP4" s="4" t="s">
        <v>260</v>
      </c>
      <c r="AQ4" s="4" t="s">
        <v>261</v>
      </c>
      <c r="AR4" s="4" t="s">
        <v>262</v>
      </c>
      <c r="AS4" s="4" t="s">
        <v>263</v>
      </c>
      <c r="AT4" s="4" t="s">
        <v>116</v>
      </c>
      <c r="AU4" s="4" t="s">
        <v>264</v>
      </c>
      <c r="AV4" s="4" t="s">
        <v>265</v>
      </c>
    </row>
    <row r="5" customFormat="false" ht="15" hidden="false" customHeight="false" outlineLevel="0" collapsed="false">
      <c r="A5" s="5" t="s">
        <v>266</v>
      </c>
      <c r="B5" s="5" t="s">
        <v>267</v>
      </c>
      <c r="C5" s="32" t="n">
        <v>46213</v>
      </c>
      <c r="D5" s="5" t="s">
        <v>268</v>
      </c>
      <c r="E5" s="5" t="s">
        <v>269</v>
      </c>
      <c r="F5" s="5" t="s">
        <v>61</v>
      </c>
      <c r="G5" s="5" t="s">
        <v>270</v>
      </c>
      <c r="H5" s="5" t="s">
        <v>271</v>
      </c>
      <c r="I5" s="33" t="str">
        <f aca="false">IFERROR(INDEX(Lookups!$B$6:$B$10,MATCH(LEFT(H5,3),Lookups!$A$6:$A$10,0)),"(unmapped)")</f>
        <v>Sifa</v>
      </c>
      <c r="J5" s="5" t="s">
        <v>272</v>
      </c>
      <c r="K5" s="5" t="s">
        <v>273</v>
      </c>
      <c r="L5" s="30" t="n">
        <v>1356</v>
      </c>
      <c r="M5" s="34" t="n">
        <v>142.55</v>
      </c>
      <c r="N5" s="32" t="n">
        <v>46213</v>
      </c>
      <c r="O5" s="5"/>
      <c r="P5" s="33" t="str">
        <f aca="false">IF(ISBLANK(O5),TEXT(N5,"d mmm yyyy")&amp;" – ongoing",IF(TEXT(N5,"mmmyyyy")=TEXT(O5,"mmmyyyy"),TEXT(N5,"d")&amp;" – "&amp;TEXT(O5,"d mmm yyyy"),IF(TEXT(N5,"yyyy")=TEXT(O5,"yyyy"),TEXT(N5,"d mmm")&amp;" – "&amp;TEXT(O5,"d mmm yyyy"),TEXT(N5,"d mmm yyyy")&amp;" – "&amp;TEXT(O5,"d mmm yyyy"))))</f>
        <v>10 Jul 2026 – ongoing</v>
      </c>
      <c r="Q5" s="35" t="n">
        <f aca="false">IF(ISBLANK(O5),Lookups!$B$16-N5,O5-N5)</f>
        <v>16</v>
      </c>
      <c r="R5" s="35" t="n">
        <f aca="false">IF(ISBLANK(O5),NETWORKDAYS.INTL(N5,Lookups!$B$16,"0000001")-1,NETWORKDAYS.INTL(N5,O5,"0000001")-1)</f>
        <v>13</v>
      </c>
      <c r="S5" s="33" t="str">
        <f aca="false">IF(R5=0,"Same Day",R5&amp;IF(R5=1," Day Delay"," Days Delay")&amp;IF(T5="Yes",""," (min.)"))</f>
        <v>13 Days Delay</v>
      </c>
      <c r="T5" s="5" t="s">
        <v>180</v>
      </c>
      <c r="U5" s="29" t="n">
        <v>1</v>
      </c>
      <c r="V5" s="30" t="n">
        <v>680</v>
      </c>
      <c r="W5" s="30" t="n">
        <v>420</v>
      </c>
      <c r="X5" s="30" t="n">
        <v>936</v>
      </c>
      <c r="Y5" s="30" t="n">
        <v>0</v>
      </c>
      <c r="Z5" s="30" t="n">
        <v>0</v>
      </c>
      <c r="AA5" s="29" t="n">
        <v>2</v>
      </c>
      <c r="AB5" s="36" t="n">
        <f aca="false">IFERROR(X5/(L5-Z5),"")</f>
        <v>0.690265486725664</v>
      </c>
      <c r="AC5" s="37" t="n">
        <f aca="false">L5*M5</f>
        <v>193297.8</v>
      </c>
      <c r="AD5" s="37" t="n">
        <f aca="false">W5*M5</f>
        <v>59871</v>
      </c>
      <c r="AE5" s="37" t="n">
        <f aca="false">X5*M5</f>
        <v>133426.8</v>
      </c>
      <c r="AF5" s="37" t="n">
        <f aca="false">Y5*M5</f>
        <v>0</v>
      </c>
      <c r="AG5" s="37" t="n">
        <f aca="false">AF5*MAX(0,R5-Lookups!$B$17)</f>
        <v>0</v>
      </c>
      <c r="AH5" s="37" t="n">
        <f aca="false">IF(ISBLANK(O5),IF(R5&gt;Lookups!$B$18,W5*M5,0),Z5*M5)</f>
        <v>59871</v>
      </c>
      <c r="AI5" s="5"/>
      <c r="AJ5" s="5" t="s">
        <v>181</v>
      </c>
      <c r="AK5" s="5" t="s">
        <v>178</v>
      </c>
      <c r="AL5" s="5" t="s">
        <v>274</v>
      </c>
      <c r="AM5" s="5" t="s">
        <v>275</v>
      </c>
      <c r="AN5" s="32" t="n">
        <v>46214</v>
      </c>
      <c r="AO5" s="33" t="str">
        <f aca="false">IF(AND(R5&gt;Lookups!$B$18,AD5&gt;Lookups!$B$19),"ESCALATE",IF(AD5&gt;Lookups!$B$20,"High value",IF(R5&gt;Lookups!$B$18,"Aged","Monitor")))</f>
        <v>ESCALATE</v>
      </c>
      <c r="AP5" s="5" t="s">
        <v>130</v>
      </c>
      <c r="AQ5" s="5"/>
      <c r="AR5" s="29" t="n">
        <v>48100</v>
      </c>
      <c r="AS5" s="5"/>
      <c r="AT5" s="33" t="str">
        <f aca="false">IF(ISBLANK(O5),"Open","Resolved")</f>
        <v>Open</v>
      </c>
      <c r="AU5" s="33" t="n">
        <f aca="false">IF(AND($AT5="Open",$AP5="No",COUNTIFS($A$5:$A5,$A5,$AT$5:$AT5,"Open",$AP$5:$AP5,"No")=1),1,0)</f>
        <v>1</v>
      </c>
      <c r="AV5" s="33" t="n">
        <f aca="false">IF(AND($AT5="Open",$AP5="No",COUNTIFS($H$5:$H5,$H5,$AT$5:$AT5,"Open",$AP$5:$AP5,"No")=1),1,0)</f>
        <v>1</v>
      </c>
    </row>
    <row r="6" customFormat="false" ht="15" hidden="false" customHeight="false" outlineLevel="0" collapsed="false">
      <c r="A6" s="5" t="s">
        <v>276</v>
      </c>
      <c r="B6" s="5" t="s">
        <v>267</v>
      </c>
      <c r="C6" s="32" t="n">
        <v>46213</v>
      </c>
      <c r="D6" s="5" t="s">
        <v>277</v>
      </c>
      <c r="E6" s="5" t="s">
        <v>269</v>
      </c>
      <c r="F6" s="5" t="s">
        <v>61</v>
      </c>
      <c r="G6" s="5" t="s">
        <v>270</v>
      </c>
      <c r="H6" s="5" t="s">
        <v>271</v>
      </c>
      <c r="I6" s="33" t="str">
        <f aca="false">IFERROR(INDEX(Lookups!$B$6:$B$10,MATCH(LEFT(H6,3),Lookups!$A$6:$A$10,0)),"(unmapped)")</f>
        <v>Sifa</v>
      </c>
      <c r="J6" s="5" t="s">
        <v>272</v>
      </c>
      <c r="K6" s="5" t="s">
        <v>273</v>
      </c>
      <c r="L6" s="30" t="n">
        <v>1086</v>
      </c>
      <c r="M6" s="34" t="n">
        <v>142.55</v>
      </c>
      <c r="N6" s="32" t="n">
        <v>46213</v>
      </c>
      <c r="O6" s="5"/>
      <c r="P6" s="33" t="str">
        <f aca="false">IF(ISBLANK(O6),TEXT(N6,"d mmm yyyy")&amp;" – ongoing",IF(TEXT(N6,"mmmyyyy")=TEXT(O6,"mmmyyyy"),TEXT(N6,"d")&amp;" – "&amp;TEXT(O6,"d mmm yyyy"),IF(TEXT(N6,"yyyy")=TEXT(O6,"yyyy"),TEXT(N6,"d mmm")&amp;" – "&amp;TEXT(O6,"d mmm yyyy"),TEXT(N6,"d mmm yyyy")&amp;" – "&amp;TEXT(O6,"d mmm yyyy"))))</f>
        <v>10 Jul 2026 – ongoing</v>
      </c>
      <c r="Q6" s="35" t="n">
        <f aca="false">IF(ISBLANK(O6),Lookups!$B$16-N6,O6-N6)</f>
        <v>16</v>
      </c>
      <c r="R6" s="35" t="n">
        <f aca="false">IF(ISBLANK(O6),NETWORKDAYS.INTL(N6,Lookups!$B$16,"0000001")-1,NETWORKDAYS.INTL(N6,O6,"0000001")-1)</f>
        <v>13</v>
      </c>
      <c r="S6" s="33" t="str">
        <f aca="false">IF(R6=0,"Same Day",R6&amp;IF(R6=1," Day Delay"," Days Delay")&amp;IF(T6="Yes",""," (min.)"))</f>
        <v>13 Days Delay</v>
      </c>
      <c r="T6" s="5" t="s">
        <v>180</v>
      </c>
      <c r="U6" s="29" t="n">
        <v>1</v>
      </c>
      <c r="V6" s="30" t="n">
        <v>594</v>
      </c>
      <c r="W6" s="30" t="n">
        <v>528</v>
      </c>
      <c r="X6" s="30" t="n">
        <v>558</v>
      </c>
      <c r="Y6" s="30" t="n">
        <v>0</v>
      </c>
      <c r="Z6" s="30" t="n">
        <v>0</v>
      </c>
      <c r="AA6" s="29" t="n">
        <v>1</v>
      </c>
      <c r="AB6" s="36" t="n">
        <f aca="false">IFERROR(X6/(L6-Z6),"")</f>
        <v>0.513812154696133</v>
      </c>
      <c r="AC6" s="37" t="n">
        <f aca="false">L6*M6</f>
        <v>154809.3</v>
      </c>
      <c r="AD6" s="37" t="n">
        <f aca="false">W6*M6</f>
        <v>75266.4</v>
      </c>
      <c r="AE6" s="37" t="n">
        <f aca="false">X6*M6</f>
        <v>79542.9</v>
      </c>
      <c r="AF6" s="37" t="n">
        <f aca="false">Y6*M6</f>
        <v>0</v>
      </c>
      <c r="AG6" s="37" t="n">
        <f aca="false">AF6*MAX(0,R6-Lookups!$B$17)</f>
        <v>0</v>
      </c>
      <c r="AH6" s="37" t="n">
        <f aca="false">IF(ISBLANK(O6),IF(R6&gt;Lookups!$B$18,W6*M6,0),Z6*M6)</f>
        <v>75266.4</v>
      </c>
      <c r="AI6" s="5"/>
      <c r="AJ6" s="5" t="s">
        <v>181</v>
      </c>
      <c r="AK6" s="5" t="s">
        <v>178</v>
      </c>
      <c r="AL6" s="5" t="s">
        <v>278</v>
      </c>
      <c r="AM6" s="5" t="s">
        <v>275</v>
      </c>
      <c r="AN6" s="32" t="n">
        <v>46214</v>
      </c>
      <c r="AO6" s="33" t="str">
        <f aca="false">IF(AND(R6&gt;Lookups!$B$18,AD6&gt;Lookups!$B$19),"ESCALATE",IF(AD6&gt;Lookups!$B$20,"High value",IF(R6&gt;Lookups!$B$18,"Aged","Monitor")))</f>
        <v>ESCALATE</v>
      </c>
      <c r="AP6" s="5" t="s">
        <v>130</v>
      </c>
      <c r="AQ6" s="5"/>
      <c r="AR6" s="29" t="n">
        <v>48103</v>
      </c>
      <c r="AS6" s="5"/>
      <c r="AT6" s="33" t="str">
        <f aca="false">IF(ISBLANK(O6),"Open","Resolved")</f>
        <v>Open</v>
      </c>
      <c r="AU6" s="33" t="n">
        <f aca="false">IF(AND($AT6="Open",$AP6="No",COUNTIFS($A$5:$A6,$A6,$AT$5:$AT6,"Open",$AP$5:$AP6,"No")=1),1,0)</f>
        <v>1</v>
      </c>
      <c r="AV6" s="33" t="n">
        <f aca="false">IF(AND($AT6="Open",$AP6="No",COUNTIFS($H$5:$H6,$H6,$AT$5:$AT6,"Open",$AP$5:$AP6,"No")=1),1,0)</f>
        <v>0</v>
      </c>
    </row>
    <row r="7" customFormat="false" ht="15" hidden="false" customHeight="false" outlineLevel="0" collapsed="false">
      <c r="A7" s="5" t="s">
        <v>279</v>
      </c>
      <c r="B7" s="5" t="s">
        <v>267</v>
      </c>
      <c r="C7" s="32" t="n">
        <v>46213</v>
      </c>
      <c r="D7" s="5" t="s">
        <v>280</v>
      </c>
      <c r="E7" s="5" t="s">
        <v>269</v>
      </c>
      <c r="F7" s="5" t="s">
        <v>61</v>
      </c>
      <c r="G7" s="5" t="s">
        <v>270</v>
      </c>
      <c r="H7" s="5" t="s">
        <v>281</v>
      </c>
      <c r="I7" s="33" t="str">
        <f aca="false">IFERROR(INDEX(Lookups!$B$6:$B$10,MATCH(LEFT(H7,3),Lookups!$A$6:$A$10,0)),"(unmapped)")</f>
        <v>Cosy</v>
      </c>
      <c r="J7" s="5" t="s">
        <v>282</v>
      </c>
      <c r="K7" s="5" t="s">
        <v>273</v>
      </c>
      <c r="L7" s="30" t="n">
        <v>1128</v>
      </c>
      <c r="M7" s="34" t="n">
        <v>64.55</v>
      </c>
      <c r="N7" s="32" t="n">
        <v>46213</v>
      </c>
      <c r="O7" s="5"/>
      <c r="P7" s="33" t="str">
        <f aca="false">IF(ISBLANK(O7),TEXT(N7,"d mmm yyyy")&amp;" – ongoing",IF(TEXT(N7,"mmmyyyy")=TEXT(O7,"mmmyyyy"),TEXT(N7,"d")&amp;" – "&amp;TEXT(O7,"d mmm yyyy"),IF(TEXT(N7,"yyyy")=TEXT(O7,"yyyy"),TEXT(N7,"d mmm")&amp;" – "&amp;TEXT(O7,"d mmm yyyy"),TEXT(N7,"d mmm yyyy")&amp;" – "&amp;TEXT(O7,"d mmm yyyy"))))</f>
        <v>10 Jul 2026 – ongoing</v>
      </c>
      <c r="Q7" s="35" t="n">
        <f aca="false">IF(ISBLANK(O7),Lookups!$B$16-N7,O7-N7)</f>
        <v>16</v>
      </c>
      <c r="R7" s="35" t="n">
        <f aca="false">IF(ISBLANK(O7),NETWORKDAYS.INTL(N7,Lookups!$B$16,"0000001")-1,NETWORKDAYS.INTL(N7,O7,"0000001")-1)</f>
        <v>13</v>
      </c>
      <c r="S7" s="33" t="str">
        <f aca="false">IF(R7=0,"Same Day",R7&amp;IF(R7=1," Day Delay"," Days Delay")&amp;IF(T7="Yes",""," (min.)"))</f>
        <v>13 Days Delay</v>
      </c>
      <c r="T7" s="5" t="s">
        <v>180</v>
      </c>
      <c r="U7" s="29" t="n">
        <v>1</v>
      </c>
      <c r="V7" s="30" t="n">
        <v>542</v>
      </c>
      <c r="W7" s="30" t="n">
        <v>510</v>
      </c>
      <c r="X7" s="30" t="n">
        <v>618</v>
      </c>
      <c r="Y7" s="30" t="n">
        <v>0</v>
      </c>
      <c r="Z7" s="30" t="n">
        <v>0</v>
      </c>
      <c r="AA7" s="29" t="n">
        <v>1</v>
      </c>
      <c r="AB7" s="36" t="n">
        <f aca="false">IFERROR(X7/(L7-Z7),"")</f>
        <v>0.547872340425532</v>
      </c>
      <c r="AC7" s="37" t="n">
        <f aca="false">L7*M7</f>
        <v>72812.4</v>
      </c>
      <c r="AD7" s="37" t="n">
        <f aca="false">W7*M7</f>
        <v>32920.5</v>
      </c>
      <c r="AE7" s="37" t="n">
        <f aca="false">X7*M7</f>
        <v>39891.9</v>
      </c>
      <c r="AF7" s="37" t="n">
        <f aca="false">Y7*M7</f>
        <v>0</v>
      </c>
      <c r="AG7" s="37" t="n">
        <f aca="false">AF7*MAX(0,R7-Lookups!$B$17)</f>
        <v>0</v>
      </c>
      <c r="AH7" s="37" t="n">
        <f aca="false">IF(ISBLANK(O7),IF(R7&gt;Lookups!$B$18,W7*M7,0),Z7*M7)</f>
        <v>32920.5</v>
      </c>
      <c r="AI7" s="5"/>
      <c r="AJ7" s="5" t="s">
        <v>183</v>
      </c>
      <c r="AK7" s="5" t="s">
        <v>178</v>
      </c>
      <c r="AL7" s="5" t="s">
        <v>283</v>
      </c>
      <c r="AM7" s="5" t="s">
        <v>275</v>
      </c>
      <c r="AN7" s="32" t="n">
        <v>46215</v>
      </c>
      <c r="AO7" s="33" t="str">
        <f aca="false">IF(AND(R7&gt;Lookups!$B$18,AD7&gt;Lookups!$B$19),"ESCALATE",IF(AD7&gt;Lookups!$B$20,"High value",IF(R7&gt;Lookups!$B$18,"Aged","Monitor")))</f>
        <v>ESCALATE</v>
      </c>
      <c r="AP7" s="5" t="s">
        <v>130</v>
      </c>
      <c r="AQ7" s="5"/>
      <c r="AR7" s="29" t="n">
        <v>48106</v>
      </c>
      <c r="AS7" s="5"/>
      <c r="AT7" s="33" t="str">
        <f aca="false">IF(ISBLANK(O7),"Open","Resolved")</f>
        <v>Open</v>
      </c>
      <c r="AU7" s="33" t="n">
        <f aca="false">IF(AND($AT7="Open",$AP7="No",COUNTIFS($A$5:$A7,$A7,$AT$5:$AT7,"Open",$AP$5:$AP7,"No")=1),1,0)</f>
        <v>1</v>
      </c>
      <c r="AV7" s="33" t="n">
        <f aca="false">IF(AND($AT7="Open",$AP7="No",COUNTIFS($H$5:$H7,$H7,$AT$5:$AT7,"Open",$AP$5:$AP7,"No")=1),1,0)</f>
        <v>1</v>
      </c>
    </row>
    <row r="8" customFormat="false" ht="15" hidden="false" customHeight="false" outlineLevel="0" collapsed="false">
      <c r="A8" s="5" t="s">
        <v>284</v>
      </c>
      <c r="B8" s="5" t="s">
        <v>267</v>
      </c>
      <c r="C8" s="32" t="n">
        <v>46213</v>
      </c>
      <c r="D8" s="5" t="s">
        <v>285</v>
      </c>
      <c r="E8" s="5" t="s">
        <v>269</v>
      </c>
      <c r="F8" s="5" t="s">
        <v>61</v>
      </c>
      <c r="G8" s="5" t="s">
        <v>270</v>
      </c>
      <c r="H8" s="5" t="s">
        <v>286</v>
      </c>
      <c r="I8" s="33" t="str">
        <f aca="false">IFERROR(INDEX(Lookups!$B$6:$B$10,MATCH(LEFT(H8,3),Lookups!$A$6:$A$10,0)),"(unmapped)")</f>
        <v>Cosy</v>
      </c>
      <c r="J8" s="5" t="s">
        <v>287</v>
      </c>
      <c r="K8" s="5" t="s">
        <v>273</v>
      </c>
      <c r="L8" s="30" t="n">
        <v>876</v>
      </c>
      <c r="M8" s="34" t="n">
        <v>64.55</v>
      </c>
      <c r="N8" s="32" t="n">
        <v>46213</v>
      </c>
      <c r="O8" s="32" t="n">
        <v>46225</v>
      </c>
      <c r="P8" s="33" t="str">
        <f aca="false">IF(ISBLANK(O8),TEXT(N8,"d mmm yyyy")&amp;" – ongoing",IF(TEXT(N8,"mmmyyyy")=TEXT(O8,"mmmyyyy"),TEXT(N8,"d")&amp;" – "&amp;TEXT(O8,"d mmm yyyy"),IF(TEXT(N8,"yyyy")=TEXT(O8,"yyyy"),TEXT(N8,"d mmm")&amp;" – "&amp;TEXT(O8,"d mmm yyyy"),TEXT(N8,"d mmm yyyy")&amp;" – "&amp;TEXT(O8,"d mmm yyyy"))))</f>
        <v>10 – 22 Jul 2026</v>
      </c>
      <c r="Q8" s="35" t="n">
        <f aca="false">IF(ISBLANK(O8),Lookups!$B$16-N8,O8-N8)</f>
        <v>12</v>
      </c>
      <c r="R8" s="35" t="n">
        <f aca="false">IF(ISBLANK(O8),NETWORKDAYS.INTL(N8,Lookups!$B$16,"0000001")-1,NETWORKDAYS.INTL(N8,O8,"0000001")-1)</f>
        <v>10</v>
      </c>
      <c r="S8" s="33" t="str">
        <f aca="false">IF(R8=0,"Same Day",R8&amp;IF(R8=1," Day Delay"," Days Delay")&amp;IF(T8="Yes",""," (min.)"))</f>
        <v>10 Days Delay</v>
      </c>
      <c r="T8" s="5" t="s">
        <v>180</v>
      </c>
      <c r="U8" s="29" t="n">
        <v>1</v>
      </c>
      <c r="V8" s="30" t="n">
        <v>514</v>
      </c>
      <c r="W8" s="30" t="n">
        <v>0</v>
      </c>
      <c r="X8" s="30" t="n">
        <v>876</v>
      </c>
      <c r="Y8" s="30" t="n">
        <v>514</v>
      </c>
      <c r="Z8" s="30" t="n">
        <v>0</v>
      </c>
      <c r="AA8" s="29" t="n">
        <v>3</v>
      </c>
      <c r="AB8" s="36" t="n">
        <f aca="false">IFERROR(X8/(L8-Z8),"")</f>
        <v>1</v>
      </c>
      <c r="AC8" s="37" t="n">
        <f aca="false">L8*M8</f>
        <v>56545.8</v>
      </c>
      <c r="AD8" s="37" t="n">
        <f aca="false">W8*M8</f>
        <v>0</v>
      </c>
      <c r="AE8" s="37" t="n">
        <f aca="false">X8*M8</f>
        <v>56545.8</v>
      </c>
      <c r="AF8" s="37" t="n">
        <f aca="false">Y8*M8</f>
        <v>33178.7</v>
      </c>
      <c r="AG8" s="37" t="n">
        <f aca="false">AF8*MAX(0,R8-Lookups!$B$17)</f>
        <v>265429.6</v>
      </c>
      <c r="AH8" s="37" t="n">
        <f aca="false">IF(ISBLANK(O8),IF(R8&gt;Lookups!$B$18,W8*M8,0),Z8*M8)</f>
        <v>0</v>
      </c>
      <c r="AI8" s="5" t="s">
        <v>288</v>
      </c>
      <c r="AJ8" s="5" t="s">
        <v>181</v>
      </c>
      <c r="AK8" s="5" t="s">
        <v>178</v>
      </c>
      <c r="AL8" s="5" t="s">
        <v>289</v>
      </c>
      <c r="AM8" s="5" t="s">
        <v>275</v>
      </c>
      <c r="AN8" s="32" t="n">
        <v>46215</v>
      </c>
      <c r="AO8" s="33" t="str">
        <f aca="false">IF(AND(R8&gt;Lookups!$B$18,AD8&gt;Lookups!$B$19),"ESCALATE",IF(AD8&gt;Lookups!$B$20,"High value",IF(R8&gt;Lookups!$B$18,"Aged","Monitor")))</f>
        <v>Aged</v>
      </c>
      <c r="AP8" s="5" t="s">
        <v>130</v>
      </c>
      <c r="AQ8" s="5"/>
      <c r="AR8" s="29" t="n">
        <v>48109</v>
      </c>
      <c r="AS8" s="29" t="n">
        <v>48189</v>
      </c>
      <c r="AT8" s="33" t="str">
        <f aca="false">IF(ISBLANK(O8),"Open","Resolved")</f>
        <v>Resolved</v>
      </c>
      <c r="AU8" s="33" t="n">
        <f aca="false">IF(AND($AT8="Open",$AP8="No",COUNTIFS($A$5:$A8,$A8,$AT$5:$AT8,"Open",$AP$5:$AP8,"No")=1),1,0)</f>
        <v>0</v>
      </c>
      <c r="AV8" s="33" t="n">
        <f aca="false">IF(AND($AT8="Open",$AP8="No",COUNTIFS($H$5:$H8,$H8,$AT$5:$AT8,"Open",$AP$5:$AP8,"No")=1),1,0)</f>
        <v>0</v>
      </c>
    </row>
    <row r="9" customFormat="false" ht="15" hidden="false" customHeight="false" outlineLevel="0" collapsed="false">
      <c r="A9" s="5" t="s">
        <v>290</v>
      </c>
      <c r="B9" s="5" t="s">
        <v>267</v>
      </c>
      <c r="C9" s="32" t="n">
        <v>46213</v>
      </c>
      <c r="D9" s="5" t="s">
        <v>291</v>
      </c>
      <c r="E9" s="5" t="s">
        <v>269</v>
      </c>
      <c r="F9" s="5" t="s">
        <v>61</v>
      </c>
      <c r="G9" s="5" t="s">
        <v>270</v>
      </c>
      <c r="H9" s="5" t="s">
        <v>292</v>
      </c>
      <c r="I9" s="33" t="str">
        <f aca="false">IFERROR(INDEX(Lookups!$B$6:$B$10,MATCH(LEFT(H9,3),Lookups!$A$6:$A$10,0)),"(unmapped)")</f>
        <v>Fay</v>
      </c>
      <c r="J9" s="5" t="s">
        <v>293</v>
      </c>
      <c r="K9" s="5" t="s">
        <v>273</v>
      </c>
      <c r="L9" s="30" t="n">
        <v>965</v>
      </c>
      <c r="M9" s="34" t="n">
        <v>73.3</v>
      </c>
      <c r="N9" s="32" t="n">
        <v>46213</v>
      </c>
      <c r="O9" s="32" t="n">
        <v>46223</v>
      </c>
      <c r="P9" s="33" t="str">
        <f aca="false">IF(ISBLANK(O9),TEXT(N9,"d mmm yyyy")&amp;" – ongoing",IF(TEXT(N9,"mmmyyyy")=TEXT(O9,"mmmyyyy"),TEXT(N9,"d")&amp;" – "&amp;TEXT(O9,"d mmm yyyy"),IF(TEXT(N9,"yyyy")=TEXT(O9,"yyyy"),TEXT(N9,"d mmm")&amp;" – "&amp;TEXT(O9,"d mmm yyyy"),TEXT(N9,"d mmm yyyy")&amp;" – "&amp;TEXT(O9,"d mmm yyyy"))))</f>
        <v>10 – 20 Jul 2026</v>
      </c>
      <c r="Q9" s="35" t="n">
        <f aca="false">IF(ISBLANK(O9),Lookups!$B$16-N9,O9-N9)</f>
        <v>10</v>
      </c>
      <c r="R9" s="35" t="n">
        <f aca="false">IF(ISBLANK(O9),NETWORKDAYS.INTL(N9,Lookups!$B$16,"0000001")-1,NETWORKDAYS.INTL(N9,O9,"0000001")-1)</f>
        <v>8</v>
      </c>
      <c r="S9" s="33" t="str">
        <f aca="false">IF(R9=0,"Same Day",R9&amp;IF(R9=1," Day Delay"," Days Delay")&amp;IF(T9="Yes",""," (min.)"))</f>
        <v>8 Days Delay</v>
      </c>
      <c r="T9" s="5" t="s">
        <v>180</v>
      </c>
      <c r="U9" s="29" t="n">
        <v>1</v>
      </c>
      <c r="V9" s="30" t="n">
        <v>478</v>
      </c>
      <c r="W9" s="30" t="n">
        <v>0</v>
      </c>
      <c r="X9" s="30" t="n">
        <v>890</v>
      </c>
      <c r="Y9" s="30" t="n">
        <v>478</v>
      </c>
      <c r="Z9" s="30" t="n">
        <v>75</v>
      </c>
      <c r="AA9" s="29" t="n">
        <v>2</v>
      </c>
      <c r="AB9" s="36" t="n">
        <f aca="false">IFERROR(X9/(L9-Z9),"")</f>
        <v>1</v>
      </c>
      <c r="AC9" s="37" t="n">
        <f aca="false">L9*M9</f>
        <v>70734.5</v>
      </c>
      <c r="AD9" s="37" t="n">
        <f aca="false">W9*M9</f>
        <v>0</v>
      </c>
      <c r="AE9" s="37" t="n">
        <f aca="false">X9*M9</f>
        <v>65237</v>
      </c>
      <c r="AF9" s="37" t="n">
        <f aca="false">Y9*M9</f>
        <v>35037.4</v>
      </c>
      <c r="AG9" s="37" t="n">
        <f aca="false">AF9*MAX(0,R9-Lookups!$B$17)</f>
        <v>210224.4</v>
      </c>
      <c r="AH9" s="37" t="n">
        <f aca="false">IF(ISBLANK(O9),IF(R9&gt;Lookups!$B$18,W9*M9,0),Z9*M9)</f>
        <v>5497.5</v>
      </c>
      <c r="AI9" s="5" t="s">
        <v>294</v>
      </c>
      <c r="AJ9" s="5" t="s">
        <v>181</v>
      </c>
      <c r="AK9" s="5" t="s">
        <v>178</v>
      </c>
      <c r="AL9" s="5" t="s">
        <v>295</v>
      </c>
      <c r="AM9" s="5" t="s">
        <v>275</v>
      </c>
      <c r="AN9" s="32" t="n">
        <v>46215</v>
      </c>
      <c r="AO9" s="33" t="str">
        <f aca="false">IF(AND(R9&gt;Lookups!$B$18,AD9&gt;Lookups!$B$19),"ESCALATE",IF(AD9&gt;Lookups!$B$20,"High value",IF(R9&gt;Lookups!$B$18,"Aged","Monitor")))</f>
        <v>Aged</v>
      </c>
      <c r="AP9" s="5" t="s">
        <v>130</v>
      </c>
      <c r="AQ9" s="5"/>
      <c r="AR9" s="29" t="n">
        <v>48112</v>
      </c>
      <c r="AS9" s="29" t="n">
        <v>48192</v>
      </c>
      <c r="AT9" s="33" t="str">
        <f aca="false">IF(ISBLANK(O9),"Open","Resolved")</f>
        <v>Resolved</v>
      </c>
      <c r="AU9" s="33" t="n">
        <f aca="false">IF(AND($AT9="Open",$AP9="No",COUNTIFS($A$5:$A9,$A9,$AT$5:$AT9,"Open",$AP$5:$AP9,"No")=1),1,0)</f>
        <v>0</v>
      </c>
      <c r="AV9" s="33" t="n">
        <f aca="false">IF(AND($AT9="Open",$AP9="No",COUNTIFS($H$5:$H9,$H9,$AT$5:$AT9,"Open",$AP$5:$AP9,"No")=1),1,0)</f>
        <v>0</v>
      </c>
    </row>
    <row r="10" customFormat="false" ht="15" hidden="false" customHeight="false" outlineLevel="0" collapsed="false">
      <c r="A10" s="5" t="s">
        <v>296</v>
      </c>
      <c r="B10" s="5" t="s">
        <v>267</v>
      </c>
      <c r="C10" s="32" t="n">
        <v>46226</v>
      </c>
      <c r="D10" s="5" t="s">
        <v>297</v>
      </c>
      <c r="E10" s="5" t="s">
        <v>298</v>
      </c>
      <c r="F10" s="5" t="s">
        <v>62</v>
      </c>
      <c r="G10" s="5" t="s">
        <v>270</v>
      </c>
      <c r="H10" s="5" t="s">
        <v>299</v>
      </c>
      <c r="I10" s="33" t="str">
        <f aca="false">IFERROR(INDEX(Lookups!$B$6:$B$10,MATCH(LEFT(H10,3),Lookups!$A$6:$A$10,0)),"(unmapped)")</f>
        <v>Fay</v>
      </c>
      <c r="J10" s="5" t="s">
        <v>300</v>
      </c>
      <c r="K10" s="5" t="s">
        <v>301</v>
      </c>
      <c r="L10" s="30" t="n">
        <v>24</v>
      </c>
      <c r="M10" s="34" t="n">
        <v>2542.53</v>
      </c>
      <c r="N10" s="32" t="n">
        <v>46226</v>
      </c>
      <c r="O10" s="5"/>
      <c r="P10" s="33" t="str">
        <f aca="false">IF(ISBLANK(O10),TEXT(N10,"d mmm yyyy")&amp;" – ongoing",IF(TEXT(N10,"mmmyyyy")=TEXT(O10,"mmmyyyy"),TEXT(N10,"d")&amp;" – "&amp;TEXT(O10,"d mmm yyyy"),IF(TEXT(N10,"yyyy")=TEXT(O10,"yyyy"),TEXT(N10,"d mmm")&amp;" – "&amp;TEXT(O10,"d mmm yyyy"),TEXT(N10,"d mmm yyyy")&amp;" – "&amp;TEXT(O10,"d mmm yyyy"))))</f>
        <v>23 Jul 2026 – ongoing</v>
      </c>
      <c r="Q10" s="35" t="n">
        <f aca="false">IF(ISBLANK(O10),Lookups!$B$16-N10,O10-N10)</f>
        <v>3</v>
      </c>
      <c r="R10" s="35" t="n">
        <f aca="false">IF(ISBLANK(O10),NETWORKDAYS.INTL(N10,Lookups!$B$16,"0000001")-1,NETWORKDAYS.INTL(N10,O10,"0000001")-1)</f>
        <v>2</v>
      </c>
      <c r="S10" s="33" t="str">
        <f aca="false">IF(R10=0,"Same Day",R10&amp;IF(R10=1," Day Delay"," Days Delay")&amp;IF(T10="Yes",""," (min.)"))</f>
        <v>2 Days Delay</v>
      </c>
      <c r="T10" s="5" t="s">
        <v>180</v>
      </c>
      <c r="U10" s="29" t="n">
        <v>1</v>
      </c>
      <c r="V10" s="30" t="n">
        <v>24</v>
      </c>
      <c r="W10" s="30" t="n">
        <v>24</v>
      </c>
      <c r="X10" s="30" t="n">
        <v>0</v>
      </c>
      <c r="Y10" s="30" t="n">
        <v>0</v>
      </c>
      <c r="Z10" s="30" t="n">
        <v>0</v>
      </c>
      <c r="AA10" s="29" t="n">
        <v>0</v>
      </c>
      <c r="AB10" s="36" t="n">
        <f aca="false">IFERROR(X10/(L10-Z10),"")</f>
        <v>0</v>
      </c>
      <c r="AC10" s="37" t="n">
        <f aca="false">L10*M10</f>
        <v>61020.72</v>
      </c>
      <c r="AD10" s="37" t="n">
        <f aca="false">W10*M10</f>
        <v>61020.72</v>
      </c>
      <c r="AE10" s="37" t="n">
        <f aca="false">X10*M10</f>
        <v>0</v>
      </c>
      <c r="AF10" s="37" t="n">
        <f aca="false">Y10*M10</f>
        <v>0</v>
      </c>
      <c r="AG10" s="37" t="n">
        <f aca="false">AF10*MAX(0,R10-Lookups!$B$17)</f>
        <v>0</v>
      </c>
      <c r="AH10" s="37" t="n">
        <f aca="false">IF(ISBLANK(O10),IF(R10&gt;Lookups!$B$18,W10*M10,0),Z10*M10)</f>
        <v>0</v>
      </c>
      <c r="AI10" s="5"/>
      <c r="AJ10" s="5" t="s">
        <v>190</v>
      </c>
      <c r="AK10" s="5" t="s">
        <v>189</v>
      </c>
      <c r="AL10" s="5" t="s">
        <v>302</v>
      </c>
      <c r="AM10" s="5" t="s">
        <v>303</v>
      </c>
      <c r="AN10" s="32" t="n">
        <v>46226</v>
      </c>
      <c r="AO10" s="33" t="str">
        <f aca="false">IF(AND(R10&gt;Lookups!$B$18,AD10&gt;Lookups!$B$19),"ESCALATE",IF(AD10&gt;Lookups!$B$20,"High value",IF(R10&gt;Lookups!$B$18,"Aged","Monitor")))</f>
        <v>Monitor</v>
      </c>
      <c r="AP10" s="5" t="s">
        <v>130</v>
      </c>
      <c r="AQ10" s="5"/>
      <c r="AR10" s="29" t="n">
        <v>48115</v>
      </c>
      <c r="AS10" s="5"/>
      <c r="AT10" s="33" t="str">
        <f aca="false">IF(ISBLANK(O10),"Open","Resolved")</f>
        <v>Open</v>
      </c>
      <c r="AU10" s="33" t="n">
        <f aca="false">IF(AND($AT10="Open",$AP10="No",COUNTIFS($A$5:$A10,$A10,$AT$5:$AT10,"Open",$AP$5:$AP10,"No")=1),1,0)</f>
        <v>1</v>
      </c>
      <c r="AV10" s="33" t="n">
        <f aca="false">IF(AND($AT10="Open",$AP10="No",COUNTIFS($H$5:$H10,$H10,$AT$5:$AT10,"Open",$AP$5:$AP10,"No")=1),1,0)</f>
        <v>1</v>
      </c>
    </row>
    <row r="11" customFormat="false" ht="15" hidden="false" customHeight="false" outlineLevel="0" collapsed="false">
      <c r="A11" s="5" t="s">
        <v>304</v>
      </c>
      <c r="B11" s="5" t="s">
        <v>267</v>
      </c>
      <c r="C11" s="32" t="n">
        <v>46226</v>
      </c>
      <c r="D11" s="5" t="s">
        <v>305</v>
      </c>
      <c r="E11" s="5" t="s">
        <v>298</v>
      </c>
      <c r="F11" s="5" t="s">
        <v>62</v>
      </c>
      <c r="G11" s="5" t="s">
        <v>270</v>
      </c>
      <c r="H11" s="5" t="s">
        <v>299</v>
      </c>
      <c r="I11" s="33" t="str">
        <f aca="false">IFERROR(INDEX(Lookups!$B$6:$B$10,MATCH(LEFT(H11,3),Lookups!$A$6:$A$10,0)),"(unmapped)")</f>
        <v>Fay</v>
      </c>
      <c r="J11" s="5" t="s">
        <v>300</v>
      </c>
      <c r="K11" s="5" t="s">
        <v>301</v>
      </c>
      <c r="L11" s="30" t="n">
        <v>18</v>
      </c>
      <c r="M11" s="34" t="n">
        <v>1649.14</v>
      </c>
      <c r="N11" s="32" t="n">
        <v>46226</v>
      </c>
      <c r="O11" s="5"/>
      <c r="P11" s="33" t="str">
        <f aca="false">IF(ISBLANK(O11),TEXT(N11,"d mmm yyyy")&amp;" – ongoing",IF(TEXT(N11,"mmmyyyy")=TEXT(O11,"mmmyyyy"),TEXT(N11,"d")&amp;" – "&amp;TEXT(O11,"d mmm yyyy"),IF(TEXT(N11,"yyyy")=TEXT(O11,"yyyy"),TEXT(N11,"d mmm")&amp;" – "&amp;TEXT(O11,"d mmm yyyy"),TEXT(N11,"d mmm yyyy")&amp;" – "&amp;TEXT(O11,"d mmm yyyy"))))</f>
        <v>23 Jul 2026 – ongoing</v>
      </c>
      <c r="Q11" s="35" t="n">
        <f aca="false">IF(ISBLANK(O11),Lookups!$B$16-N11,O11-N11)</f>
        <v>3</v>
      </c>
      <c r="R11" s="35" t="n">
        <f aca="false">IF(ISBLANK(O11),NETWORKDAYS.INTL(N11,Lookups!$B$16,"0000001")-1,NETWORKDAYS.INTL(N11,O11,"0000001")-1)</f>
        <v>2</v>
      </c>
      <c r="S11" s="33" t="str">
        <f aca="false">IF(R11=0,"Same Day",R11&amp;IF(R11=1," Day Delay"," Days Delay")&amp;IF(T11="Yes",""," (min.)"))</f>
        <v>2 Days Delay</v>
      </c>
      <c r="T11" s="5" t="s">
        <v>180</v>
      </c>
      <c r="U11" s="29" t="n">
        <v>1</v>
      </c>
      <c r="V11" s="30" t="n">
        <v>18</v>
      </c>
      <c r="W11" s="30" t="n">
        <v>18</v>
      </c>
      <c r="X11" s="30" t="n">
        <v>0</v>
      </c>
      <c r="Y11" s="30" t="n">
        <v>0</v>
      </c>
      <c r="Z11" s="30" t="n">
        <v>0</v>
      </c>
      <c r="AA11" s="29" t="n">
        <v>0</v>
      </c>
      <c r="AB11" s="36" t="n">
        <f aca="false">IFERROR(X11/(L11-Z11),"")</f>
        <v>0</v>
      </c>
      <c r="AC11" s="37" t="n">
        <f aca="false">L11*M11</f>
        <v>29684.52</v>
      </c>
      <c r="AD11" s="37" t="n">
        <f aca="false">W11*M11</f>
        <v>29684.52</v>
      </c>
      <c r="AE11" s="37" t="n">
        <f aca="false">X11*M11</f>
        <v>0</v>
      </c>
      <c r="AF11" s="37" t="n">
        <f aca="false">Y11*M11</f>
        <v>0</v>
      </c>
      <c r="AG11" s="37" t="n">
        <f aca="false">AF11*MAX(0,R11-Lookups!$B$17)</f>
        <v>0</v>
      </c>
      <c r="AH11" s="37" t="n">
        <f aca="false">IF(ISBLANK(O11),IF(R11&gt;Lookups!$B$18,W11*M11,0),Z11*M11)</f>
        <v>0</v>
      </c>
      <c r="AI11" s="5"/>
      <c r="AJ11" s="5" t="s">
        <v>190</v>
      </c>
      <c r="AK11" s="5" t="s">
        <v>189</v>
      </c>
      <c r="AL11" s="5" t="s">
        <v>306</v>
      </c>
      <c r="AM11" s="5" t="s">
        <v>303</v>
      </c>
      <c r="AN11" s="32" t="n">
        <v>46226</v>
      </c>
      <c r="AO11" s="33" t="str">
        <f aca="false">IF(AND(R11&gt;Lookups!$B$18,AD11&gt;Lookups!$B$19),"ESCALATE",IF(AD11&gt;Lookups!$B$20,"High value",IF(R11&gt;Lookups!$B$18,"Aged","Monitor")))</f>
        <v>Monitor</v>
      </c>
      <c r="AP11" s="5" t="s">
        <v>130</v>
      </c>
      <c r="AQ11" s="5"/>
      <c r="AR11" s="29" t="n">
        <v>48118</v>
      </c>
      <c r="AS11" s="5"/>
      <c r="AT11" s="33" t="str">
        <f aca="false">IF(ISBLANK(O11),"Open","Resolved")</f>
        <v>Open</v>
      </c>
      <c r="AU11" s="33" t="n">
        <f aca="false">IF(AND($AT11="Open",$AP11="No",COUNTIFS($A$5:$A11,$A11,$AT$5:$AT11,"Open",$AP$5:$AP11,"No")=1),1,0)</f>
        <v>1</v>
      </c>
      <c r="AV11" s="33" t="n">
        <f aca="false">IF(AND($AT11="Open",$AP11="No",COUNTIFS($H$5:$H11,$H11,$AT$5:$AT11,"Open",$AP$5:$AP11,"No")=1),1,0)</f>
        <v>0</v>
      </c>
    </row>
    <row r="12" customFormat="false" ht="15" hidden="false" customHeight="false" outlineLevel="0" collapsed="false">
      <c r="A12" s="5" t="s">
        <v>307</v>
      </c>
      <c r="B12" s="5" t="s">
        <v>267</v>
      </c>
      <c r="C12" s="32" t="n">
        <v>46219</v>
      </c>
      <c r="D12" s="5" t="s">
        <v>308</v>
      </c>
      <c r="E12" s="5" t="s">
        <v>309</v>
      </c>
      <c r="F12" s="5" t="s">
        <v>62</v>
      </c>
      <c r="G12" s="5" t="s">
        <v>270</v>
      </c>
      <c r="H12" s="5" t="s">
        <v>299</v>
      </c>
      <c r="I12" s="33" t="str">
        <f aca="false">IFERROR(INDEX(Lookups!$B$6:$B$10,MATCH(LEFT(H12,3),Lookups!$A$6:$A$10,0)),"(unmapped)")</f>
        <v>Fay</v>
      </c>
      <c r="J12" s="5" t="s">
        <v>300</v>
      </c>
      <c r="K12" s="5" t="s">
        <v>301</v>
      </c>
      <c r="L12" s="30" t="n">
        <v>12</v>
      </c>
      <c r="M12" s="34" t="n">
        <v>2542.53</v>
      </c>
      <c r="N12" s="32" t="n">
        <v>46219</v>
      </c>
      <c r="O12" s="5"/>
      <c r="P12" s="33" t="str">
        <f aca="false">IF(ISBLANK(O12),TEXT(N12,"d mmm yyyy")&amp;" – ongoing",IF(TEXT(N12,"mmmyyyy")=TEXT(O12,"mmmyyyy"),TEXT(N12,"d")&amp;" – "&amp;TEXT(O12,"d mmm yyyy"),IF(TEXT(N12,"yyyy")=TEXT(O12,"yyyy"),TEXT(N12,"d mmm")&amp;" – "&amp;TEXT(O12,"d mmm yyyy"),TEXT(N12,"d mmm yyyy")&amp;" – "&amp;TEXT(O12,"d mmm yyyy"))))</f>
        <v>16 Jul 2026 – ongoing</v>
      </c>
      <c r="Q12" s="35" t="n">
        <f aca="false">IF(ISBLANK(O12),Lookups!$B$16-N12,O12-N12)</f>
        <v>10</v>
      </c>
      <c r="R12" s="35" t="n">
        <f aca="false">IF(ISBLANK(O12),NETWORKDAYS.INTL(N12,Lookups!$B$16,"0000001")-1,NETWORKDAYS.INTL(N12,O12,"0000001")-1)</f>
        <v>8</v>
      </c>
      <c r="S12" s="33" t="str">
        <f aca="false">IF(R12=0,"Same Day",R12&amp;IF(R12=1," Day Delay"," Days Delay")&amp;IF(T12="Yes",""," (min.)"))</f>
        <v>8 Days Delay</v>
      </c>
      <c r="T12" s="5" t="s">
        <v>180</v>
      </c>
      <c r="U12" s="29" t="n">
        <v>1</v>
      </c>
      <c r="V12" s="30" t="n">
        <v>12</v>
      </c>
      <c r="W12" s="30" t="n">
        <v>12</v>
      </c>
      <c r="X12" s="30" t="n">
        <v>0</v>
      </c>
      <c r="Y12" s="30" t="n">
        <v>0</v>
      </c>
      <c r="Z12" s="30" t="n">
        <v>0</v>
      </c>
      <c r="AA12" s="29" t="n">
        <v>0</v>
      </c>
      <c r="AB12" s="36" t="n">
        <f aca="false">IFERROR(X12/(L12-Z12),"")</f>
        <v>0</v>
      </c>
      <c r="AC12" s="37" t="n">
        <f aca="false">L12*M12</f>
        <v>30510.36</v>
      </c>
      <c r="AD12" s="37" t="n">
        <f aca="false">W12*M12</f>
        <v>30510.36</v>
      </c>
      <c r="AE12" s="37" t="n">
        <f aca="false">X12*M12</f>
        <v>0</v>
      </c>
      <c r="AF12" s="37" t="n">
        <f aca="false">Y12*M12</f>
        <v>0</v>
      </c>
      <c r="AG12" s="37" t="n">
        <f aca="false">AF12*MAX(0,R12-Lookups!$B$17)</f>
        <v>0</v>
      </c>
      <c r="AH12" s="37" t="n">
        <f aca="false">IF(ISBLANK(O12),IF(R12&gt;Lookups!$B$18,W12*M12,0),Z12*M12)</f>
        <v>30510.36</v>
      </c>
      <c r="AI12" s="5"/>
      <c r="AJ12" s="5" t="s">
        <v>190</v>
      </c>
      <c r="AK12" s="5" t="s">
        <v>189</v>
      </c>
      <c r="AL12" s="5" t="s">
        <v>306</v>
      </c>
      <c r="AM12" s="5" t="s">
        <v>303</v>
      </c>
      <c r="AN12" s="32" t="n">
        <v>46220</v>
      </c>
      <c r="AO12" s="33" t="str">
        <f aca="false">IF(AND(R12&gt;Lookups!$B$18,AD12&gt;Lookups!$B$19),"ESCALATE",IF(AD12&gt;Lookups!$B$20,"High value",IF(R12&gt;Lookups!$B$18,"Aged","Monitor")))</f>
        <v>ESCALATE</v>
      </c>
      <c r="AP12" s="5" t="s">
        <v>130</v>
      </c>
      <c r="AQ12" s="5"/>
      <c r="AR12" s="29" t="n">
        <v>48121</v>
      </c>
      <c r="AS12" s="5"/>
      <c r="AT12" s="33" t="str">
        <f aca="false">IF(ISBLANK(O12),"Open","Resolved")</f>
        <v>Open</v>
      </c>
      <c r="AU12" s="33" t="n">
        <f aca="false">IF(AND($AT12="Open",$AP12="No",COUNTIFS($A$5:$A12,$A12,$AT$5:$AT12,"Open",$AP$5:$AP12,"No")=1),1,0)</f>
        <v>1</v>
      </c>
      <c r="AV12" s="33" t="n">
        <f aca="false">IF(AND($AT12="Open",$AP12="No",COUNTIFS($H$5:$H12,$H12,$AT$5:$AT12,"Open",$AP$5:$AP12,"No")=1),1,0)</f>
        <v>0</v>
      </c>
    </row>
    <row r="13" customFormat="false" ht="15" hidden="false" customHeight="false" outlineLevel="0" collapsed="false">
      <c r="A13" s="5" t="s">
        <v>310</v>
      </c>
      <c r="B13" s="5" t="s">
        <v>267</v>
      </c>
      <c r="C13" s="32" t="n">
        <v>46218</v>
      </c>
      <c r="D13" s="5" t="s">
        <v>311</v>
      </c>
      <c r="E13" s="5" t="s">
        <v>309</v>
      </c>
      <c r="F13" s="5" t="s">
        <v>62</v>
      </c>
      <c r="G13" s="5" t="s">
        <v>270</v>
      </c>
      <c r="H13" s="5" t="s">
        <v>312</v>
      </c>
      <c r="I13" s="33" t="str">
        <f aca="false">IFERROR(INDEX(Lookups!$B$6:$B$10,MATCH(LEFT(H13,3),Lookups!$A$6:$A$10,0)),"(unmapped)")</f>
        <v>Fay</v>
      </c>
      <c r="J13" s="5" t="s">
        <v>313</v>
      </c>
      <c r="K13" s="5" t="s">
        <v>314</v>
      </c>
      <c r="L13" s="30" t="n">
        <v>6</v>
      </c>
      <c r="M13" s="34" t="n">
        <v>2756.9</v>
      </c>
      <c r="N13" s="32" t="n">
        <v>46218</v>
      </c>
      <c r="O13" s="5"/>
      <c r="P13" s="33" t="str">
        <f aca="false">IF(ISBLANK(O13),TEXT(N13,"d mmm yyyy")&amp;" – ongoing",IF(TEXT(N13,"mmmyyyy")=TEXT(O13,"mmmyyyy"),TEXT(N13,"d")&amp;" – "&amp;TEXT(O13,"d mmm yyyy"),IF(TEXT(N13,"yyyy")=TEXT(O13,"yyyy"),TEXT(N13,"d mmm")&amp;" – "&amp;TEXT(O13,"d mmm yyyy"),TEXT(N13,"d mmm yyyy")&amp;" – "&amp;TEXT(O13,"d mmm yyyy"))))</f>
        <v>15 Jul 2026 – ongoing</v>
      </c>
      <c r="Q13" s="35" t="n">
        <f aca="false">IF(ISBLANK(O13),Lookups!$B$16-N13,O13-N13)</f>
        <v>11</v>
      </c>
      <c r="R13" s="35" t="n">
        <f aca="false">IF(ISBLANK(O13),NETWORKDAYS.INTL(N13,Lookups!$B$16,"0000001")-1,NETWORKDAYS.INTL(N13,O13,"0000001")-1)</f>
        <v>9</v>
      </c>
      <c r="S13" s="33" t="str">
        <f aca="false">IF(R13=0,"Same Day",R13&amp;IF(R13=1," Day Delay"," Days Delay")&amp;IF(T13="Yes",""," (min.)"))</f>
        <v>9 Days Delay</v>
      </c>
      <c r="T13" s="5" t="s">
        <v>180</v>
      </c>
      <c r="U13" s="29" t="n">
        <v>1</v>
      </c>
      <c r="V13" s="30" t="n">
        <v>6</v>
      </c>
      <c r="W13" s="30" t="n">
        <v>6</v>
      </c>
      <c r="X13" s="30" t="n">
        <v>0</v>
      </c>
      <c r="Y13" s="30" t="n">
        <v>0</v>
      </c>
      <c r="Z13" s="30" t="n">
        <v>0</v>
      </c>
      <c r="AA13" s="29" t="n">
        <v>0</v>
      </c>
      <c r="AB13" s="36" t="n">
        <f aca="false">IFERROR(X13/(L13-Z13),"")</f>
        <v>0</v>
      </c>
      <c r="AC13" s="37" t="n">
        <f aca="false">L13*M13</f>
        <v>16541.4</v>
      </c>
      <c r="AD13" s="37" t="n">
        <f aca="false">W13*M13</f>
        <v>16541.4</v>
      </c>
      <c r="AE13" s="37" t="n">
        <f aca="false">X13*M13</f>
        <v>0</v>
      </c>
      <c r="AF13" s="37" t="n">
        <f aca="false">Y13*M13</f>
        <v>0</v>
      </c>
      <c r="AG13" s="37" t="n">
        <f aca="false">AF13*MAX(0,R13-Lookups!$B$17)</f>
        <v>0</v>
      </c>
      <c r="AH13" s="37" t="n">
        <f aca="false">IF(ISBLANK(O13),IF(R13&gt;Lookups!$B$18,W13*M13,0),Z13*M13)</f>
        <v>16541.4</v>
      </c>
      <c r="AI13" s="5"/>
      <c r="AJ13" s="5" t="s">
        <v>185</v>
      </c>
      <c r="AK13" s="5" t="s">
        <v>178</v>
      </c>
      <c r="AL13" s="5" t="s">
        <v>315</v>
      </c>
      <c r="AM13" s="5" t="s">
        <v>303</v>
      </c>
      <c r="AN13" s="32" t="n">
        <v>46220</v>
      </c>
      <c r="AO13" s="33" t="str">
        <f aca="false">IF(AND(R13&gt;Lookups!$B$18,AD13&gt;Lookups!$B$19),"ESCALATE",IF(AD13&gt;Lookups!$B$20,"High value",IF(R13&gt;Lookups!$B$18,"Aged","Monitor")))</f>
        <v>Aged</v>
      </c>
      <c r="AP13" s="5" t="s">
        <v>130</v>
      </c>
      <c r="AQ13" s="5"/>
      <c r="AR13" s="29" t="n">
        <v>48124</v>
      </c>
      <c r="AS13" s="5"/>
      <c r="AT13" s="33" t="str">
        <f aca="false">IF(ISBLANK(O13),"Open","Resolved")</f>
        <v>Open</v>
      </c>
      <c r="AU13" s="33" t="n">
        <f aca="false">IF(AND($AT13="Open",$AP13="No",COUNTIFS($A$5:$A13,$A13,$AT$5:$AT13,"Open",$AP$5:$AP13,"No")=1),1,0)</f>
        <v>1</v>
      </c>
      <c r="AV13" s="33" t="n">
        <f aca="false">IF(AND($AT13="Open",$AP13="No",COUNTIFS($H$5:$H13,$H13,$AT$5:$AT13,"Open",$AP$5:$AP13,"No")=1),1,0)</f>
        <v>1</v>
      </c>
    </row>
    <row r="14" customFormat="false" ht="15" hidden="false" customHeight="false" outlineLevel="0" collapsed="false">
      <c r="A14" s="5" t="s">
        <v>316</v>
      </c>
      <c r="B14" s="5" t="s">
        <v>267</v>
      </c>
      <c r="C14" s="32" t="n">
        <v>46218</v>
      </c>
      <c r="D14" s="5" t="s">
        <v>317</v>
      </c>
      <c r="E14" s="5" t="s">
        <v>309</v>
      </c>
      <c r="F14" s="5" t="s">
        <v>62</v>
      </c>
      <c r="G14" s="5" t="s">
        <v>270</v>
      </c>
      <c r="H14" s="5" t="s">
        <v>312</v>
      </c>
      <c r="I14" s="33" t="str">
        <f aca="false">IFERROR(INDEX(Lookups!$B$6:$B$10,MATCH(LEFT(H14,3),Lookups!$A$6:$A$10,0)),"(unmapped)")</f>
        <v>Fay</v>
      </c>
      <c r="J14" s="5" t="s">
        <v>313</v>
      </c>
      <c r="K14" s="5" t="s">
        <v>314</v>
      </c>
      <c r="L14" s="30" t="n">
        <v>6</v>
      </c>
      <c r="M14" s="34" t="n">
        <v>2756.9</v>
      </c>
      <c r="N14" s="32" t="n">
        <v>46218</v>
      </c>
      <c r="O14" s="5"/>
      <c r="P14" s="33" t="str">
        <f aca="false">IF(ISBLANK(O14),TEXT(N14,"d mmm yyyy")&amp;" – ongoing",IF(TEXT(N14,"mmmyyyy")=TEXT(O14,"mmmyyyy"),TEXT(N14,"d")&amp;" – "&amp;TEXT(O14,"d mmm yyyy"),IF(TEXT(N14,"yyyy")=TEXT(O14,"yyyy"),TEXT(N14,"d mmm")&amp;" – "&amp;TEXT(O14,"d mmm yyyy"),TEXT(N14,"d mmm yyyy")&amp;" – "&amp;TEXT(O14,"d mmm yyyy"))))</f>
        <v>15 Jul 2026 – ongoing</v>
      </c>
      <c r="Q14" s="35" t="n">
        <f aca="false">IF(ISBLANK(O14),Lookups!$B$16-N14,O14-N14)</f>
        <v>11</v>
      </c>
      <c r="R14" s="35" t="n">
        <f aca="false">IF(ISBLANK(O14),NETWORKDAYS.INTL(N14,Lookups!$B$16,"0000001")-1,NETWORKDAYS.INTL(N14,O14,"0000001")-1)</f>
        <v>9</v>
      </c>
      <c r="S14" s="33" t="str">
        <f aca="false">IF(R14=0,"Same Day",R14&amp;IF(R14=1," Day Delay"," Days Delay")&amp;IF(T14="Yes",""," (min.)"))</f>
        <v>9 Days Delay</v>
      </c>
      <c r="T14" s="5" t="s">
        <v>180</v>
      </c>
      <c r="U14" s="29" t="n">
        <v>1</v>
      </c>
      <c r="V14" s="30" t="n">
        <v>6</v>
      </c>
      <c r="W14" s="30" t="n">
        <v>6</v>
      </c>
      <c r="X14" s="30" t="n">
        <v>0</v>
      </c>
      <c r="Y14" s="30" t="n">
        <v>0</v>
      </c>
      <c r="Z14" s="30" t="n">
        <v>0</v>
      </c>
      <c r="AA14" s="29" t="n">
        <v>0</v>
      </c>
      <c r="AB14" s="36" t="n">
        <f aca="false">IFERROR(X14/(L14-Z14),"")</f>
        <v>0</v>
      </c>
      <c r="AC14" s="37" t="n">
        <f aca="false">L14*M14</f>
        <v>16541.4</v>
      </c>
      <c r="AD14" s="37" t="n">
        <f aca="false">W14*M14</f>
        <v>16541.4</v>
      </c>
      <c r="AE14" s="37" t="n">
        <f aca="false">X14*M14</f>
        <v>0</v>
      </c>
      <c r="AF14" s="37" t="n">
        <f aca="false">Y14*M14</f>
        <v>0</v>
      </c>
      <c r="AG14" s="37" t="n">
        <f aca="false">AF14*MAX(0,R14-Lookups!$B$17)</f>
        <v>0</v>
      </c>
      <c r="AH14" s="37" t="n">
        <f aca="false">IF(ISBLANK(O14),IF(R14&gt;Lookups!$B$18,W14*M14,0),Z14*M14)</f>
        <v>16541.4</v>
      </c>
      <c r="AI14" s="5"/>
      <c r="AJ14" s="5" t="s">
        <v>185</v>
      </c>
      <c r="AK14" s="5" t="s">
        <v>178</v>
      </c>
      <c r="AL14" s="5" t="s">
        <v>315</v>
      </c>
      <c r="AM14" s="5" t="s">
        <v>303</v>
      </c>
      <c r="AN14" s="32" t="n">
        <v>46220</v>
      </c>
      <c r="AO14" s="33" t="str">
        <f aca="false">IF(AND(R14&gt;Lookups!$B$18,AD14&gt;Lookups!$B$19),"ESCALATE",IF(AD14&gt;Lookups!$B$20,"High value",IF(R14&gt;Lookups!$B$18,"Aged","Monitor")))</f>
        <v>Aged</v>
      </c>
      <c r="AP14" s="5" t="s">
        <v>130</v>
      </c>
      <c r="AQ14" s="5"/>
      <c r="AR14" s="29" t="n">
        <v>48127</v>
      </c>
      <c r="AS14" s="5"/>
      <c r="AT14" s="33" t="str">
        <f aca="false">IF(ISBLANK(O14),"Open","Resolved")</f>
        <v>Open</v>
      </c>
      <c r="AU14" s="33" t="n">
        <f aca="false">IF(AND($AT14="Open",$AP14="No",COUNTIFS($A$5:$A14,$A14,$AT$5:$AT14,"Open",$AP$5:$AP14,"No")=1),1,0)</f>
        <v>1</v>
      </c>
      <c r="AV14" s="33" t="n">
        <f aca="false">IF(AND($AT14="Open",$AP14="No",COUNTIFS($H$5:$H14,$H14,$AT$5:$AT14,"Open",$AP$5:$AP14,"No")=1),1,0)</f>
        <v>0</v>
      </c>
    </row>
    <row r="15" customFormat="false" ht="15" hidden="false" customHeight="false" outlineLevel="0" collapsed="false">
      <c r="A15" s="5" t="s">
        <v>318</v>
      </c>
      <c r="B15" s="5" t="s">
        <v>267</v>
      </c>
      <c r="C15" s="32" t="n">
        <v>46223</v>
      </c>
      <c r="D15" s="5" t="s">
        <v>319</v>
      </c>
      <c r="E15" s="5" t="s">
        <v>319</v>
      </c>
      <c r="F15" s="5" t="s">
        <v>64</v>
      </c>
      <c r="G15" s="5" t="s">
        <v>270</v>
      </c>
      <c r="H15" s="5" t="s">
        <v>320</v>
      </c>
      <c r="I15" s="33" t="str">
        <f aca="false">IFERROR(INDEX(Lookups!$B$6:$B$10,MATCH(LEFT(H15,3),Lookups!$A$6:$A$10,0)),"(unmapped)")</f>
        <v>Tishu Poa</v>
      </c>
      <c r="J15" s="5" t="s">
        <v>321</v>
      </c>
      <c r="K15" s="5" t="s">
        <v>273</v>
      </c>
      <c r="L15" s="30" t="n">
        <v>980</v>
      </c>
      <c r="M15" s="34" t="n">
        <v>860.17</v>
      </c>
      <c r="N15" s="32" t="n">
        <v>46223</v>
      </c>
      <c r="O15" s="32" t="n">
        <v>46225</v>
      </c>
      <c r="P15" s="33" t="str">
        <f aca="false">IF(ISBLANK(O15),TEXT(N15,"d mmm yyyy")&amp;" – ongoing",IF(TEXT(N15,"mmmyyyy")=TEXT(O15,"mmmyyyy"),TEXT(N15,"d")&amp;" – "&amp;TEXT(O15,"d mmm yyyy"),IF(TEXT(N15,"yyyy")=TEXT(O15,"yyyy"),TEXT(N15,"d mmm")&amp;" – "&amp;TEXT(O15,"d mmm yyyy"),TEXT(N15,"d mmm yyyy")&amp;" – "&amp;TEXT(O15,"d mmm yyyy"))))</f>
        <v>20 – 22 Jul 2026</v>
      </c>
      <c r="Q15" s="35" t="n">
        <f aca="false">IF(ISBLANK(O15),Lookups!$B$16-N15,O15-N15)</f>
        <v>2</v>
      </c>
      <c r="R15" s="35" t="n">
        <f aca="false">IF(ISBLANK(O15),NETWORKDAYS.INTL(N15,Lookups!$B$16,"0000001")-1,NETWORKDAYS.INTL(N15,O15,"0000001")-1)</f>
        <v>2</v>
      </c>
      <c r="S15" s="33" t="str">
        <f aca="false">IF(R15=0,"Same Day",R15&amp;IF(R15=1," Day Delay"," Days Delay")&amp;IF(T15="Yes",""," (min.)"))</f>
        <v>2 Days Delay</v>
      </c>
      <c r="T15" s="5" t="s">
        <v>180</v>
      </c>
      <c r="U15" s="29" t="n">
        <v>1</v>
      </c>
      <c r="V15" s="30" t="n">
        <v>262</v>
      </c>
      <c r="W15" s="30" t="n">
        <v>0</v>
      </c>
      <c r="X15" s="30" t="n">
        <v>980</v>
      </c>
      <c r="Y15" s="30" t="n">
        <v>262</v>
      </c>
      <c r="Z15" s="30" t="n">
        <v>0</v>
      </c>
      <c r="AA15" s="29" t="n">
        <v>3</v>
      </c>
      <c r="AB15" s="36" t="n">
        <f aca="false">IFERROR(X15/(L15-Z15),"")</f>
        <v>1</v>
      </c>
      <c r="AC15" s="37" t="n">
        <f aca="false">L15*M15</f>
        <v>842966.6</v>
      </c>
      <c r="AD15" s="37" t="n">
        <f aca="false">W15*M15</f>
        <v>0</v>
      </c>
      <c r="AE15" s="37" t="n">
        <f aca="false">X15*M15</f>
        <v>842966.6</v>
      </c>
      <c r="AF15" s="37" t="n">
        <f aca="false">Y15*M15</f>
        <v>225364.54</v>
      </c>
      <c r="AG15" s="37" t="n">
        <f aca="false">AF15*MAX(0,R15-Lookups!$B$17)</f>
        <v>0</v>
      </c>
      <c r="AH15" s="37" t="n">
        <f aca="false">IF(ISBLANK(O15),IF(R15&gt;Lookups!$B$18,W15*M15,0),Z15*M15)</f>
        <v>0</v>
      </c>
      <c r="AI15" s="5" t="s">
        <v>288</v>
      </c>
      <c r="AJ15" s="5" t="s">
        <v>196</v>
      </c>
      <c r="AK15" s="5" t="s">
        <v>194</v>
      </c>
      <c r="AL15" s="5" t="s">
        <v>322</v>
      </c>
      <c r="AM15" s="5" t="s">
        <v>323</v>
      </c>
      <c r="AN15" s="32" t="n">
        <v>46224</v>
      </c>
      <c r="AO15" s="33" t="str">
        <f aca="false">IF(AND(R15&gt;Lookups!$B$18,AD15&gt;Lookups!$B$19),"ESCALATE",IF(AD15&gt;Lookups!$B$20,"High value",IF(R15&gt;Lookups!$B$18,"Aged","Monitor")))</f>
        <v>Monitor</v>
      </c>
      <c r="AP15" s="5" t="s">
        <v>130</v>
      </c>
      <c r="AQ15" s="5"/>
      <c r="AR15" s="29" t="n">
        <v>48130</v>
      </c>
      <c r="AS15" s="29" t="n">
        <v>48210</v>
      </c>
      <c r="AT15" s="33" t="str">
        <f aca="false">IF(ISBLANK(O15),"Open","Resolved")</f>
        <v>Resolved</v>
      </c>
      <c r="AU15" s="33" t="n">
        <f aca="false">IF(AND($AT15="Open",$AP15="No",COUNTIFS($A$5:$A15,$A15,$AT$5:$AT15,"Open",$AP$5:$AP15,"No")=1),1,0)</f>
        <v>0</v>
      </c>
      <c r="AV15" s="33" t="n">
        <f aca="false">IF(AND($AT15="Open",$AP15="No",COUNTIFS($H$5:$H15,$H15,$AT$5:$AT15,"Open",$AP$5:$AP15,"No")=1),1,0)</f>
        <v>0</v>
      </c>
    </row>
    <row r="16" customFormat="false" ht="15" hidden="false" customHeight="false" outlineLevel="0" collapsed="false">
      <c r="A16" s="5" t="s">
        <v>324</v>
      </c>
      <c r="B16" s="5" t="s">
        <v>267</v>
      </c>
      <c r="C16" s="32" t="n">
        <v>46226</v>
      </c>
      <c r="D16" s="5" t="s">
        <v>325</v>
      </c>
      <c r="E16" s="5" t="s">
        <v>325</v>
      </c>
      <c r="F16" s="5" t="s">
        <v>64</v>
      </c>
      <c r="G16" s="5" t="s">
        <v>270</v>
      </c>
      <c r="H16" s="5" t="s">
        <v>326</v>
      </c>
      <c r="I16" s="33" t="str">
        <f aca="false">IFERROR(INDEX(Lookups!$B$6:$B$10,MATCH(LEFT(H16,3),Lookups!$A$6:$A$10,0)),"(unmapped)")</f>
        <v>Cow &amp; Gate</v>
      </c>
      <c r="J16" s="5" t="s">
        <v>327</v>
      </c>
      <c r="K16" s="5" t="s">
        <v>328</v>
      </c>
      <c r="L16" s="30" t="n">
        <v>36</v>
      </c>
      <c r="M16" s="34" t="n">
        <v>1035</v>
      </c>
      <c r="N16" s="32" t="n">
        <v>46226</v>
      </c>
      <c r="O16" s="5"/>
      <c r="P16" s="33" t="str">
        <f aca="false">IF(ISBLANK(O16),TEXT(N16,"d mmm yyyy")&amp;" – ongoing",IF(TEXT(N16,"mmmyyyy")=TEXT(O16,"mmmyyyy"),TEXT(N16,"d")&amp;" – "&amp;TEXT(O16,"d mmm yyyy"),IF(TEXT(N16,"yyyy")=TEXT(O16,"yyyy"),TEXT(N16,"d mmm")&amp;" – "&amp;TEXT(O16,"d mmm yyyy"),TEXT(N16,"d mmm yyyy")&amp;" – "&amp;TEXT(O16,"d mmm yyyy"))))</f>
        <v>23 Jul 2026 – ongoing</v>
      </c>
      <c r="Q16" s="35" t="n">
        <f aca="false">IF(ISBLANK(O16),Lookups!$B$16-N16,O16-N16)</f>
        <v>3</v>
      </c>
      <c r="R16" s="35" t="n">
        <f aca="false">IF(ISBLANK(O16),NETWORKDAYS.INTL(N16,Lookups!$B$16,"0000001")-1,NETWORKDAYS.INTL(N16,O16,"0000001")-1)</f>
        <v>2</v>
      </c>
      <c r="S16" s="33" t="str">
        <f aca="false">IF(R16=0,"Same Day",R16&amp;IF(R16=1," Day Delay"," Days Delay")&amp;IF(T16="Yes",""," (min.)"))</f>
        <v>2 Days Delay (min.)</v>
      </c>
      <c r="T16" s="5" t="s">
        <v>329</v>
      </c>
      <c r="U16" s="29" t="n">
        <v>1</v>
      </c>
      <c r="V16" s="30" t="n">
        <v>36</v>
      </c>
      <c r="W16" s="30" t="n">
        <v>36</v>
      </c>
      <c r="X16" s="30" t="n">
        <v>0</v>
      </c>
      <c r="Y16" s="30" t="n">
        <v>0</v>
      </c>
      <c r="Z16" s="30" t="n">
        <v>0</v>
      </c>
      <c r="AA16" s="29" t="n">
        <v>0</v>
      </c>
      <c r="AB16" s="36" t="n">
        <f aca="false">IFERROR(X16/(L16-Z16),"")</f>
        <v>0</v>
      </c>
      <c r="AC16" s="37" t="n">
        <f aca="false">L16*M16</f>
        <v>37260</v>
      </c>
      <c r="AD16" s="37" t="n">
        <f aca="false">W16*M16</f>
        <v>37260</v>
      </c>
      <c r="AE16" s="37" t="n">
        <f aca="false">X16*M16</f>
        <v>0</v>
      </c>
      <c r="AF16" s="37" t="n">
        <f aca="false">Y16*M16</f>
        <v>0</v>
      </c>
      <c r="AG16" s="37" t="n">
        <f aca="false">AF16*MAX(0,R16-Lookups!$B$17)</f>
        <v>0</v>
      </c>
      <c r="AH16" s="37" t="n">
        <f aca="false">IF(ISBLANK(O16),IF(R16&gt;Lookups!$B$18,W16*M16,0),Z16*M16)</f>
        <v>0</v>
      </c>
      <c r="AI16" s="5"/>
      <c r="AJ16" s="5" t="s">
        <v>191</v>
      </c>
      <c r="AK16" s="5" t="s">
        <v>189</v>
      </c>
      <c r="AL16" s="5" t="s">
        <v>330</v>
      </c>
      <c r="AM16" s="5"/>
      <c r="AN16" s="5"/>
      <c r="AO16" s="33" t="str">
        <f aca="false">IF(AND(R16&gt;Lookups!$B$18,AD16&gt;Lookups!$B$19),"ESCALATE",IF(AD16&gt;Lookups!$B$20,"High value",IF(R16&gt;Lookups!$B$18,"Aged","Monitor")))</f>
        <v>Monitor</v>
      </c>
      <c r="AP16" s="5" t="s">
        <v>130</v>
      </c>
      <c r="AQ16" s="5"/>
      <c r="AR16" s="29" t="n">
        <v>48133</v>
      </c>
      <c r="AS16" s="5"/>
      <c r="AT16" s="33" t="str">
        <f aca="false">IF(ISBLANK(O16),"Open","Resolved")</f>
        <v>Open</v>
      </c>
      <c r="AU16" s="33" t="n">
        <f aca="false">IF(AND($AT16="Open",$AP16="No",COUNTIFS($A$5:$A16,$A16,$AT$5:$AT16,"Open",$AP$5:$AP16,"No")=1),1,0)</f>
        <v>1</v>
      </c>
      <c r="AV16" s="33" t="n">
        <f aca="false">IF(AND($AT16="Open",$AP16="No",COUNTIFS($H$5:$H16,$H16,$AT$5:$AT16,"Open",$AP$5:$AP16,"No")=1),1,0)</f>
        <v>1</v>
      </c>
    </row>
    <row r="17" customFormat="false" ht="15" hidden="false" customHeight="false" outlineLevel="0" collapsed="false">
      <c r="A17" s="5" t="s">
        <v>331</v>
      </c>
      <c r="B17" s="5" t="s">
        <v>267</v>
      </c>
      <c r="C17" s="32" t="n">
        <v>46226</v>
      </c>
      <c r="D17" s="5" t="s">
        <v>332</v>
      </c>
      <c r="E17" s="5" t="s">
        <v>332</v>
      </c>
      <c r="F17" s="5" t="s">
        <v>63</v>
      </c>
      <c r="G17" s="5" t="s">
        <v>270</v>
      </c>
      <c r="H17" s="5" t="s">
        <v>333</v>
      </c>
      <c r="I17" s="33" t="str">
        <f aca="false">IFERROR(INDEX(Lookups!$B$6:$B$10,MATCH(LEFT(H17,3),Lookups!$A$6:$A$10,0)),"(unmapped)")</f>
        <v>Cow &amp; Gate</v>
      </c>
      <c r="J17" s="5" t="s">
        <v>334</v>
      </c>
      <c r="K17" s="5" t="s">
        <v>328</v>
      </c>
      <c r="L17" s="30" t="n">
        <v>1188</v>
      </c>
      <c r="M17" s="34" t="n">
        <v>1593.04</v>
      </c>
      <c r="N17" s="32" t="n">
        <v>46226</v>
      </c>
      <c r="O17" s="5"/>
      <c r="P17" s="33" t="str">
        <f aca="false">IF(ISBLANK(O17),TEXT(N17,"d mmm yyyy")&amp;" – ongoing",IF(TEXT(N17,"mmmyyyy")=TEXT(O17,"mmmyyyy"),TEXT(N17,"d")&amp;" – "&amp;TEXT(O17,"d mmm yyyy"),IF(TEXT(N17,"yyyy")=TEXT(O17,"yyyy"),TEXT(N17,"d mmm")&amp;" – "&amp;TEXT(O17,"d mmm yyyy"),TEXT(N17,"d mmm yyyy")&amp;" – "&amp;TEXT(O17,"d mmm yyyy"))))</f>
        <v>23 Jul 2026 – ongoing</v>
      </c>
      <c r="Q17" s="35" t="n">
        <f aca="false">IF(ISBLANK(O17),Lookups!$B$16-N17,O17-N17)</f>
        <v>3</v>
      </c>
      <c r="R17" s="35" t="n">
        <f aca="false">IF(ISBLANK(O17),NETWORKDAYS.INTL(N17,Lookups!$B$16,"0000001")-1,NETWORKDAYS.INTL(N17,O17,"0000001")-1)</f>
        <v>2</v>
      </c>
      <c r="S17" s="33" t="str">
        <f aca="false">IF(R17=0,"Same Day",R17&amp;IF(R17=1," Day Delay"," Days Delay")&amp;IF(T17="Yes",""," (min.)"))</f>
        <v>2 Days Delay</v>
      </c>
      <c r="T17" s="5" t="s">
        <v>180</v>
      </c>
      <c r="U17" s="29" t="n">
        <v>1</v>
      </c>
      <c r="V17" s="30" t="n">
        <v>1188</v>
      </c>
      <c r="W17" s="30" t="n">
        <v>1188</v>
      </c>
      <c r="X17" s="30" t="n">
        <v>0</v>
      </c>
      <c r="Y17" s="30" t="n">
        <v>0</v>
      </c>
      <c r="Z17" s="30" t="n">
        <v>0</v>
      </c>
      <c r="AA17" s="29" t="n">
        <v>0</v>
      </c>
      <c r="AB17" s="36" t="n">
        <f aca="false">IFERROR(X17/(L17-Z17),"")</f>
        <v>0</v>
      </c>
      <c r="AC17" s="37" t="n">
        <f aca="false">L17*M17</f>
        <v>1892531.52</v>
      </c>
      <c r="AD17" s="37" t="n">
        <f aca="false">W17*M17</f>
        <v>1892531.52</v>
      </c>
      <c r="AE17" s="37" t="n">
        <f aca="false">X17*M17</f>
        <v>0</v>
      </c>
      <c r="AF17" s="37" t="n">
        <f aca="false">Y17*M17</f>
        <v>0</v>
      </c>
      <c r="AG17" s="37" t="n">
        <f aca="false">AF17*MAX(0,R17-Lookups!$B$17)</f>
        <v>0</v>
      </c>
      <c r="AH17" s="37" t="n">
        <f aca="false">IF(ISBLANK(O17),IF(R17&gt;Lookups!$B$18,W17*M17,0),Z17*M17)</f>
        <v>0</v>
      </c>
      <c r="AI17" s="5"/>
      <c r="AJ17" s="5" t="s">
        <v>219</v>
      </c>
      <c r="AK17" s="5" t="s">
        <v>218</v>
      </c>
      <c r="AL17" s="5"/>
      <c r="AM17" s="5"/>
      <c r="AN17" s="5"/>
      <c r="AO17" s="33" t="str">
        <f aca="false">IF(AND(R17&gt;Lookups!$B$18,AD17&gt;Lookups!$B$19),"ESCALATE",IF(AD17&gt;Lookups!$B$20,"High value",IF(R17&gt;Lookups!$B$18,"Aged","Monitor")))</f>
        <v>High value</v>
      </c>
      <c r="AP17" s="5" t="s">
        <v>130</v>
      </c>
      <c r="AQ17" s="5"/>
      <c r="AR17" s="29" t="n">
        <v>48136</v>
      </c>
      <c r="AS17" s="5"/>
      <c r="AT17" s="33" t="str">
        <f aca="false">IF(ISBLANK(O17),"Open","Resolved")</f>
        <v>Open</v>
      </c>
      <c r="AU17" s="33" t="n">
        <f aca="false">IF(AND($AT17="Open",$AP17="No",COUNTIFS($A$5:$A17,$A17,$AT$5:$AT17,"Open",$AP$5:$AP17,"No")=1),1,0)</f>
        <v>1</v>
      </c>
      <c r="AV17" s="33" t="n">
        <f aca="false">IF(AND($AT17="Open",$AP17="No",COUNTIFS($H$5:$H17,$H17,$AT$5:$AT17,"Open",$AP$5:$AP17,"No")=1),1,0)</f>
        <v>1</v>
      </c>
    </row>
    <row r="18" customFormat="false" ht="15" hidden="false" customHeight="false" outlineLevel="0" collapsed="false">
      <c r="A18" s="5" t="s">
        <v>335</v>
      </c>
      <c r="B18" s="5" t="s">
        <v>267</v>
      </c>
      <c r="C18" s="32" t="n">
        <v>46226</v>
      </c>
      <c r="D18" s="5" t="s">
        <v>336</v>
      </c>
      <c r="E18" s="5" t="s">
        <v>336</v>
      </c>
      <c r="F18" s="5" t="s">
        <v>63</v>
      </c>
      <c r="G18" s="5" t="s">
        <v>270</v>
      </c>
      <c r="H18" s="5" t="s">
        <v>326</v>
      </c>
      <c r="I18" s="33" t="str">
        <f aca="false">IFERROR(INDEX(Lookups!$B$6:$B$10,MATCH(LEFT(H18,3),Lookups!$A$6:$A$10,0)),"(unmapped)")</f>
        <v>Cow &amp; Gate</v>
      </c>
      <c r="J18" s="5" t="s">
        <v>327</v>
      </c>
      <c r="K18" s="5" t="s">
        <v>328</v>
      </c>
      <c r="L18" s="30" t="n">
        <v>18</v>
      </c>
      <c r="M18" s="34" t="n">
        <v>2492.85</v>
      </c>
      <c r="N18" s="32" t="n">
        <v>46226</v>
      </c>
      <c r="O18" s="5"/>
      <c r="P18" s="33" t="str">
        <f aca="false">IF(ISBLANK(O18),TEXT(N18,"d mmm yyyy")&amp;" – ongoing",IF(TEXT(N18,"mmmyyyy")=TEXT(O18,"mmmyyyy"),TEXT(N18,"d")&amp;" – "&amp;TEXT(O18,"d mmm yyyy"),IF(TEXT(N18,"yyyy")=TEXT(O18,"yyyy"),TEXT(N18,"d mmm")&amp;" – "&amp;TEXT(O18,"d mmm yyyy"),TEXT(N18,"d mmm yyyy")&amp;" – "&amp;TEXT(O18,"d mmm yyyy"))))</f>
        <v>23 Jul 2026 – ongoing</v>
      </c>
      <c r="Q18" s="35" t="n">
        <f aca="false">IF(ISBLANK(O18),Lookups!$B$16-N18,O18-N18)</f>
        <v>3</v>
      </c>
      <c r="R18" s="35" t="n">
        <f aca="false">IF(ISBLANK(O18),NETWORKDAYS.INTL(N18,Lookups!$B$16,"0000001")-1,NETWORKDAYS.INTL(N18,O18,"0000001")-1)</f>
        <v>2</v>
      </c>
      <c r="S18" s="33" t="str">
        <f aca="false">IF(R18=0,"Same Day",R18&amp;IF(R18=1," Day Delay"," Days Delay")&amp;IF(T18="Yes",""," (min.)"))</f>
        <v>2 Days Delay</v>
      </c>
      <c r="T18" s="5" t="s">
        <v>180</v>
      </c>
      <c r="U18" s="29" t="n">
        <v>1</v>
      </c>
      <c r="V18" s="30" t="n">
        <v>18</v>
      </c>
      <c r="W18" s="30" t="n">
        <v>18</v>
      </c>
      <c r="X18" s="30" t="n">
        <v>0</v>
      </c>
      <c r="Y18" s="30" t="n">
        <v>0</v>
      </c>
      <c r="Z18" s="30" t="n">
        <v>0</v>
      </c>
      <c r="AA18" s="29" t="n">
        <v>0</v>
      </c>
      <c r="AB18" s="36" t="n">
        <f aca="false">IFERROR(X18/(L18-Z18),"")</f>
        <v>0</v>
      </c>
      <c r="AC18" s="37" t="n">
        <f aca="false">L18*M18</f>
        <v>44871.3</v>
      </c>
      <c r="AD18" s="37" t="n">
        <f aca="false">W18*M18</f>
        <v>44871.3</v>
      </c>
      <c r="AE18" s="37" t="n">
        <f aca="false">X18*M18</f>
        <v>0</v>
      </c>
      <c r="AF18" s="37" t="n">
        <f aca="false">Y18*M18</f>
        <v>0</v>
      </c>
      <c r="AG18" s="37" t="n">
        <f aca="false">AF18*MAX(0,R18-Lookups!$B$17)</f>
        <v>0</v>
      </c>
      <c r="AH18" s="37" t="n">
        <f aca="false">IF(ISBLANK(O18),IF(R18&gt;Lookups!$B$18,W18*M18,0),Z18*M18)</f>
        <v>0</v>
      </c>
      <c r="AI18" s="5"/>
      <c r="AJ18" s="5" t="s">
        <v>191</v>
      </c>
      <c r="AK18" s="5" t="s">
        <v>189</v>
      </c>
      <c r="AL18" s="5" t="s">
        <v>330</v>
      </c>
      <c r="AM18" s="5" t="s">
        <v>303</v>
      </c>
      <c r="AN18" s="32" t="n">
        <v>46227</v>
      </c>
      <c r="AO18" s="33" t="str">
        <f aca="false">IF(AND(R18&gt;Lookups!$B$18,AD18&gt;Lookups!$B$19),"ESCALATE",IF(AD18&gt;Lookups!$B$20,"High value",IF(R18&gt;Lookups!$B$18,"Aged","Monitor")))</f>
        <v>Monitor</v>
      </c>
      <c r="AP18" s="5" t="s">
        <v>130</v>
      </c>
      <c r="AQ18" s="5"/>
      <c r="AR18" s="29" t="n">
        <v>48139</v>
      </c>
      <c r="AS18" s="5"/>
      <c r="AT18" s="33" t="str">
        <f aca="false">IF(ISBLANK(O18),"Open","Resolved")</f>
        <v>Open</v>
      </c>
      <c r="AU18" s="33" t="n">
        <f aca="false">IF(AND($AT18="Open",$AP18="No",COUNTIFS($A$5:$A18,$A18,$AT$5:$AT18,"Open",$AP$5:$AP18,"No")=1),1,0)</f>
        <v>1</v>
      </c>
      <c r="AV18" s="33" t="n">
        <f aca="false">IF(AND($AT18="Open",$AP18="No",COUNTIFS($H$5:$H18,$H18,$AT$5:$AT18,"Open",$AP$5:$AP18,"No")=1),1,0)</f>
        <v>0</v>
      </c>
    </row>
    <row r="19" customFormat="false" ht="15" hidden="false" customHeight="false" outlineLevel="0" collapsed="false">
      <c r="A19" s="5" t="s">
        <v>337</v>
      </c>
      <c r="B19" s="5" t="s">
        <v>267</v>
      </c>
      <c r="C19" s="32" t="n">
        <v>46204</v>
      </c>
      <c r="D19" s="5" t="s">
        <v>338</v>
      </c>
      <c r="E19" s="5" t="s">
        <v>338</v>
      </c>
      <c r="F19" s="5" t="s">
        <v>61</v>
      </c>
      <c r="G19" s="5" t="s">
        <v>270</v>
      </c>
      <c r="H19" s="5" t="s">
        <v>339</v>
      </c>
      <c r="I19" s="33" t="str">
        <f aca="false">IFERROR(INDEX(Lookups!$B$6:$B$10,MATCH(LEFT(H19,3),Lookups!$A$6:$A$10,0)),"(unmapped)")</f>
        <v>Sifa</v>
      </c>
      <c r="J19" s="5" t="s">
        <v>340</v>
      </c>
      <c r="K19" s="5" t="s">
        <v>273</v>
      </c>
      <c r="L19" s="30" t="n">
        <v>150</v>
      </c>
      <c r="M19" s="34" t="n">
        <v>0.1</v>
      </c>
      <c r="N19" s="32" t="n">
        <v>46204</v>
      </c>
      <c r="O19" s="5"/>
      <c r="P19" s="33" t="str">
        <f aca="false">IF(ISBLANK(O19),TEXT(N19,"d mmm yyyy")&amp;" – ongoing",IF(TEXT(N19,"mmmyyyy")=TEXT(O19,"mmmyyyy"),TEXT(N19,"d")&amp;" – "&amp;TEXT(O19,"d mmm yyyy"),IF(TEXT(N19,"yyyy")=TEXT(O19,"yyyy"),TEXT(N19,"d mmm")&amp;" – "&amp;TEXT(O19,"d mmm yyyy"),TEXT(N19,"d mmm yyyy")&amp;" – "&amp;TEXT(O19,"d mmm yyyy"))))</f>
        <v>1 Jul 2026 – ongoing</v>
      </c>
      <c r="Q19" s="35" t="n">
        <f aca="false">IF(ISBLANK(O19),Lookups!$B$16-N19,O19-N19)</f>
        <v>25</v>
      </c>
      <c r="R19" s="35" t="n">
        <f aca="false">IF(ISBLANK(O19),NETWORKDAYS.INTL(N19,Lookups!$B$16,"0000001")-1,NETWORKDAYS.INTL(N19,O19,"0000001")-1)</f>
        <v>21</v>
      </c>
      <c r="S19" s="33" t="str">
        <f aca="false">IF(R19=0,"Same Day",R19&amp;IF(R19=1," Day Delay"," Days Delay")&amp;IF(T19="Yes",""," (min.)"))</f>
        <v>21 Days Delay (min.)</v>
      </c>
      <c r="T19" s="5" t="s">
        <v>329</v>
      </c>
      <c r="U19" s="29" t="n">
        <v>1</v>
      </c>
      <c r="V19" s="30" t="n">
        <v>150</v>
      </c>
      <c r="W19" s="30" t="n">
        <v>36</v>
      </c>
      <c r="X19" s="30" t="n">
        <v>114</v>
      </c>
      <c r="Y19" s="30" t="n">
        <v>0</v>
      </c>
      <c r="Z19" s="30" t="n">
        <v>0</v>
      </c>
      <c r="AA19" s="29" t="n">
        <v>4</v>
      </c>
      <c r="AB19" s="36" t="n">
        <f aca="false">IFERROR(X19/(L19-Z19),"")</f>
        <v>0.76</v>
      </c>
      <c r="AC19" s="37" t="n">
        <f aca="false">L19*M19</f>
        <v>15</v>
      </c>
      <c r="AD19" s="37" t="n">
        <f aca="false">W19*M19</f>
        <v>3.6</v>
      </c>
      <c r="AE19" s="37" t="n">
        <f aca="false">X19*M19</f>
        <v>11.4</v>
      </c>
      <c r="AF19" s="37" t="n">
        <f aca="false">Y19*M19</f>
        <v>0</v>
      </c>
      <c r="AG19" s="37" t="n">
        <f aca="false">AF19*MAX(0,R19-Lookups!$B$17)</f>
        <v>0</v>
      </c>
      <c r="AH19" s="37" t="n">
        <f aca="false">IF(ISBLANK(O19),IF(R19&gt;Lookups!$B$18,W19*M19,0),Z19*M19)</f>
        <v>3.6</v>
      </c>
      <c r="AI19" s="5"/>
      <c r="AJ19" s="5" t="s">
        <v>203</v>
      </c>
      <c r="AK19" s="5" t="s">
        <v>199</v>
      </c>
      <c r="AL19" s="5" t="s">
        <v>341</v>
      </c>
      <c r="AM19" s="5" t="s">
        <v>323</v>
      </c>
      <c r="AN19" s="32" t="n">
        <v>46208</v>
      </c>
      <c r="AO19" s="33" t="str">
        <f aca="false">IF(AND(R19&gt;Lookups!$B$18,AD19&gt;Lookups!$B$19),"ESCALATE",IF(AD19&gt;Lookups!$B$20,"High value",IF(R19&gt;Lookups!$B$18,"Aged","Monitor")))</f>
        <v>Aged</v>
      </c>
      <c r="AP19" s="5" t="s">
        <v>180</v>
      </c>
      <c r="AQ19" s="5" t="s">
        <v>342</v>
      </c>
      <c r="AR19" s="29" t="n">
        <v>48142</v>
      </c>
      <c r="AS19" s="5"/>
      <c r="AT19" s="33" t="str">
        <f aca="false">IF(ISBLANK(O19),"Open","Resolved")</f>
        <v>Open</v>
      </c>
      <c r="AU19" s="33" t="n">
        <f aca="false">IF(AND($AT19="Open",$AP19="No",COUNTIFS($A$5:$A19,$A19,$AT$5:$AT19,"Open",$AP$5:$AP19,"No")=1),1,0)</f>
        <v>0</v>
      </c>
      <c r="AV19" s="33" t="n">
        <f aca="false">IF(AND($AT19="Open",$AP19="No",COUNTIFS($H$5:$H19,$H19,$AT$5:$AT19,"Open",$AP$5:$AP19,"No")=1),1,0)</f>
        <v>0</v>
      </c>
    </row>
    <row r="20" customFormat="false" ht="15" hidden="false" customHeight="false" outlineLevel="0" collapsed="false">
      <c r="A20" s="5" t="s">
        <v>343</v>
      </c>
      <c r="B20" s="5" t="s">
        <v>267</v>
      </c>
      <c r="C20" s="32" t="n">
        <v>46213</v>
      </c>
      <c r="D20" s="5" t="s">
        <v>344</v>
      </c>
      <c r="E20" s="5" t="s">
        <v>345</v>
      </c>
      <c r="F20" s="5" t="s">
        <v>61</v>
      </c>
      <c r="G20" s="5" t="s">
        <v>270</v>
      </c>
      <c r="H20" s="5" t="s">
        <v>346</v>
      </c>
      <c r="I20" s="33" t="str">
        <f aca="false">IFERROR(INDEX(Lookups!$B$6:$B$10,MATCH(LEFT(H20,3),Lookups!$A$6:$A$10,0)),"(unmapped)")</f>
        <v>Fay</v>
      </c>
      <c r="J20" s="5" t="s">
        <v>347</v>
      </c>
      <c r="K20" s="5" t="s">
        <v>273</v>
      </c>
      <c r="L20" s="30" t="n">
        <v>612</v>
      </c>
      <c r="M20" s="34" t="n">
        <v>89.1</v>
      </c>
      <c r="N20" s="32" t="n">
        <v>46213</v>
      </c>
      <c r="O20" s="32" t="n">
        <v>46219</v>
      </c>
      <c r="P20" s="33" t="str">
        <f aca="false">IF(ISBLANK(O20),TEXT(N20,"d mmm yyyy")&amp;" – ongoing",IF(TEXT(N20,"mmmyyyy")=TEXT(O20,"mmmyyyy"),TEXT(N20,"d")&amp;" – "&amp;TEXT(O20,"d mmm yyyy"),IF(TEXT(N20,"yyyy")=TEXT(O20,"yyyy"),TEXT(N20,"d mmm")&amp;" – "&amp;TEXT(O20,"d mmm yyyy"),TEXT(N20,"d mmm yyyy")&amp;" – "&amp;TEXT(O20,"d mmm yyyy"))))</f>
        <v>10 – 16 Jul 2026</v>
      </c>
      <c r="Q20" s="35" t="n">
        <f aca="false">IF(ISBLANK(O20),Lookups!$B$16-N20,O20-N20)</f>
        <v>6</v>
      </c>
      <c r="R20" s="35" t="n">
        <f aca="false">IF(ISBLANK(O20),NETWORKDAYS.INTL(N20,Lookups!$B$16,"0000001")-1,NETWORKDAYS.INTL(N20,O20,"0000001")-1)</f>
        <v>5</v>
      </c>
      <c r="S20" s="33" t="str">
        <f aca="false">IF(R20=0,"Same Day",R20&amp;IF(R20=1," Day Delay"," Days Delay")&amp;IF(T20="Yes",""," (min.)"))</f>
        <v>5 Days Delay</v>
      </c>
      <c r="T20" s="5" t="s">
        <v>180</v>
      </c>
      <c r="U20" s="29" t="n">
        <v>1</v>
      </c>
      <c r="V20" s="30" t="n">
        <v>182</v>
      </c>
      <c r="W20" s="30" t="n">
        <v>0</v>
      </c>
      <c r="X20" s="30" t="n">
        <v>612</v>
      </c>
      <c r="Y20" s="30" t="n">
        <v>182</v>
      </c>
      <c r="Z20" s="30" t="n">
        <v>0</v>
      </c>
      <c r="AA20" s="29" t="n">
        <v>2</v>
      </c>
      <c r="AB20" s="36" t="n">
        <f aca="false">IFERROR(X20/(L20-Z20),"")</f>
        <v>1</v>
      </c>
      <c r="AC20" s="37" t="n">
        <f aca="false">L20*M20</f>
        <v>54529.2</v>
      </c>
      <c r="AD20" s="37" t="n">
        <f aca="false">W20*M20</f>
        <v>0</v>
      </c>
      <c r="AE20" s="37" t="n">
        <f aca="false">X20*M20</f>
        <v>54529.2</v>
      </c>
      <c r="AF20" s="37" t="n">
        <f aca="false">Y20*M20</f>
        <v>16216.2</v>
      </c>
      <c r="AG20" s="37" t="n">
        <f aca="false">AF20*MAX(0,R20-Lookups!$B$17)</f>
        <v>48648.6</v>
      </c>
      <c r="AH20" s="37" t="n">
        <f aca="false">IF(ISBLANK(O20),IF(R20&gt;Lookups!$B$18,W20*M20,0),Z20*M20)</f>
        <v>0</v>
      </c>
      <c r="AI20" s="5" t="s">
        <v>288</v>
      </c>
      <c r="AJ20" s="5" t="s">
        <v>198</v>
      </c>
      <c r="AK20" s="5" t="s">
        <v>194</v>
      </c>
      <c r="AL20" s="5" t="s">
        <v>348</v>
      </c>
      <c r="AM20" s="5" t="s">
        <v>323</v>
      </c>
      <c r="AN20" s="32" t="n">
        <v>46216</v>
      </c>
      <c r="AO20" s="33" t="str">
        <f aca="false">IF(AND(R20&gt;Lookups!$B$18,AD20&gt;Lookups!$B$19),"ESCALATE",IF(AD20&gt;Lookups!$B$20,"High value",IF(R20&gt;Lookups!$B$18,"Aged","Monitor")))</f>
        <v>Monitor</v>
      </c>
      <c r="AP20" s="5" t="s">
        <v>130</v>
      </c>
      <c r="AQ20" s="5"/>
      <c r="AR20" s="29" t="n">
        <v>48145</v>
      </c>
      <c r="AS20" s="29" t="n">
        <v>48225</v>
      </c>
      <c r="AT20" s="33" t="str">
        <f aca="false">IF(ISBLANK(O20),"Open","Resolved")</f>
        <v>Resolved</v>
      </c>
      <c r="AU20" s="33" t="n">
        <f aca="false">IF(AND($AT20="Open",$AP20="No",COUNTIFS($A$5:$A20,$A20,$AT$5:$AT20,"Open",$AP$5:$AP20,"No")=1),1,0)</f>
        <v>0</v>
      </c>
      <c r="AV20" s="33" t="n">
        <f aca="false">IF(AND($AT20="Open",$AP20="No",COUNTIFS($H$5:$H20,$H20,$AT$5:$AT20,"Open",$AP$5:$AP20,"No")=1),1,0)</f>
        <v>0</v>
      </c>
    </row>
    <row r="21" customFormat="false" ht="15" hidden="false" customHeight="false" outlineLevel="0" collapsed="false">
      <c r="A21" s="5" t="s">
        <v>349</v>
      </c>
      <c r="B21" s="5" t="s">
        <v>267</v>
      </c>
      <c r="C21" s="32" t="n">
        <v>46213</v>
      </c>
      <c r="D21" s="5" t="s">
        <v>344</v>
      </c>
      <c r="E21" s="5" t="s">
        <v>345</v>
      </c>
      <c r="F21" s="5" t="s">
        <v>61</v>
      </c>
      <c r="G21" s="5" t="s">
        <v>270</v>
      </c>
      <c r="H21" s="5" t="s">
        <v>346</v>
      </c>
      <c r="I21" s="33" t="str">
        <f aca="false">IFERROR(INDEX(Lookups!$B$6:$B$10,MATCH(LEFT(H21,3),Lookups!$A$6:$A$10,0)),"(unmapped)")</f>
        <v>Fay</v>
      </c>
      <c r="J21" s="5" t="s">
        <v>347</v>
      </c>
      <c r="K21" s="5" t="s">
        <v>273</v>
      </c>
      <c r="L21" s="30" t="n">
        <v>480</v>
      </c>
      <c r="M21" s="34" t="n">
        <v>89.1</v>
      </c>
      <c r="N21" s="32" t="n">
        <v>46214</v>
      </c>
      <c r="O21" s="32" t="n">
        <v>46217</v>
      </c>
      <c r="P21" s="33" t="str">
        <f aca="false">IF(ISBLANK(O21),TEXT(N21,"d mmm yyyy")&amp;" – ongoing",IF(TEXT(N21,"mmmyyyy")=TEXT(O21,"mmmyyyy"),TEXT(N21,"d")&amp;" – "&amp;TEXT(O21,"d mmm yyyy"),IF(TEXT(N21,"yyyy")=TEXT(O21,"yyyy"),TEXT(N21,"d mmm")&amp;" – "&amp;TEXT(O21,"d mmm yyyy"),TEXT(N21,"d mmm yyyy")&amp;" – "&amp;TEXT(O21,"d mmm yyyy"))))</f>
        <v>11 – 14 Jul 2026</v>
      </c>
      <c r="Q21" s="35" t="n">
        <f aca="false">IF(ISBLANK(O21),Lookups!$B$16-N21,O21-N21)</f>
        <v>3</v>
      </c>
      <c r="R21" s="35" t="n">
        <f aca="false">IF(ISBLANK(O21),NETWORKDAYS.INTL(N21,Lookups!$B$16,"0000001")-1,NETWORKDAYS.INTL(N21,O21,"0000001")-1)</f>
        <v>2</v>
      </c>
      <c r="S21" s="33" t="str">
        <f aca="false">IF(R21=0,"Same Day",R21&amp;IF(R21=1," Day Delay"," Days Delay")&amp;IF(T21="Yes",""," (min.)"))</f>
        <v>2 Days Delay</v>
      </c>
      <c r="T21" s="5" t="s">
        <v>180</v>
      </c>
      <c r="U21" s="29" t="n">
        <v>2</v>
      </c>
      <c r="V21" s="30" t="n">
        <v>120</v>
      </c>
      <c r="W21" s="30" t="n">
        <v>0</v>
      </c>
      <c r="X21" s="30" t="n">
        <v>480</v>
      </c>
      <c r="Y21" s="30" t="n">
        <v>120</v>
      </c>
      <c r="Z21" s="30" t="n">
        <v>0</v>
      </c>
      <c r="AA21" s="29" t="n">
        <v>1</v>
      </c>
      <c r="AB21" s="36" t="n">
        <f aca="false">IFERROR(X21/(L21-Z21),"")</f>
        <v>1</v>
      </c>
      <c r="AC21" s="37" t="n">
        <f aca="false">L21*M21</f>
        <v>42768</v>
      </c>
      <c r="AD21" s="37" t="n">
        <f aca="false">W21*M21</f>
        <v>0</v>
      </c>
      <c r="AE21" s="37" t="n">
        <f aca="false">X21*M21</f>
        <v>42768</v>
      </c>
      <c r="AF21" s="37" t="n">
        <f aca="false">Y21*M21</f>
        <v>10692</v>
      </c>
      <c r="AG21" s="37" t="n">
        <f aca="false">AF21*MAX(0,R21-Lookups!$B$17)</f>
        <v>0</v>
      </c>
      <c r="AH21" s="37" t="n">
        <f aca="false">IF(ISBLANK(O21),IF(R21&gt;Lookups!$B$18,W21*M21,0),Z21*M21)</f>
        <v>0</v>
      </c>
      <c r="AI21" s="5" t="s">
        <v>288</v>
      </c>
      <c r="AJ21" s="5" t="s">
        <v>198</v>
      </c>
      <c r="AK21" s="5" t="s">
        <v>194</v>
      </c>
      <c r="AL21" s="5" t="s">
        <v>350</v>
      </c>
      <c r="AM21" s="5" t="s">
        <v>323</v>
      </c>
      <c r="AN21" s="32" t="n">
        <v>46216</v>
      </c>
      <c r="AO21" s="33" t="str">
        <f aca="false">IF(AND(R21&gt;Lookups!$B$18,AD21&gt;Lookups!$B$19),"ESCALATE",IF(AD21&gt;Lookups!$B$20,"High value",IF(R21&gt;Lookups!$B$18,"Aged","Monitor")))</f>
        <v>Monitor</v>
      </c>
      <c r="AP21" s="5" t="s">
        <v>130</v>
      </c>
      <c r="AQ21" s="5"/>
      <c r="AR21" s="29" t="n">
        <v>48148</v>
      </c>
      <c r="AS21" s="29" t="n">
        <v>48228</v>
      </c>
      <c r="AT21" s="33" t="str">
        <f aca="false">IF(ISBLANK(O21),"Open","Resolved")</f>
        <v>Resolved</v>
      </c>
      <c r="AU21" s="33" t="n">
        <f aca="false">IF(AND($AT21="Open",$AP21="No",COUNTIFS($A$5:$A21,$A21,$AT$5:$AT21,"Open",$AP$5:$AP21,"No")=1),1,0)</f>
        <v>0</v>
      </c>
      <c r="AV21" s="33" t="n">
        <f aca="false">IF(AND($AT21="Open",$AP21="No",COUNTIFS($H$5:$H21,$H21,$AT$5:$AT21,"Open",$AP$5:$AP21,"No")=1),1,0)</f>
        <v>0</v>
      </c>
    </row>
    <row r="22" customFormat="false" ht="15" hidden="false" customHeight="false" outlineLevel="0" collapsed="false">
      <c r="A22" s="5" t="s">
        <v>351</v>
      </c>
      <c r="B22" s="5" t="s">
        <v>267</v>
      </c>
      <c r="C22" s="32" t="n">
        <v>46224</v>
      </c>
      <c r="D22" s="5" t="s">
        <v>352</v>
      </c>
      <c r="E22" s="5" t="s">
        <v>352</v>
      </c>
      <c r="F22" s="5" t="s">
        <v>67</v>
      </c>
      <c r="G22" s="5" t="s">
        <v>353</v>
      </c>
      <c r="H22" s="5" t="s">
        <v>320</v>
      </c>
      <c r="I22" s="33" t="str">
        <f aca="false">IFERROR(INDEX(Lookups!$B$6:$B$10,MATCH(LEFT(H22,3),Lookups!$A$6:$A$10,0)),"(unmapped)")</f>
        <v>Tishu Poa</v>
      </c>
      <c r="J22" s="5" t="s">
        <v>321</v>
      </c>
      <c r="K22" s="5" t="s">
        <v>273</v>
      </c>
      <c r="L22" s="30" t="n">
        <v>1</v>
      </c>
      <c r="M22" s="34" t="n">
        <v>2935</v>
      </c>
      <c r="N22" s="32" t="n">
        <v>46224</v>
      </c>
      <c r="O22" s="5"/>
      <c r="P22" s="33" t="str">
        <f aca="false">IF(ISBLANK(O22),TEXT(N22,"d mmm yyyy")&amp;" – ongoing",IF(TEXT(N22,"mmmyyyy")=TEXT(O22,"mmmyyyy"),TEXT(N22,"d")&amp;" – "&amp;TEXT(O22,"d mmm yyyy"),IF(TEXT(N22,"yyyy")=TEXT(O22,"yyyy"),TEXT(N22,"d mmm")&amp;" – "&amp;TEXT(O22,"d mmm yyyy"),TEXT(N22,"d mmm yyyy")&amp;" – "&amp;TEXT(O22,"d mmm yyyy"))))</f>
        <v>21 Jul 2026 – ongoing</v>
      </c>
      <c r="Q22" s="35" t="n">
        <f aca="false">IF(ISBLANK(O22),Lookups!$B$16-N22,O22-N22)</f>
        <v>5</v>
      </c>
      <c r="R22" s="35" t="n">
        <f aca="false">IF(ISBLANK(O22),NETWORKDAYS.INTL(N22,Lookups!$B$16,"0000001")-1,NETWORKDAYS.INTL(N22,O22,"0000001")-1)</f>
        <v>4</v>
      </c>
      <c r="S22" s="33" t="str">
        <f aca="false">IF(R22=0,"Same Day",R22&amp;IF(R22=1," Day Delay"," Days Delay")&amp;IF(T22="Yes",""," (min.)"))</f>
        <v>4 Days Delay</v>
      </c>
      <c r="T22" s="5" t="s">
        <v>180</v>
      </c>
      <c r="U22" s="29" t="n">
        <v>1</v>
      </c>
      <c r="V22" s="30" t="n">
        <v>1</v>
      </c>
      <c r="W22" s="30" t="n">
        <v>1</v>
      </c>
      <c r="X22" s="30" t="n">
        <v>0</v>
      </c>
      <c r="Y22" s="30" t="n">
        <v>0</v>
      </c>
      <c r="Z22" s="30" t="n">
        <v>0</v>
      </c>
      <c r="AA22" s="29" t="n">
        <v>0</v>
      </c>
      <c r="AB22" s="36" t="n">
        <f aca="false">IFERROR(X22/(L22-Z22),"")</f>
        <v>0</v>
      </c>
      <c r="AC22" s="37" t="n">
        <f aca="false">L22*M22</f>
        <v>2935</v>
      </c>
      <c r="AD22" s="37" t="n">
        <f aca="false">W22*M22</f>
        <v>2935</v>
      </c>
      <c r="AE22" s="37" t="n">
        <f aca="false">X22*M22</f>
        <v>0</v>
      </c>
      <c r="AF22" s="37" t="n">
        <f aca="false">Y22*M22</f>
        <v>0</v>
      </c>
      <c r="AG22" s="37" t="n">
        <f aca="false">AF22*MAX(0,R22-Lookups!$B$17)</f>
        <v>0</v>
      </c>
      <c r="AH22" s="37" t="n">
        <f aca="false">IF(ISBLANK(O22),IF(R22&gt;Lookups!$B$18,W22*M22,0),Z22*M22)</f>
        <v>0</v>
      </c>
      <c r="AI22" s="5"/>
      <c r="AJ22" s="5" t="s">
        <v>215</v>
      </c>
      <c r="AK22" s="5" t="s">
        <v>206</v>
      </c>
      <c r="AL22" s="5" t="s">
        <v>354</v>
      </c>
      <c r="AM22" s="5" t="s">
        <v>355</v>
      </c>
      <c r="AN22" s="32" t="n">
        <v>46227</v>
      </c>
      <c r="AO22" s="33" t="str">
        <f aca="false">IF(AND(R22&gt;Lookups!$B$18,AD22&gt;Lookups!$B$19),"ESCALATE",IF(AD22&gt;Lookups!$B$20,"High value",IF(R22&gt;Lookups!$B$18,"Aged","Monitor")))</f>
        <v>Monitor</v>
      </c>
      <c r="AP22" s="5" t="s">
        <v>130</v>
      </c>
      <c r="AQ22" s="5"/>
      <c r="AR22" s="29" t="n">
        <v>48151</v>
      </c>
      <c r="AS22" s="5"/>
      <c r="AT22" s="33" t="str">
        <f aca="false">IF(ISBLANK(O22),"Open","Resolved")</f>
        <v>Open</v>
      </c>
      <c r="AU22" s="33" t="n">
        <f aca="false">IF(AND($AT22="Open",$AP22="No",COUNTIFS($A$5:$A22,$A22,$AT$5:$AT22,"Open",$AP$5:$AP22,"No")=1),1,0)</f>
        <v>1</v>
      </c>
      <c r="AV22" s="33" t="n">
        <f aca="false">IF(AND($AT22="Open",$AP22="No",COUNTIFS($H$5:$H22,$H22,$AT$5:$AT22,"Open",$AP$5:$AP22,"No")=1),1,0)</f>
        <v>1</v>
      </c>
    </row>
    <row r="23" customFormat="false" ht="15" hidden="false" customHeight="false" outlineLevel="0" collapsed="false">
      <c r="A23" s="5" t="s">
        <v>356</v>
      </c>
      <c r="B23" s="5" t="s">
        <v>267</v>
      </c>
      <c r="C23" s="32" t="n">
        <v>46211</v>
      </c>
      <c r="D23" s="5" t="s">
        <v>357</v>
      </c>
      <c r="E23" s="5" t="s">
        <v>357</v>
      </c>
      <c r="F23" s="5" t="s">
        <v>67</v>
      </c>
      <c r="G23" s="5" t="s">
        <v>270</v>
      </c>
      <c r="H23" s="5" t="s">
        <v>358</v>
      </c>
      <c r="I23" s="33" t="str">
        <f aca="false">IFERROR(INDEX(Lookups!$B$6:$B$10,MATCH(LEFT(H23,3),Lookups!$A$6:$A$10,0)),"(unmapped)")</f>
        <v>Cosy</v>
      </c>
      <c r="J23" s="5" t="s">
        <v>359</v>
      </c>
      <c r="K23" s="5" t="s">
        <v>273</v>
      </c>
      <c r="L23" s="30" t="n">
        <v>260</v>
      </c>
      <c r="M23" s="34" t="n">
        <v>75</v>
      </c>
      <c r="N23" s="32" t="n">
        <v>46211</v>
      </c>
      <c r="O23" s="5"/>
      <c r="P23" s="33" t="str">
        <f aca="false">IF(ISBLANK(O23),TEXT(N23,"d mmm yyyy")&amp;" – ongoing",IF(TEXT(N23,"mmmyyyy")=TEXT(O23,"mmmyyyy"),TEXT(N23,"d")&amp;" – "&amp;TEXT(O23,"d mmm yyyy"),IF(TEXT(N23,"yyyy")=TEXT(O23,"yyyy"),TEXT(N23,"d mmm")&amp;" – "&amp;TEXT(O23,"d mmm yyyy"),TEXT(N23,"d mmm yyyy")&amp;" – "&amp;TEXT(O23,"d mmm yyyy"))))</f>
        <v>8 Jul 2026 – ongoing</v>
      </c>
      <c r="Q23" s="35" t="n">
        <f aca="false">IF(ISBLANK(O23),Lookups!$B$16-N23,O23-N23)</f>
        <v>18</v>
      </c>
      <c r="R23" s="35" t="n">
        <f aca="false">IF(ISBLANK(O23),NETWORKDAYS.INTL(N23,Lookups!$B$16,"0000001")-1,NETWORKDAYS.INTL(N23,O23,"0000001")-1)</f>
        <v>15</v>
      </c>
      <c r="S23" s="33" t="str">
        <f aca="false">IF(R23=0,"Same Day",R23&amp;IF(R23=1," Day Delay"," Days Delay")&amp;IF(T23="Yes",""," (min.)"))</f>
        <v>15 Days Delay (min.)</v>
      </c>
      <c r="T23" s="5" t="s">
        <v>329</v>
      </c>
      <c r="U23" s="29" t="n">
        <v>1</v>
      </c>
      <c r="V23" s="30" t="n">
        <v>260</v>
      </c>
      <c r="W23" s="30" t="n">
        <v>260</v>
      </c>
      <c r="X23" s="30" t="n">
        <v>0</v>
      </c>
      <c r="Y23" s="30" t="n">
        <v>0</v>
      </c>
      <c r="Z23" s="30" t="n">
        <v>0</v>
      </c>
      <c r="AA23" s="29" t="n">
        <v>0</v>
      </c>
      <c r="AB23" s="36" t="n">
        <f aca="false">IFERROR(X23/(L23-Z23),"")</f>
        <v>0</v>
      </c>
      <c r="AC23" s="37" t="n">
        <f aca="false">L23*M23</f>
        <v>19500</v>
      </c>
      <c r="AD23" s="37" t="n">
        <f aca="false">W23*M23</f>
        <v>19500</v>
      </c>
      <c r="AE23" s="37" t="n">
        <f aca="false">X23*M23</f>
        <v>0</v>
      </c>
      <c r="AF23" s="37" t="n">
        <f aca="false">Y23*M23</f>
        <v>0</v>
      </c>
      <c r="AG23" s="37" t="n">
        <f aca="false">AF23*MAX(0,R23-Lookups!$B$17)</f>
        <v>0</v>
      </c>
      <c r="AH23" s="37" t="n">
        <f aca="false">IF(ISBLANK(O23),IF(R23&gt;Lookups!$B$18,W23*M23,0),Z23*M23)</f>
        <v>19500</v>
      </c>
      <c r="AI23" s="5"/>
      <c r="AJ23" s="5" t="s">
        <v>184</v>
      </c>
      <c r="AK23" s="5" t="s">
        <v>178</v>
      </c>
      <c r="AL23" s="5" t="s">
        <v>360</v>
      </c>
      <c r="AM23" s="5" t="s">
        <v>275</v>
      </c>
      <c r="AN23" s="32" t="n">
        <v>46213</v>
      </c>
      <c r="AO23" s="33" t="str">
        <f aca="false">IF(AND(R23&gt;Lookups!$B$18,AD23&gt;Lookups!$B$19),"ESCALATE",IF(AD23&gt;Lookups!$B$20,"High value",IF(R23&gt;Lookups!$B$18,"Aged","Monitor")))</f>
        <v>Aged</v>
      </c>
      <c r="AP23" s="5" t="s">
        <v>130</v>
      </c>
      <c r="AQ23" s="5"/>
      <c r="AR23" s="29" t="n">
        <v>48154</v>
      </c>
      <c r="AS23" s="5"/>
      <c r="AT23" s="33" t="str">
        <f aca="false">IF(ISBLANK(O23),"Open","Resolved")</f>
        <v>Open</v>
      </c>
      <c r="AU23" s="33" t="n">
        <f aca="false">IF(AND($AT23="Open",$AP23="No",COUNTIFS($A$5:$A23,$A23,$AT$5:$AT23,"Open",$AP$5:$AP23,"No")=1),1,0)</f>
        <v>1</v>
      </c>
      <c r="AV23" s="33" t="n">
        <f aca="false">IF(AND($AT23="Open",$AP23="No",COUNTIFS($H$5:$H23,$H23,$AT$5:$AT23,"Open",$AP$5:$AP23,"No")=1),1,0)</f>
        <v>1</v>
      </c>
    </row>
    <row r="24" customFormat="false" ht="15" hidden="false" customHeight="false" outlineLevel="0" collapsed="false">
      <c r="A24" s="5" t="s">
        <v>361</v>
      </c>
      <c r="B24" s="5" t="s">
        <v>267</v>
      </c>
      <c r="C24" s="32" t="n">
        <v>46211</v>
      </c>
      <c r="D24" s="5" t="s">
        <v>362</v>
      </c>
      <c r="E24" s="5" t="s">
        <v>362</v>
      </c>
      <c r="F24" s="5" t="s">
        <v>65</v>
      </c>
      <c r="G24" s="5" t="s">
        <v>270</v>
      </c>
      <c r="H24" s="5" t="s">
        <v>363</v>
      </c>
      <c r="I24" s="33" t="str">
        <f aca="false">IFERROR(INDEX(Lookups!$B$6:$B$10,MATCH(LEFT(H24,3),Lookups!$A$6:$A$10,0)),"(unmapped)")</f>
        <v>Fay</v>
      </c>
      <c r="J24" s="5" t="s">
        <v>364</v>
      </c>
      <c r="K24" s="5" t="s">
        <v>273</v>
      </c>
      <c r="L24" s="30" t="n">
        <v>12</v>
      </c>
      <c r="M24" s="34" t="n">
        <v>53.75</v>
      </c>
      <c r="N24" s="32" t="n">
        <v>46211</v>
      </c>
      <c r="O24" s="32" t="n">
        <v>46216</v>
      </c>
      <c r="P24" s="33" t="str">
        <f aca="false">IF(ISBLANK(O24),TEXT(N24,"d mmm yyyy")&amp;" – ongoing",IF(TEXT(N24,"mmmyyyy")=TEXT(O24,"mmmyyyy"),TEXT(N24,"d")&amp;" – "&amp;TEXT(O24,"d mmm yyyy"),IF(TEXT(N24,"yyyy")=TEXT(O24,"yyyy"),TEXT(N24,"d mmm")&amp;" – "&amp;TEXT(O24,"d mmm yyyy"),TEXT(N24,"d mmm yyyy")&amp;" – "&amp;TEXT(O24,"d mmm yyyy"))))</f>
        <v>8 – 13 Jul 2026</v>
      </c>
      <c r="Q24" s="35" t="n">
        <f aca="false">IF(ISBLANK(O24),Lookups!$B$16-N24,O24-N24)</f>
        <v>5</v>
      </c>
      <c r="R24" s="35" t="n">
        <f aca="false">IF(ISBLANK(O24),NETWORKDAYS.INTL(N24,Lookups!$B$16,"0000001")-1,NETWORKDAYS.INTL(N24,O24,"0000001")-1)</f>
        <v>4</v>
      </c>
      <c r="S24" s="33" t="str">
        <f aca="false">IF(R24=0,"Same Day",R24&amp;IF(R24=1," Day Delay"," Days Delay")&amp;IF(T24="Yes",""," (min.)"))</f>
        <v>4 Days Delay</v>
      </c>
      <c r="T24" s="5" t="s">
        <v>180</v>
      </c>
      <c r="U24" s="29" t="n">
        <v>1</v>
      </c>
      <c r="V24" s="30" t="n">
        <v>6</v>
      </c>
      <c r="W24" s="30" t="n">
        <v>0</v>
      </c>
      <c r="X24" s="30" t="n">
        <v>12</v>
      </c>
      <c r="Y24" s="30" t="n">
        <v>6</v>
      </c>
      <c r="Z24" s="30" t="n">
        <v>0</v>
      </c>
      <c r="AA24" s="29" t="n">
        <v>1</v>
      </c>
      <c r="AB24" s="36" t="n">
        <f aca="false">IFERROR(X24/(L24-Z24),"")</f>
        <v>1</v>
      </c>
      <c r="AC24" s="37" t="n">
        <f aca="false">L24*M24</f>
        <v>645</v>
      </c>
      <c r="AD24" s="37" t="n">
        <f aca="false">W24*M24</f>
        <v>0</v>
      </c>
      <c r="AE24" s="37" t="n">
        <f aca="false">X24*M24</f>
        <v>645</v>
      </c>
      <c r="AF24" s="37" t="n">
        <f aca="false">Y24*M24</f>
        <v>322.5</v>
      </c>
      <c r="AG24" s="37" t="n">
        <f aca="false">AF24*MAX(0,R24-Lookups!$B$17)</f>
        <v>645</v>
      </c>
      <c r="AH24" s="37" t="n">
        <f aca="false">IF(ISBLANK(O24),IF(R24&gt;Lookups!$B$18,W24*M24,0),Z24*M24)</f>
        <v>0</v>
      </c>
      <c r="AI24" s="5" t="s">
        <v>288</v>
      </c>
      <c r="AJ24" s="5" t="s">
        <v>197</v>
      </c>
      <c r="AK24" s="5" t="s">
        <v>194</v>
      </c>
      <c r="AL24" s="5" t="s">
        <v>365</v>
      </c>
      <c r="AM24" s="5" t="s">
        <v>323</v>
      </c>
      <c r="AN24" s="32" t="n">
        <v>46212</v>
      </c>
      <c r="AO24" s="33" t="str">
        <f aca="false">IF(AND(R24&gt;Lookups!$B$18,AD24&gt;Lookups!$B$19),"ESCALATE",IF(AD24&gt;Lookups!$B$20,"High value",IF(R24&gt;Lookups!$B$18,"Aged","Monitor")))</f>
        <v>Monitor</v>
      </c>
      <c r="AP24" s="5" t="s">
        <v>130</v>
      </c>
      <c r="AQ24" s="5"/>
      <c r="AR24" s="29" t="n">
        <v>48157</v>
      </c>
      <c r="AS24" s="29" t="n">
        <v>48237</v>
      </c>
      <c r="AT24" s="33" t="str">
        <f aca="false">IF(ISBLANK(O24),"Open","Resolved")</f>
        <v>Resolved</v>
      </c>
      <c r="AU24" s="33" t="n">
        <f aca="false">IF(AND($AT24="Open",$AP24="No",COUNTIFS($A$5:$A24,$A24,$AT$5:$AT24,"Open",$AP$5:$AP24,"No")=1),1,0)</f>
        <v>0</v>
      </c>
      <c r="AV24" s="33" t="n">
        <f aca="false">IF(AND($AT24="Open",$AP24="No",COUNTIFS($H$5:$H24,$H24,$AT$5:$AT24,"Open",$AP$5:$AP24,"No")=1),1,0)</f>
        <v>0</v>
      </c>
    </row>
    <row r="25" customFormat="false" ht="15" hidden="false" customHeight="false" outlineLevel="0" collapsed="false">
      <c r="A25" s="5" t="s">
        <v>366</v>
      </c>
      <c r="B25" s="5" t="s">
        <v>267</v>
      </c>
      <c r="C25" s="32" t="n">
        <v>46226</v>
      </c>
      <c r="D25" s="5" t="s">
        <v>367</v>
      </c>
      <c r="E25" s="5" t="s">
        <v>367</v>
      </c>
      <c r="F25" s="5" t="s">
        <v>66</v>
      </c>
      <c r="G25" s="5" t="s">
        <v>270</v>
      </c>
      <c r="H25" s="5" t="s">
        <v>320</v>
      </c>
      <c r="I25" s="33" t="str">
        <f aca="false">IFERROR(INDEX(Lookups!$B$6:$B$10,MATCH(LEFT(H25,3),Lookups!$A$6:$A$10,0)),"(unmapped)")</f>
        <v>Tishu Poa</v>
      </c>
      <c r="J25" s="5" t="s">
        <v>321</v>
      </c>
      <c r="K25" s="5" t="s">
        <v>273</v>
      </c>
      <c r="L25" s="30" t="n">
        <v>12</v>
      </c>
      <c r="M25" s="34" t="n">
        <v>283.12</v>
      </c>
      <c r="N25" s="32" t="n">
        <v>46226</v>
      </c>
      <c r="O25" s="5"/>
      <c r="P25" s="33" t="str">
        <f aca="false">IF(ISBLANK(O25),TEXT(N25,"d mmm yyyy")&amp;" – ongoing",IF(TEXT(N25,"mmmyyyy")=TEXT(O25,"mmmyyyy"),TEXT(N25,"d")&amp;" – "&amp;TEXT(O25,"d mmm yyyy"),IF(TEXT(N25,"yyyy")=TEXT(O25,"yyyy"),TEXT(N25,"d mmm")&amp;" – "&amp;TEXT(O25,"d mmm yyyy"),TEXT(N25,"d mmm yyyy")&amp;" – "&amp;TEXT(O25,"d mmm yyyy"))))</f>
        <v>23 Jul 2026 – ongoing</v>
      </c>
      <c r="Q25" s="35" t="n">
        <f aca="false">IF(ISBLANK(O25),Lookups!$B$16-N25,O25-N25)</f>
        <v>3</v>
      </c>
      <c r="R25" s="35" t="n">
        <f aca="false">IF(ISBLANK(O25),NETWORKDAYS.INTL(N25,Lookups!$B$16,"0000001")-1,NETWORKDAYS.INTL(N25,O25,"0000001")-1)</f>
        <v>2</v>
      </c>
      <c r="S25" s="33" t="str">
        <f aca="false">IF(R25=0,"Same Day",R25&amp;IF(R25=1," Day Delay"," Days Delay")&amp;IF(T25="Yes",""," (min.)"))</f>
        <v>2 Days Delay</v>
      </c>
      <c r="T25" s="5" t="s">
        <v>180</v>
      </c>
      <c r="U25" s="29" t="n">
        <v>1</v>
      </c>
      <c r="V25" s="30" t="n">
        <v>12</v>
      </c>
      <c r="W25" s="30" t="n">
        <v>12</v>
      </c>
      <c r="X25" s="30" t="n">
        <v>0</v>
      </c>
      <c r="Y25" s="30" t="n">
        <v>0</v>
      </c>
      <c r="Z25" s="30" t="n">
        <v>0</v>
      </c>
      <c r="AA25" s="29" t="n">
        <v>0</v>
      </c>
      <c r="AB25" s="36" t="n">
        <f aca="false">IFERROR(X25/(L25-Z25),"")</f>
        <v>0</v>
      </c>
      <c r="AC25" s="37" t="n">
        <f aca="false">L25*M25</f>
        <v>3397.44</v>
      </c>
      <c r="AD25" s="37" t="n">
        <f aca="false">W25*M25</f>
        <v>3397.44</v>
      </c>
      <c r="AE25" s="37" t="n">
        <f aca="false">X25*M25</f>
        <v>0</v>
      </c>
      <c r="AF25" s="37" t="n">
        <f aca="false">Y25*M25</f>
        <v>0</v>
      </c>
      <c r="AG25" s="37" t="n">
        <f aca="false">AF25*MAX(0,R25-Lookups!$B$17)</f>
        <v>0</v>
      </c>
      <c r="AH25" s="37" t="n">
        <f aca="false">IF(ISBLANK(O25),IF(R25&gt;Lookups!$B$18,W25*M25,0),Z25*M25)</f>
        <v>0</v>
      </c>
      <c r="AI25" s="5"/>
      <c r="AJ25" s="5" t="s">
        <v>202</v>
      </c>
      <c r="AK25" s="5" t="s">
        <v>199</v>
      </c>
      <c r="AL25" s="5" t="s">
        <v>368</v>
      </c>
      <c r="AM25" s="5" t="s">
        <v>355</v>
      </c>
      <c r="AN25" s="32" t="n">
        <v>46227</v>
      </c>
      <c r="AO25" s="33" t="str">
        <f aca="false">IF(AND(R25&gt;Lookups!$B$18,AD25&gt;Lookups!$B$19),"ESCALATE",IF(AD25&gt;Lookups!$B$20,"High value",IF(R25&gt;Lookups!$B$18,"Aged","Monitor")))</f>
        <v>Monitor</v>
      </c>
      <c r="AP25" s="5" t="s">
        <v>130</v>
      </c>
      <c r="AQ25" s="5"/>
      <c r="AR25" s="29" t="n">
        <v>48160</v>
      </c>
      <c r="AS25" s="5"/>
      <c r="AT25" s="33" t="str">
        <f aca="false">IF(ISBLANK(O25),"Open","Resolved")</f>
        <v>Open</v>
      </c>
      <c r="AU25" s="33" t="n">
        <f aca="false">IF(AND($AT25="Open",$AP25="No",COUNTIFS($A$5:$A25,$A25,$AT$5:$AT25,"Open",$AP$5:$AP25,"No")=1),1,0)</f>
        <v>1</v>
      </c>
      <c r="AV25" s="33" t="n">
        <f aca="false">IF(AND($AT25="Open",$AP25="No",COUNTIFS($H$5:$H25,$H25,$AT$5:$AT25,"Open",$AP$5:$AP25,"No")=1),1,0)</f>
        <v>0</v>
      </c>
    </row>
    <row r="26" customFormat="false" ht="15" hidden="false" customHeight="false" outlineLevel="0" collapsed="false">
      <c r="A26" s="16" t="s">
        <v>369</v>
      </c>
      <c r="B26" s="38"/>
      <c r="C26" s="38"/>
      <c r="D26" s="38"/>
      <c r="E26" s="38"/>
      <c r="F26" s="38"/>
      <c r="G26" s="38"/>
      <c r="H26" s="38"/>
      <c r="I26" s="38"/>
      <c r="J26" s="38"/>
      <c r="K26" s="38"/>
      <c r="L26" s="18" t="n">
        <f aca="false">SUM(L5:L25)</f>
        <v>9226</v>
      </c>
      <c r="M26" s="38"/>
      <c r="N26" s="38"/>
      <c r="O26" s="38"/>
      <c r="P26" s="38"/>
      <c r="Q26" s="38"/>
      <c r="R26" s="38"/>
      <c r="S26" s="38"/>
      <c r="T26" s="38"/>
      <c r="U26" s="38"/>
      <c r="V26" s="18" t="n">
        <f aca="false">SUM(V5:V25)</f>
        <v>5109</v>
      </c>
      <c r="W26" s="18" t="n">
        <f aca="false">SUM(W5:W25)</f>
        <v>3075</v>
      </c>
      <c r="X26" s="18" t="n">
        <f aca="false">SUM(X5:X25)</f>
        <v>6076</v>
      </c>
      <c r="Y26" s="18" t="n">
        <f aca="false">SUM(Y5:Y25)</f>
        <v>1562</v>
      </c>
      <c r="Z26" s="18" t="n">
        <f aca="false">SUM(Z5:Z25)</f>
        <v>75</v>
      </c>
      <c r="AA26" s="38"/>
      <c r="AB26" s="38"/>
      <c r="AC26" s="18" t="n">
        <f aca="false">SUM(AC5:AC25)</f>
        <v>3643917.26</v>
      </c>
      <c r="AD26" s="18" t="n">
        <f aca="false">SUM(AD5:AD25)</f>
        <v>2322855.16</v>
      </c>
      <c r="AE26" s="18" t="n">
        <f aca="false">SUM(AE5:AE25)</f>
        <v>1315564.6</v>
      </c>
      <c r="AF26" s="18" t="n">
        <f aca="false">SUM(AF5:AF25)</f>
        <v>320811.34</v>
      </c>
      <c r="AG26" s="18" t="n">
        <f aca="false">SUM(AG5:AG25)</f>
        <v>524947.6</v>
      </c>
      <c r="AH26" s="18" t="n">
        <f aca="false">SUM(AH5:AH25)</f>
        <v>256652.16</v>
      </c>
      <c r="AI26" s="38"/>
      <c r="AJ26" s="38"/>
      <c r="AK26" s="38"/>
      <c r="AL26" s="38"/>
      <c r="AM26" s="38"/>
      <c r="AN26" s="38"/>
      <c r="AO26" s="38"/>
      <c r="AP26" s="38"/>
      <c r="AQ26" s="38"/>
      <c r="AR26" s="38"/>
      <c r="AS26" s="38"/>
      <c r="AT26" s="38"/>
      <c r="AU26" s="18" t="n">
        <f aca="false">SUM(AU5:AU25)</f>
        <v>14</v>
      </c>
      <c r="AV26" s="18" t="n">
        <f aca="false">SUM(AV5:AV25)</f>
        <v>8</v>
      </c>
    </row>
  </sheetData>
  <autoFilter ref="A4:AV25"/>
  <conditionalFormatting sqref="R5:R25">
    <cfRule type="cellIs" priority="2" operator="greaterThan" aboveAverage="0" equalAverage="0" bottom="0" percent="0" rank="0" text="" dxfId="6">
      <formula>Lookups!$B$18</formula>
    </cfRule>
  </conditionalFormatting>
  <conditionalFormatting sqref="T5:T25">
    <cfRule type="cellIs" priority="3" operator="equal" aboveAverage="0" equalAverage="0" bottom="0" percent="0" rank="0" text="" dxfId="7">
      <formula>"No (estimated)"</formula>
    </cfRule>
  </conditionalFormatting>
  <conditionalFormatting sqref="AO5:AO25">
    <cfRule type="cellIs" priority="4" operator="equal" aboveAverage="0" equalAverage="0" bottom="0" percent="0" rank="0" text="" dxfId="6">
      <formula>"ESCALATE"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2"/>
    <col collapsed="false" customWidth="true" hidden="false" outlineLevel="0" max="3" min="3" style="0" width="13"/>
    <col collapsed="false" customWidth="true" hidden="false" outlineLevel="0" max="4" min="4" style="0" width="19"/>
    <col collapsed="false" customWidth="true" hidden="false" outlineLevel="0" max="5" min="5" style="0" width="14"/>
    <col collapsed="false" customWidth="true" hidden="false" outlineLevel="0" max="6" min="6" style="0" width="56"/>
    <col collapsed="false" customWidth="true" hidden="false" outlineLevel="0" max="8" min="7" style="0" width="13"/>
    <col collapsed="false" customWidth="true" hidden="false" outlineLevel="0" max="9" min="9" style="0" width="11"/>
    <col collapsed="false" customWidth="true" hidden="false" outlineLevel="0" max="10" min="10" style="0" width="17"/>
    <col collapsed="false" customWidth="true" hidden="false" outlineLevel="0" max="11" min="11" style="0" width="20"/>
    <col collapsed="false" customWidth="true" hidden="false" outlineLevel="0" max="12" min="12" style="0" width="26"/>
    <col collapsed="false" customWidth="true" hidden="false" outlineLevel="0" max="14" min="13" style="0" width="12"/>
  </cols>
  <sheetData>
    <row r="1" customFormat="false" ht="17.35" hidden="false" customHeight="false" outlineLevel="0" collapsed="false">
      <c r="A1" s="1" t="s">
        <v>370</v>
      </c>
    </row>
    <row r="2" customFormat="false" ht="15" hidden="false" customHeight="false" outlineLevel="0" collapsed="false">
      <c r="A2" s="2" t="s">
        <v>371</v>
      </c>
    </row>
    <row r="4" customFormat="false" ht="31.5" hidden="false" customHeight="true" outlineLevel="0" collapsed="false">
      <c r="A4" s="4" t="s">
        <v>372</v>
      </c>
      <c r="B4" s="4" t="s">
        <v>222</v>
      </c>
      <c r="C4" s="4" t="s">
        <v>227</v>
      </c>
      <c r="D4" s="4" t="s">
        <v>373</v>
      </c>
      <c r="E4" s="4" t="s">
        <v>374</v>
      </c>
      <c r="F4" s="4" t="s">
        <v>375</v>
      </c>
      <c r="G4" s="4" t="s">
        <v>376</v>
      </c>
      <c r="H4" s="4" t="s">
        <v>377</v>
      </c>
      <c r="I4" s="4" t="s">
        <v>378</v>
      </c>
      <c r="J4" s="4" t="s">
        <v>379</v>
      </c>
      <c r="K4" s="4" t="s">
        <v>380</v>
      </c>
      <c r="L4" s="4" t="s">
        <v>381</v>
      </c>
      <c r="M4" s="4" t="s">
        <v>382</v>
      </c>
      <c r="N4" s="4" t="s">
        <v>383</v>
      </c>
    </row>
    <row r="5" customFormat="false" ht="15" hidden="false" customHeight="false" outlineLevel="0" collapsed="false">
      <c r="A5" s="33" t="n">
        <v>8821</v>
      </c>
      <c r="B5" s="33" t="s">
        <v>266</v>
      </c>
      <c r="C5" s="33" t="s">
        <v>271</v>
      </c>
      <c r="D5" s="39" t="n">
        <v>46213.3847222222</v>
      </c>
      <c r="E5" s="33" t="s">
        <v>384</v>
      </c>
      <c r="F5" s="33" t="s">
        <v>385</v>
      </c>
      <c r="G5" s="37"/>
      <c r="H5" s="37" t="n">
        <v>680</v>
      </c>
      <c r="I5" s="37" t="n">
        <v>680</v>
      </c>
      <c r="J5" s="37" t="n">
        <v>96934</v>
      </c>
      <c r="K5" s="33" t="s">
        <v>386</v>
      </c>
      <c r="L5" s="33"/>
      <c r="M5" s="33" t="s">
        <v>387</v>
      </c>
      <c r="N5" s="33" t="n">
        <v>48100</v>
      </c>
    </row>
    <row r="6" customFormat="false" ht="15" hidden="false" customHeight="false" outlineLevel="0" collapsed="false">
      <c r="A6" s="5" t="n">
        <v>8821</v>
      </c>
      <c r="B6" s="5" t="s">
        <v>266</v>
      </c>
      <c r="C6" s="5" t="s">
        <v>271</v>
      </c>
      <c r="D6" s="40" t="n">
        <v>46214.4597222222</v>
      </c>
      <c r="E6" s="5" t="s">
        <v>388</v>
      </c>
      <c r="F6" s="5" t="s">
        <v>389</v>
      </c>
      <c r="G6" s="30" t="n">
        <v>680</v>
      </c>
      <c r="H6" s="30" t="n">
        <v>680</v>
      </c>
      <c r="I6" s="30" t="n">
        <v>0</v>
      </c>
      <c r="J6" s="30" t="n">
        <v>0</v>
      </c>
      <c r="K6" s="5" t="s">
        <v>386</v>
      </c>
      <c r="L6" s="5" t="s">
        <v>181</v>
      </c>
      <c r="M6" s="5" t="s">
        <v>275</v>
      </c>
      <c r="N6" s="5" t="n">
        <v>48112</v>
      </c>
    </row>
    <row r="7" customFormat="false" ht="15" hidden="false" customHeight="false" outlineLevel="0" collapsed="false">
      <c r="A7" s="5" t="n">
        <v>8821</v>
      </c>
      <c r="B7" s="5" t="s">
        <v>266</v>
      </c>
      <c r="C7" s="5" t="s">
        <v>271</v>
      </c>
      <c r="D7" s="40" t="n">
        <v>46218.6041666667</v>
      </c>
      <c r="E7" s="5" t="s">
        <v>390</v>
      </c>
      <c r="F7" s="5" t="s">
        <v>391</v>
      </c>
      <c r="G7" s="30" t="n">
        <v>680</v>
      </c>
      <c r="H7" s="30" t="n">
        <v>500</v>
      </c>
      <c r="I7" s="30" t="n">
        <v>-180</v>
      </c>
      <c r="J7" s="30" t="n">
        <v>-25659</v>
      </c>
      <c r="K7" s="5" t="s">
        <v>386</v>
      </c>
      <c r="L7" s="5" t="s">
        <v>181</v>
      </c>
      <c r="M7" s="5" t="s">
        <v>387</v>
      </c>
      <c r="N7" s="5" t="n">
        <v>48131</v>
      </c>
    </row>
    <row r="8" customFormat="false" ht="15" hidden="false" customHeight="false" outlineLevel="0" collapsed="false">
      <c r="A8" s="5" t="n">
        <v>8821</v>
      </c>
      <c r="B8" s="5" t="s">
        <v>266</v>
      </c>
      <c r="C8" s="5" t="s">
        <v>271</v>
      </c>
      <c r="D8" s="40" t="n">
        <v>46221.3368055556</v>
      </c>
      <c r="E8" s="5" t="s">
        <v>390</v>
      </c>
      <c r="F8" s="5" t="s">
        <v>392</v>
      </c>
      <c r="G8" s="30" t="n">
        <v>500</v>
      </c>
      <c r="H8" s="30" t="n">
        <v>420</v>
      </c>
      <c r="I8" s="30" t="n">
        <v>-80</v>
      </c>
      <c r="J8" s="30" t="n">
        <v>-11404</v>
      </c>
      <c r="K8" s="5" t="s">
        <v>386</v>
      </c>
      <c r="L8" s="5" t="s">
        <v>181</v>
      </c>
      <c r="M8" s="5" t="s">
        <v>387</v>
      </c>
      <c r="N8" s="5" t="n">
        <v>48148</v>
      </c>
    </row>
    <row r="9" customFormat="false" ht="15" hidden="false" customHeight="false" outlineLevel="0" collapsed="false">
      <c r="A9" s="33" t="n">
        <v>8834</v>
      </c>
      <c r="B9" s="33" t="s">
        <v>284</v>
      </c>
      <c r="C9" s="33" t="s">
        <v>286</v>
      </c>
      <c r="D9" s="39" t="n">
        <v>46213.3847222222</v>
      </c>
      <c r="E9" s="33" t="s">
        <v>384</v>
      </c>
      <c r="F9" s="33" t="s">
        <v>393</v>
      </c>
      <c r="G9" s="37"/>
      <c r="H9" s="37" t="n">
        <v>514</v>
      </c>
      <c r="I9" s="37" t="n">
        <v>514</v>
      </c>
      <c r="J9" s="37" t="n">
        <v>33179</v>
      </c>
      <c r="K9" s="33" t="s">
        <v>386</v>
      </c>
      <c r="L9" s="33"/>
      <c r="M9" s="33" t="s">
        <v>387</v>
      </c>
      <c r="N9" s="33" t="n">
        <v>48100</v>
      </c>
    </row>
    <row r="10" customFormat="false" ht="15" hidden="false" customHeight="false" outlineLevel="0" collapsed="false">
      <c r="A10" s="5" t="n">
        <v>8834</v>
      </c>
      <c r="B10" s="5" t="s">
        <v>284</v>
      </c>
      <c r="C10" s="5" t="s">
        <v>286</v>
      </c>
      <c r="D10" s="40" t="n">
        <v>46215.4305555556</v>
      </c>
      <c r="E10" s="5" t="s">
        <v>388</v>
      </c>
      <c r="F10" s="5" t="s">
        <v>389</v>
      </c>
      <c r="G10" s="30" t="n">
        <v>514</v>
      </c>
      <c r="H10" s="30" t="n">
        <v>514</v>
      </c>
      <c r="I10" s="30" t="n">
        <v>0</v>
      </c>
      <c r="J10" s="30" t="n">
        <v>0</v>
      </c>
      <c r="K10" s="5" t="s">
        <v>386</v>
      </c>
      <c r="L10" s="5" t="s">
        <v>181</v>
      </c>
      <c r="M10" s="5" t="s">
        <v>275</v>
      </c>
      <c r="N10" s="5" t="n">
        <v>48119</v>
      </c>
    </row>
    <row r="11" customFormat="false" ht="15" hidden="false" customHeight="false" outlineLevel="0" collapsed="false">
      <c r="A11" s="5" t="n">
        <v>8834</v>
      </c>
      <c r="B11" s="5" t="s">
        <v>284</v>
      </c>
      <c r="C11" s="5" t="s">
        <v>286</v>
      </c>
      <c r="D11" s="40" t="n">
        <v>46220.6972222222</v>
      </c>
      <c r="E11" s="5" t="s">
        <v>390</v>
      </c>
      <c r="F11" s="5" t="s">
        <v>394</v>
      </c>
      <c r="G11" s="30" t="n">
        <v>514</v>
      </c>
      <c r="H11" s="30" t="n">
        <v>300</v>
      </c>
      <c r="I11" s="30" t="n">
        <v>-214</v>
      </c>
      <c r="J11" s="30" t="n">
        <v>-13813</v>
      </c>
      <c r="K11" s="5" t="s">
        <v>386</v>
      </c>
      <c r="L11" s="5" t="s">
        <v>181</v>
      </c>
      <c r="M11" s="5" t="s">
        <v>387</v>
      </c>
      <c r="N11" s="5" t="n">
        <v>48141</v>
      </c>
    </row>
    <row r="12" customFormat="false" ht="15" hidden="false" customHeight="false" outlineLevel="0" collapsed="false">
      <c r="A12" s="5" t="n">
        <v>8834</v>
      </c>
      <c r="B12" s="5" t="s">
        <v>284</v>
      </c>
      <c r="C12" s="5" t="s">
        <v>286</v>
      </c>
      <c r="D12" s="40" t="n">
        <v>46223.3763888889</v>
      </c>
      <c r="E12" s="5" t="s">
        <v>390</v>
      </c>
      <c r="F12" s="5" t="s">
        <v>395</v>
      </c>
      <c r="G12" s="30" t="n">
        <v>300</v>
      </c>
      <c r="H12" s="30" t="n">
        <v>140</v>
      </c>
      <c r="I12" s="30" t="n">
        <v>-160</v>
      </c>
      <c r="J12" s="30" t="n">
        <v>-10328</v>
      </c>
      <c r="K12" s="5" t="s">
        <v>386</v>
      </c>
      <c r="L12" s="5" t="s">
        <v>181</v>
      </c>
      <c r="M12" s="5" t="s">
        <v>387</v>
      </c>
      <c r="N12" s="5" t="n">
        <v>48155</v>
      </c>
    </row>
    <row r="13" customFormat="false" ht="15" hidden="false" customHeight="false" outlineLevel="0" collapsed="false">
      <c r="A13" s="41" t="n">
        <v>8834</v>
      </c>
      <c r="B13" s="41" t="s">
        <v>284</v>
      </c>
      <c r="C13" s="41" t="s">
        <v>286</v>
      </c>
      <c r="D13" s="42" t="n">
        <v>46225.4840277778</v>
      </c>
      <c r="E13" s="41" t="s">
        <v>396</v>
      </c>
      <c r="F13" s="41" t="s">
        <v>397</v>
      </c>
      <c r="G13" s="43" t="n">
        <v>140</v>
      </c>
      <c r="H13" s="43" t="n">
        <v>0</v>
      </c>
      <c r="I13" s="43" t="n">
        <v>-140</v>
      </c>
      <c r="J13" s="43" t="n">
        <v>-9037</v>
      </c>
      <c r="K13" s="41" t="s">
        <v>398</v>
      </c>
      <c r="L13" s="41" t="s">
        <v>181</v>
      </c>
      <c r="M13" s="41" t="s">
        <v>387</v>
      </c>
      <c r="N13" s="41" t="n">
        <v>48168</v>
      </c>
    </row>
    <row r="14" customFormat="false" ht="15" hidden="false" customHeight="false" outlineLevel="0" collapsed="false">
      <c r="A14" s="33" t="n">
        <v>8902</v>
      </c>
      <c r="B14" s="33" t="s">
        <v>343</v>
      </c>
      <c r="C14" s="33" t="s">
        <v>346</v>
      </c>
      <c r="D14" s="39" t="n">
        <v>46213.3847222222</v>
      </c>
      <c r="E14" s="33" t="s">
        <v>384</v>
      </c>
      <c r="F14" s="33" t="s">
        <v>399</v>
      </c>
      <c r="G14" s="37"/>
      <c r="H14" s="37" t="n">
        <v>182</v>
      </c>
      <c r="I14" s="37" t="n">
        <v>182</v>
      </c>
      <c r="J14" s="37" t="n">
        <v>16216</v>
      </c>
      <c r="K14" s="33" t="s">
        <v>386</v>
      </c>
      <c r="L14" s="33"/>
      <c r="M14" s="33" t="s">
        <v>387</v>
      </c>
      <c r="N14" s="33" t="n">
        <v>48100</v>
      </c>
    </row>
    <row r="15" customFormat="false" ht="15" hidden="false" customHeight="false" outlineLevel="0" collapsed="false">
      <c r="A15" s="41" t="n">
        <v>8902</v>
      </c>
      <c r="B15" s="41" t="s">
        <v>343</v>
      </c>
      <c r="C15" s="41" t="s">
        <v>346</v>
      </c>
      <c r="D15" s="42" t="n">
        <v>46219.5493055556</v>
      </c>
      <c r="E15" s="41" t="s">
        <v>396</v>
      </c>
      <c r="F15" s="41" t="s">
        <v>400</v>
      </c>
      <c r="G15" s="43" t="n">
        <v>182</v>
      </c>
      <c r="H15" s="43" t="n">
        <v>0</v>
      </c>
      <c r="I15" s="43" t="n">
        <v>-182</v>
      </c>
      <c r="J15" s="43" t="n">
        <v>-16216</v>
      </c>
      <c r="K15" s="41" t="s">
        <v>398</v>
      </c>
      <c r="L15" s="41" t="s">
        <v>198</v>
      </c>
      <c r="M15" s="41" t="s">
        <v>387</v>
      </c>
      <c r="N15" s="41" t="n">
        <v>48137</v>
      </c>
    </row>
    <row r="16" customFormat="false" ht="15" hidden="false" customHeight="false" outlineLevel="0" collapsed="false">
      <c r="A16" s="33" t="n">
        <v>8903</v>
      </c>
      <c r="B16" s="33" t="s">
        <v>349</v>
      </c>
      <c r="C16" s="33" t="s">
        <v>346</v>
      </c>
      <c r="D16" s="39" t="n">
        <v>46214.3847222222</v>
      </c>
      <c r="E16" s="33" t="s">
        <v>384</v>
      </c>
      <c r="F16" s="33" t="s">
        <v>401</v>
      </c>
      <c r="G16" s="37"/>
      <c r="H16" s="37" t="n">
        <v>120</v>
      </c>
      <c r="I16" s="37" t="n">
        <v>120</v>
      </c>
      <c r="J16" s="37" t="n">
        <v>10692</v>
      </c>
      <c r="K16" s="33" t="s">
        <v>386</v>
      </c>
      <c r="L16" s="33"/>
      <c r="M16" s="33" t="s">
        <v>387</v>
      </c>
      <c r="N16" s="33" t="n">
        <v>48104</v>
      </c>
    </row>
    <row r="17" customFormat="false" ht="15" hidden="false" customHeight="false" outlineLevel="0" collapsed="false">
      <c r="A17" s="41" t="n">
        <v>8903</v>
      </c>
      <c r="B17" s="41" t="s">
        <v>349</v>
      </c>
      <c r="C17" s="41" t="s">
        <v>346</v>
      </c>
      <c r="D17" s="42" t="n">
        <v>46215.6597222222</v>
      </c>
      <c r="E17" s="41" t="s">
        <v>396</v>
      </c>
      <c r="F17" s="41" t="s">
        <v>402</v>
      </c>
      <c r="G17" s="43" t="n">
        <v>120</v>
      </c>
      <c r="H17" s="43" t="n">
        <v>0</v>
      </c>
      <c r="I17" s="43" t="n">
        <v>-120</v>
      </c>
      <c r="J17" s="43" t="n">
        <v>-10692</v>
      </c>
      <c r="K17" s="41" t="s">
        <v>398</v>
      </c>
      <c r="L17" s="41" t="s">
        <v>198</v>
      </c>
      <c r="M17" s="41" t="s">
        <v>387</v>
      </c>
      <c r="N17" s="41" t="n">
        <v>48121</v>
      </c>
    </row>
    <row r="18" customFormat="false" ht="15" hidden="false" customHeight="false" outlineLevel="0" collapsed="false">
      <c r="A18" s="44" t="n">
        <v>8904</v>
      </c>
      <c r="B18" s="44" t="s">
        <v>349</v>
      </c>
      <c r="C18" s="44" t="s">
        <v>346</v>
      </c>
      <c r="D18" s="45" t="n">
        <v>46216.3541666667</v>
      </c>
      <c r="E18" s="44" t="s">
        <v>403</v>
      </c>
      <c r="F18" s="44" t="s">
        <v>404</v>
      </c>
      <c r="G18" s="46" t="n">
        <v>0</v>
      </c>
      <c r="H18" s="46" t="n">
        <v>120</v>
      </c>
      <c r="I18" s="46" t="n">
        <v>120</v>
      </c>
      <c r="J18" s="46" t="n">
        <v>10692</v>
      </c>
      <c r="K18" s="44" t="s">
        <v>386</v>
      </c>
      <c r="L18" s="44" t="s">
        <v>198</v>
      </c>
      <c r="M18" s="44" t="s">
        <v>387</v>
      </c>
      <c r="N18" s="44" t="n">
        <v>48125</v>
      </c>
    </row>
    <row r="19" customFormat="false" ht="15" hidden="false" customHeight="false" outlineLevel="0" collapsed="false">
      <c r="A19" s="41" t="n">
        <v>8904</v>
      </c>
      <c r="B19" s="41" t="s">
        <v>349</v>
      </c>
      <c r="C19" s="41" t="s">
        <v>346</v>
      </c>
      <c r="D19" s="42" t="n">
        <v>46217.5034722222</v>
      </c>
      <c r="E19" s="41" t="s">
        <v>396</v>
      </c>
      <c r="F19" s="41" t="s">
        <v>405</v>
      </c>
      <c r="G19" s="43" t="n">
        <v>120</v>
      </c>
      <c r="H19" s="43" t="n">
        <v>0</v>
      </c>
      <c r="I19" s="43" t="n">
        <v>-120</v>
      </c>
      <c r="J19" s="43" t="n">
        <v>-10692</v>
      </c>
      <c r="K19" s="41" t="s">
        <v>398</v>
      </c>
      <c r="L19" s="41" t="s">
        <v>198</v>
      </c>
      <c r="M19" s="41" t="s">
        <v>387</v>
      </c>
      <c r="N19" s="41" t="n">
        <v>48129</v>
      </c>
    </row>
    <row r="20" customFormat="false" ht="15" hidden="false" customHeight="false" outlineLevel="0" collapsed="false">
      <c r="A20" s="33" t="n">
        <v>9011</v>
      </c>
      <c r="B20" s="33" t="s">
        <v>296</v>
      </c>
      <c r="C20" s="33" t="s">
        <v>299</v>
      </c>
      <c r="D20" s="39" t="n">
        <v>46226.3472222222</v>
      </c>
      <c r="E20" s="33" t="s">
        <v>384</v>
      </c>
      <c r="F20" s="33" t="s">
        <v>406</v>
      </c>
      <c r="G20" s="37"/>
      <c r="H20" s="37" t="n">
        <v>24</v>
      </c>
      <c r="I20" s="37" t="n">
        <v>24</v>
      </c>
      <c r="J20" s="37" t="n">
        <v>61021</v>
      </c>
      <c r="K20" s="33" t="s">
        <v>386</v>
      </c>
      <c r="L20" s="33"/>
      <c r="M20" s="33" t="s">
        <v>387</v>
      </c>
      <c r="N20" s="33" t="n">
        <v>48201</v>
      </c>
    </row>
    <row r="21" customFormat="false" ht="15" hidden="false" customHeight="false" outlineLevel="0" collapsed="false">
      <c r="A21" s="5" t="n">
        <v>9011</v>
      </c>
      <c r="B21" s="5" t="s">
        <v>296</v>
      </c>
      <c r="C21" s="5" t="s">
        <v>299</v>
      </c>
      <c r="D21" s="40" t="n">
        <v>46226.40625</v>
      </c>
      <c r="E21" s="5" t="s">
        <v>388</v>
      </c>
      <c r="F21" s="5" t="s">
        <v>407</v>
      </c>
      <c r="G21" s="30" t="n">
        <v>24</v>
      </c>
      <c r="H21" s="30" t="n">
        <v>24</v>
      </c>
      <c r="I21" s="30" t="n">
        <v>0</v>
      </c>
      <c r="J21" s="30" t="n">
        <v>0</v>
      </c>
      <c r="K21" s="5" t="s">
        <v>386</v>
      </c>
      <c r="L21" s="5" t="s">
        <v>190</v>
      </c>
      <c r="M21" s="5" t="s">
        <v>303</v>
      </c>
      <c r="N21" s="5" t="n">
        <v>48203</v>
      </c>
    </row>
    <row r="22" customFormat="false" ht="15" hidden="false" customHeight="false" outlineLevel="0" collapsed="false">
      <c r="A22" s="5" t="n">
        <v>9044</v>
      </c>
      <c r="B22" s="5" t="s">
        <v>337</v>
      </c>
      <c r="C22" s="5" t="s">
        <v>339</v>
      </c>
      <c r="D22" s="40" t="n">
        <v>46204.3298611111</v>
      </c>
      <c r="E22" s="5" t="s">
        <v>408</v>
      </c>
      <c r="F22" s="5" t="s">
        <v>409</v>
      </c>
      <c r="G22" s="30" t="n">
        <v>150</v>
      </c>
      <c r="H22" s="30" t="n">
        <v>150</v>
      </c>
      <c r="I22" s="30" t="n">
        <v>0</v>
      </c>
      <c r="J22" s="30" t="n">
        <v>0</v>
      </c>
      <c r="K22" s="5" t="s">
        <v>386</v>
      </c>
      <c r="L22" s="5" t="s">
        <v>203</v>
      </c>
      <c r="M22" s="5" t="s">
        <v>387</v>
      </c>
      <c r="N22" s="5" t="n">
        <v>48012</v>
      </c>
    </row>
  </sheetData>
  <autoFilter ref="A4:N2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2"/>
    <col collapsed="false" customWidth="true" hidden="false" outlineLevel="0" max="3" min="3" style="0" width="42"/>
    <col collapsed="false" customWidth="true" hidden="false" outlineLevel="0" max="4" min="4" style="0" width="8"/>
    <col collapsed="false" customWidth="true" hidden="false" outlineLevel="0" max="5" min="5" style="0" width="11"/>
    <col collapsed="false" customWidth="true" hidden="false" outlineLevel="0" max="6" min="6" style="0" width="13"/>
    <col collapsed="false" customWidth="true" hidden="false" outlineLevel="0" max="7" min="7" style="0" width="14"/>
    <col collapsed="false" customWidth="true" hidden="false" outlineLevel="0" max="8" min="8" style="0" width="18"/>
    <col collapsed="false" customWidth="true" hidden="false" outlineLevel="0" max="9" min="9" style="0" width="20"/>
    <col collapsed="false" customWidth="true" hidden="false" outlineLevel="0" max="10" min="10" style="0" width="17"/>
    <col collapsed="false" customWidth="true" hidden="false" outlineLevel="0" max="11" min="11" style="0" width="14"/>
    <col collapsed="false" customWidth="true" hidden="false" outlineLevel="0" max="12" min="12" style="0" width="15"/>
  </cols>
  <sheetData>
    <row r="1" customFormat="false" ht="17.35" hidden="false" customHeight="false" outlineLevel="0" collapsed="false">
      <c r="A1" s="1" t="s">
        <v>410</v>
      </c>
    </row>
    <row r="2" customFormat="false" ht="15" hidden="false" customHeight="false" outlineLevel="0" collapsed="false">
      <c r="A2" s="2" t="s">
        <v>411</v>
      </c>
    </row>
    <row r="4" customFormat="false" ht="42" hidden="false" customHeight="true" outlineLevel="0" collapsed="false">
      <c r="A4" s="4" t="s">
        <v>227</v>
      </c>
      <c r="B4" s="4" t="s">
        <v>82</v>
      </c>
      <c r="C4" s="4" t="s">
        <v>412</v>
      </c>
      <c r="D4" s="4" t="s">
        <v>229</v>
      </c>
      <c r="E4" s="4" t="s">
        <v>175</v>
      </c>
      <c r="F4" s="4" t="s">
        <v>57</v>
      </c>
      <c r="G4" s="4" t="s">
        <v>176</v>
      </c>
      <c r="H4" s="4" t="s">
        <v>59</v>
      </c>
      <c r="I4" s="4" t="s">
        <v>84</v>
      </c>
      <c r="J4" s="4" t="s">
        <v>46</v>
      </c>
      <c r="K4" s="4" t="s">
        <v>85</v>
      </c>
      <c r="L4" s="4" t="s">
        <v>413</v>
      </c>
    </row>
    <row r="5" customFormat="false" ht="15" hidden="false" customHeight="false" outlineLevel="0" collapsed="false">
      <c r="A5" s="5" t="s">
        <v>271</v>
      </c>
      <c r="B5" s="5" t="str">
        <f aca="false">IFERROR(INDEX(Lookups!$B$6:$B$10,MATCH(LEFT($A5,3),Lookups!$A$6:$A$10,0)),"(unmapped)")</f>
        <v>Sifa</v>
      </c>
      <c r="C5" s="5" t="s">
        <v>272</v>
      </c>
      <c r="D5" s="5" t="s">
        <v>273</v>
      </c>
      <c r="E5" s="29" t="n">
        <f aca="false">COUNTIFS('Episode Detail'!$H$5:$H$25,$A5,'Episode Detail'!$AP$5:$AP$25,"No")</f>
        <v>2</v>
      </c>
      <c r="F5" s="29" t="n">
        <f aca="false">SUMPRODUCT(('Episode Detail'!$H$5:$H$25=$A5)*'Episode Detail'!$AU$5:$AU$25)</f>
        <v>2</v>
      </c>
      <c r="G5" s="30" t="n">
        <f aca="false">SUMIFS('Episode Detail'!$V$5:$V$25,'Episode Detail'!$H$5:$H$25,$A5,'Episode Detail'!$AP$5:$AP$25,"No")</f>
        <v>1274</v>
      </c>
      <c r="H5" s="30" t="n">
        <f aca="false">SUMIFS('Episode Detail'!$AD$5:$AD$25,'Episode Detail'!$H$5:$H$25,$A5,'Episode Detail'!$AT$5:$AT$25,"Open",'Episode Detail'!$AP$5:$AP$25,"No")</f>
        <v>135137.4</v>
      </c>
      <c r="I5" s="30" t="n">
        <f aca="false">SUMIFS('Episode Detail'!$AG$5:$AG$25,'Episode Detail'!$H$5:$H$25,$A5,'Episode Detail'!$AP$5:$AP$25,"No")</f>
        <v>0</v>
      </c>
      <c r="J5" s="30" t="n">
        <f aca="false">SUMIFS('Episode Detail'!$AH$5:$AH$25,'Episode Detail'!$H$5:$H$25,$A5,'Episode Detail'!$AP$5:$AP$25,"No")</f>
        <v>135137.4</v>
      </c>
      <c r="K5" s="31" t="n">
        <f aca="false">IFERROR(AVERAGEIFS('Episode Detail'!$R$5:$R$25,'Episode Detail'!$H$5:$H$25,$A5,'Episode Detail'!$T$5:$T$25,"Yes",'Episode Detail'!$AP$5:$AP$25,"No"),"")</f>
        <v>13</v>
      </c>
      <c r="L5" s="29" t="n">
        <f aca="false">COUNTIFS('Episode Detail'!$H$5:$H$25,$A5,'Episode Detail'!$U$5:$U$25,"&gt;1")</f>
        <v>0</v>
      </c>
    </row>
    <row r="6" customFormat="false" ht="15" hidden="false" customHeight="false" outlineLevel="0" collapsed="false">
      <c r="A6" s="5" t="s">
        <v>281</v>
      </c>
      <c r="B6" s="5" t="str">
        <f aca="false">IFERROR(INDEX(Lookups!$B$6:$B$10,MATCH(LEFT($A6,3),Lookups!$A$6:$A$10,0)),"(unmapped)")</f>
        <v>Cosy</v>
      </c>
      <c r="C6" s="5" t="s">
        <v>282</v>
      </c>
      <c r="D6" s="5" t="s">
        <v>273</v>
      </c>
      <c r="E6" s="29" t="n">
        <f aca="false">COUNTIFS('Episode Detail'!$H$5:$H$25,$A6,'Episode Detail'!$AP$5:$AP$25,"No")</f>
        <v>1</v>
      </c>
      <c r="F6" s="29" t="n">
        <f aca="false">SUMPRODUCT(('Episode Detail'!$H$5:$H$25=$A6)*'Episode Detail'!$AU$5:$AU$25)</f>
        <v>1</v>
      </c>
      <c r="G6" s="30" t="n">
        <f aca="false">SUMIFS('Episode Detail'!$V$5:$V$25,'Episode Detail'!$H$5:$H$25,$A6,'Episode Detail'!$AP$5:$AP$25,"No")</f>
        <v>542</v>
      </c>
      <c r="H6" s="30" t="n">
        <f aca="false">SUMIFS('Episode Detail'!$AD$5:$AD$25,'Episode Detail'!$H$5:$H$25,$A6,'Episode Detail'!$AT$5:$AT$25,"Open",'Episode Detail'!$AP$5:$AP$25,"No")</f>
        <v>32920.5</v>
      </c>
      <c r="I6" s="30" t="n">
        <f aca="false">SUMIFS('Episode Detail'!$AG$5:$AG$25,'Episode Detail'!$H$5:$H$25,$A6,'Episode Detail'!$AP$5:$AP$25,"No")</f>
        <v>0</v>
      </c>
      <c r="J6" s="30" t="n">
        <f aca="false">SUMIFS('Episode Detail'!$AH$5:$AH$25,'Episode Detail'!$H$5:$H$25,$A6,'Episode Detail'!$AP$5:$AP$25,"No")</f>
        <v>32920.5</v>
      </c>
      <c r="K6" s="31" t="n">
        <f aca="false">IFERROR(AVERAGEIFS('Episode Detail'!$R$5:$R$25,'Episode Detail'!$H$5:$H$25,$A6,'Episode Detail'!$T$5:$T$25,"Yes",'Episode Detail'!$AP$5:$AP$25,"No"),"")</f>
        <v>13</v>
      </c>
      <c r="L6" s="29" t="n">
        <f aca="false">COUNTIFS('Episode Detail'!$H$5:$H$25,$A6,'Episode Detail'!$U$5:$U$25,"&gt;1")</f>
        <v>0</v>
      </c>
    </row>
    <row r="7" customFormat="false" ht="15" hidden="false" customHeight="false" outlineLevel="0" collapsed="false">
      <c r="A7" s="5" t="s">
        <v>286</v>
      </c>
      <c r="B7" s="5" t="str">
        <f aca="false">IFERROR(INDEX(Lookups!$B$6:$B$10,MATCH(LEFT($A7,3),Lookups!$A$6:$A$10,0)),"(unmapped)")</f>
        <v>Cosy</v>
      </c>
      <c r="C7" s="5" t="s">
        <v>287</v>
      </c>
      <c r="D7" s="5" t="s">
        <v>273</v>
      </c>
      <c r="E7" s="29" t="n">
        <f aca="false">COUNTIFS('Episode Detail'!$H$5:$H$25,$A7,'Episode Detail'!$AP$5:$AP$25,"No")</f>
        <v>1</v>
      </c>
      <c r="F7" s="29" t="n">
        <f aca="false">SUMPRODUCT(('Episode Detail'!$H$5:$H$25=$A7)*'Episode Detail'!$AU$5:$AU$25)</f>
        <v>0</v>
      </c>
      <c r="G7" s="30" t="n">
        <f aca="false">SUMIFS('Episode Detail'!$V$5:$V$25,'Episode Detail'!$H$5:$H$25,$A7,'Episode Detail'!$AP$5:$AP$25,"No")</f>
        <v>514</v>
      </c>
      <c r="H7" s="30" t="n">
        <f aca="false">SUMIFS('Episode Detail'!$AD$5:$AD$25,'Episode Detail'!$H$5:$H$25,$A7,'Episode Detail'!$AT$5:$AT$25,"Open",'Episode Detail'!$AP$5:$AP$25,"No")</f>
        <v>0</v>
      </c>
      <c r="I7" s="30" t="n">
        <f aca="false">SUMIFS('Episode Detail'!$AG$5:$AG$25,'Episode Detail'!$H$5:$H$25,$A7,'Episode Detail'!$AP$5:$AP$25,"No")</f>
        <v>265429.6</v>
      </c>
      <c r="J7" s="30" t="n">
        <f aca="false">SUMIFS('Episode Detail'!$AH$5:$AH$25,'Episode Detail'!$H$5:$H$25,$A7,'Episode Detail'!$AP$5:$AP$25,"No")</f>
        <v>0</v>
      </c>
      <c r="K7" s="31" t="n">
        <f aca="false">IFERROR(AVERAGEIFS('Episode Detail'!$R$5:$R$25,'Episode Detail'!$H$5:$H$25,$A7,'Episode Detail'!$T$5:$T$25,"Yes",'Episode Detail'!$AP$5:$AP$25,"No"),"")</f>
        <v>10</v>
      </c>
      <c r="L7" s="29" t="n">
        <f aca="false">COUNTIFS('Episode Detail'!$H$5:$H$25,$A7,'Episode Detail'!$U$5:$U$25,"&gt;1")</f>
        <v>0</v>
      </c>
    </row>
    <row r="8" customFormat="false" ht="15" hidden="false" customHeight="false" outlineLevel="0" collapsed="false">
      <c r="A8" s="5" t="s">
        <v>292</v>
      </c>
      <c r="B8" s="5" t="str">
        <f aca="false">IFERROR(INDEX(Lookups!$B$6:$B$10,MATCH(LEFT($A8,3),Lookups!$A$6:$A$10,0)),"(unmapped)")</f>
        <v>Fay</v>
      </c>
      <c r="C8" s="5" t="s">
        <v>293</v>
      </c>
      <c r="D8" s="5" t="s">
        <v>273</v>
      </c>
      <c r="E8" s="29" t="n">
        <f aca="false">COUNTIFS('Episode Detail'!$H$5:$H$25,$A8,'Episode Detail'!$AP$5:$AP$25,"No")</f>
        <v>1</v>
      </c>
      <c r="F8" s="29" t="n">
        <f aca="false">SUMPRODUCT(('Episode Detail'!$H$5:$H$25=$A8)*'Episode Detail'!$AU$5:$AU$25)</f>
        <v>0</v>
      </c>
      <c r="G8" s="30" t="n">
        <f aca="false">SUMIFS('Episode Detail'!$V$5:$V$25,'Episode Detail'!$H$5:$H$25,$A8,'Episode Detail'!$AP$5:$AP$25,"No")</f>
        <v>478</v>
      </c>
      <c r="H8" s="30" t="n">
        <f aca="false">SUMIFS('Episode Detail'!$AD$5:$AD$25,'Episode Detail'!$H$5:$H$25,$A8,'Episode Detail'!$AT$5:$AT$25,"Open",'Episode Detail'!$AP$5:$AP$25,"No")</f>
        <v>0</v>
      </c>
      <c r="I8" s="30" t="n">
        <f aca="false">SUMIFS('Episode Detail'!$AG$5:$AG$25,'Episode Detail'!$H$5:$H$25,$A8,'Episode Detail'!$AP$5:$AP$25,"No")</f>
        <v>210224.4</v>
      </c>
      <c r="J8" s="30" t="n">
        <f aca="false">SUMIFS('Episode Detail'!$AH$5:$AH$25,'Episode Detail'!$H$5:$H$25,$A8,'Episode Detail'!$AP$5:$AP$25,"No")</f>
        <v>5497.5</v>
      </c>
      <c r="K8" s="31" t="n">
        <f aca="false">IFERROR(AVERAGEIFS('Episode Detail'!$R$5:$R$25,'Episode Detail'!$H$5:$H$25,$A8,'Episode Detail'!$T$5:$T$25,"Yes",'Episode Detail'!$AP$5:$AP$25,"No"),"")</f>
        <v>8</v>
      </c>
      <c r="L8" s="29" t="n">
        <f aca="false">COUNTIFS('Episode Detail'!$H$5:$H$25,$A8,'Episode Detail'!$U$5:$U$25,"&gt;1")</f>
        <v>0</v>
      </c>
    </row>
    <row r="9" customFormat="false" ht="15" hidden="false" customHeight="false" outlineLevel="0" collapsed="false">
      <c r="A9" s="5" t="s">
        <v>299</v>
      </c>
      <c r="B9" s="5" t="str">
        <f aca="false">IFERROR(INDEX(Lookups!$B$6:$B$10,MATCH(LEFT($A9,3),Lookups!$A$6:$A$10,0)),"(unmapped)")</f>
        <v>Fay</v>
      </c>
      <c r="C9" s="5" t="s">
        <v>300</v>
      </c>
      <c r="D9" s="5" t="s">
        <v>301</v>
      </c>
      <c r="E9" s="29" t="n">
        <f aca="false">COUNTIFS('Episode Detail'!$H$5:$H$25,$A9,'Episode Detail'!$AP$5:$AP$25,"No")</f>
        <v>3</v>
      </c>
      <c r="F9" s="29" t="n">
        <f aca="false">SUMPRODUCT(('Episode Detail'!$H$5:$H$25=$A9)*'Episode Detail'!$AU$5:$AU$25)</f>
        <v>3</v>
      </c>
      <c r="G9" s="30" t="n">
        <f aca="false">SUMIFS('Episode Detail'!$V$5:$V$25,'Episode Detail'!$H$5:$H$25,$A9,'Episode Detail'!$AP$5:$AP$25,"No")</f>
        <v>54</v>
      </c>
      <c r="H9" s="30" t="n">
        <f aca="false">SUMIFS('Episode Detail'!$AD$5:$AD$25,'Episode Detail'!$H$5:$H$25,$A9,'Episode Detail'!$AT$5:$AT$25,"Open",'Episode Detail'!$AP$5:$AP$25,"No")</f>
        <v>121215.6</v>
      </c>
      <c r="I9" s="30" t="n">
        <f aca="false">SUMIFS('Episode Detail'!$AG$5:$AG$25,'Episode Detail'!$H$5:$H$25,$A9,'Episode Detail'!$AP$5:$AP$25,"No")</f>
        <v>0</v>
      </c>
      <c r="J9" s="30" t="n">
        <f aca="false">SUMIFS('Episode Detail'!$AH$5:$AH$25,'Episode Detail'!$H$5:$H$25,$A9,'Episode Detail'!$AP$5:$AP$25,"No")</f>
        <v>30510.36</v>
      </c>
      <c r="K9" s="31" t="n">
        <f aca="false">IFERROR(AVERAGEIFS('Episode Detail'!$R$5:$R$25,'Episode Detail'!$H$5:$H$25,$A9,'Episode Detail'!$T$5:$T$25,"Yes",'Episode Detail'!$AP$5:$AP$25,"No"),"")</f>
        <v>4</v>
      </c>
      <c r="L9" s="29" t="n">
        <f aca="false">COUNTIFS('Episode Detail'!$H$5:$H$25,$A9,'Episode Detail'!$U$5:$U$25,"&gt;1")</f>
        <v>0</v>
      </c>
    </row>
    <row r="10" customFormat="false" ht="15" hidden="false" customHeight="false" outlineLevel="0" collapsed="false">
      <c r="A10" s="5" t="s">
        <v>312</v>
      </c>
      <c r="B10" s="5" t="str">
        <f aca="false">IFERROR(INDEX(Lookups!$B$6:$B$10,MATCH(LEFT($A10,3),Lookups!$A$6:$A$10,0)),"(unmapped)")</f>
        <v>Fay</v>
      </c>
      <c r="C10" s="5" t="s">
        <v>313</v>
      </c>
      <c r="D10" s="5" t="s">
        <v>314</v>
      </c>
      <c r="E10" s="29" t="n">
        <f aca="false">COUNTIFS('Episode Detail'!$H$5:$H$25,$A10,'Episode Detail'!$AP$5:$AP$25,"No")</f>
        <v>2</v>
      </c>
      <c r="F10" s="29" t="n">
        <f aca="false">SUMPRODUCT(('Episode Detail'!$H$5:$H$25=$A10)*'Episode Detail'!$AU$5:$AU$25)</f>
        <v>2</v>
      </c>
      <c r="G10" s="30" t="n">
        <f aca="false">SUMIFS('Episode Detail'!$V$5:$V$25,'Episode Detail'!$H$5:$H$25,$A10,'Episode Detail'!$AP$5:$AP$25,"No")</f>
        <v>12</v>
      </c>
      <c r="H10" s="30" t="n">
        <f aca="false">SUMIFS('Episode Detail'!$AD$5:$AD$25,'Episode Detail'!$H$5:$H$25,$A10,'Episode Detail'!$AT$5:$AT$25,"Open",'Episode Detail'!$AP$5:$AP$25,"No")</f>
        <v>33082.8</v>
      </c>
      <c r="I10" s="30" t="n">
        <f aca="false">SUMIFS('Episode Detail'!$AG$5:$AG$25,'Episode Detail'!$H$5:$H$25,$A10,'Episode Detail'!$AP$5:$AP$25,"No")</f>
        <v>0</v>
      </c>
      <c r="J10" s="30" t="n">
        <f aca="false">SUMIFS('Episode Detail'!$AH$5:$AH$25,'Episode Detail'!$H$5:$H$25,$A10,'Episode Detail'!$AP$5:$AP$25,"No")</f>
        <v>33082.8</v>
      </c>
      <c r="K10" s="31" t="n">
        <f aca="false">IFERROR(AVERAGEIFS('Episode Detail'!$R$5:$R$25,'Episode Detail'!$H$5:$H$25,$A10,'Episode Detail'!$T$5:$T$25,"Yes",'Episode Detail'!$AP$5:$AP$25,"No"),"")</f>
        <v>9</v>
      </c>
      <c r="L10" s="29" t="n">
        <f aca="false">COUNTIFS('Episode Detail'!$H$5:$H$25,$A10,'Episode Detail'!$U$5:$U$25,"&gt;1")</f>
        <v>0</v>
      </c>
    </row>
    <row r="11" customFormat="false" ht="15" hidden="false" customHeight="false" outlineLevel="0" collapsed="false">
      <c r="A11" s="5" t="s">
        <v>320</v>
      </c>
      <c r="B11" s="5" t="str">
        <f aca="false">IFERROR(INDEX(Lookups!$B$6:$B$10,MATCH(LEFT($A11,3),Lookups!$A$6:$A$10,0)),"(unmapped)")</f>
        <v>Tishu Poa</v>
      </c>
      <c r="C11" s="5" t="s">
        <v>321</v>
      </c>
      <c r="D11" s="5" t="s">
        <v>273</v>
      </c>
      <c r="E11" s="29" t="n">
        <f aca="false">COUNTIFS('Episode Detail'!$H$5:$H$25,$A11,'Episode Detail'!$AP$5:$AP$25,"No")</f>
        <v>3</v>
      </c>
      <c r="F11" s="29" t="n">
        <f aca="false">SUMPRODUCT(('Episode Detail'!$H$5:$H$25=$A11)*'Episode Detail'!$AU$5:$AU$25)</f>
        <v>2</v>
      </c>
      <c r="G11" s="30" t="n">
        <f aca="false">SUMIFS('Episode Detail'!$V$5:$V$25,'Episode Detail'!$H$5:$H$25,$A11,'Episode Detail'!$AP$5:$AP$25,"No")</f>
        <v>275</v>
      </c>
      <c r="H11" s="30" t="n">
        <f aca="false">SUMIFS('Episode Detail'!$AD$5:$AD$25,'Episode Detail'!$H$5:$H$25,$A11,'Episode Detail'!$AT$5:$AT$25,"Open",'Episode Detail'!$AP$5:$AP$25,"No")</f>
        <v>6332.44</v>
      </c>
      <c r="I11" s="30" t="n">
        <f aca="false">SUMIFS('Episode Detail'!$AG$5:$AG$25,'Episode Detail'!$H$5:$H$25,$A11,'Episode Detail'!$AP$5:$AP$25,"No")</f>
        <v>0</v>
      </c>
      <c r="J11" s="30" t="n">
        <f aca="false">SUMIFS('Episode Detail'!$AH$5:$AH$25,'Episode Detail'!$H$5:$H$25,$A11,'Episode Detail'!$AP$5:$AP$25,"No")</f>
        <v>0</v>
      </c>
      <c r="K11" s="31" t="n">
        <f aca="false">IFERROR(AVERAGEIFS('Episode Detail'!$R$5:$R$25,'Episode Detail'!$H$5:$H$25,$A11,'Episode Detail'!$T$5:$T$25,"Yes",'Episode Detail'!$AP$5:$AP$25,"No"),"")</f>
        <v>2.66666666666667</v>
      </c>
      <c r="L11" s="29" t="n">
        <f aca="false">COUNTIFS('Episode Detail'!$H$5:$H$25,$A11,'Episode Detail'!$U$5:$U$25,"&gt;1")</f>
        <v>0</v>
      </c>
    </row>
    <row r="12" customFormat="false" ht="15" hidden="false" customHeight="false" outlineLevel="0" collapsed="false">
      <c r="A12" s="5" t="s">
        <v>326</v>
      </c>
      <c r="B12" s="5" t="str">
        <f aca="false">IFERROR(INDEX(Lookups!$B$6:$B$10,MATCH(LEFT($A12,3),Lookups!$A$6:$A$10,0)),"(unmapped)")</f>
        <v>Cow &amp; Gate</v>
      </c>
      <c r="C12" s="5" t="s">
        <v>327</v>
      </c>
      <c r="D12" s="5" t="s">
        <v>328</v>
      </c>
      <c r="E12" s="29" t="n">
        <f aca="false">COUNTIFS('Episode Detail'!$H$5:$H$25,$A12,'Episode Detail'!$AP$5:$AP$25,"No")</f>
        <v>2</v>
      </c>
      <c r="F12" s="29" t="n">
        <f aca="false">SUMPRODUCT(('Episode Detail'!$H$5:$H$25=$A12)*'Episode Detail'!$AU$5:$AU$25)</f>
        <v>2</v>
      </c>
      <c r="G12" s="30" t="n">
        <f aca="false">SUMIFS('Episode Detail'!$V$5:$V$25,'Episode Detail'!$H$5:$H$25,$A12,'Episode Detail'!$AP$5:$AP$25,"No")</f>
        <v>54</v>
      </c>
      <c r="H12" s="30" t="n">
        <f aca="false">SUMIFS('Episode Detail'!$AD$5:$AD$25,'Episode Detail'!$H$5:$H$25,$A12,'Episode Detail'!$AT$5:$AT$25,"Open",'Episode Detail'!$AP$5:$AP$25,"No")</f>
        <v>82131.3</v>
      </c>
      <c r="I12" s="30" t="n">
        <f aca="false">SUMIFS('Episode Detail'!$AG$5:$AG$25,'Episode Detail'!$H$5:$H$25,$A12,'Episode Detail'!$AP$5:$AP$25,"No")</f>
        <v>0</v>
      </c>
      <c r="J12" s="30" t="n">
        <f aca="false">SUMIFS('Episode Detail'!$AH$5:$AH$25,'Episode Detail'!$H$5:$H$25,$A12,'Episode Detail'!$AP$5:$AP$25,"No")</f>
        <v>0</v>
      </c>
      <c r="K12" s="31" t="n">
        <f aca="false">IFERROR(AVERAGEIFS('Episode Detail'!$R$5:$R$25,'Episode Detail'!$H$5:$H$25,$A12,'Episode Detail'!$T$5:$T$25,"Yes",'Episode Detail'!$AP$5:$AP$25,"No"),"")</f>
        <v>2</v>
      </c>
      <c r="L12" s="29" t="n">
        <f aca="false">COUNTIFS('Episode Detail'!$H$5:$H$25,$A12,'Episode Detail'!$U$5:$U$25,"&gt;1")</f>
        <v>0</v>
      </c>
    </row>
    <row r="13" customFormat="false" ht="15" hidden="false" customHeight="false" outlineLevel="0" collapsed="false">
      <c r="A13" s="5" t="s">
        <v>333</v>
      </c>
      <c r="B13" s="5" t="str">
        <f aca="false">IFERROR(INDEX(Lookups!$B$6:$B$10,MATCH(LEFT($A13,3),Lookups!$A$6:$A$10,0)),"(unmapped)")</f>
        <v>Cow &amp; Gate</v>
      </c>
      <c r="C13" s="5" t="s">
        <v>334</v>
      </c>
      <c r="D13" s="5" t="s">
        <v>328</v>
      </c>
      <c r="E13" s="29" t="n">
        <f aca="false">COUNTIFS('Episode Detail'!$H$5:$H$25,$A13,'Episode Detail'!$AP$5:$AP$25,"No")</f>
        <v>1</v>
      </c>
      <c r="F13" s="29" t="n">
        <f aca="false">SUMPRODUCT(('Episode Detail'!$H$5:$H$25=$A13)*'Episode Detail'!$AU$5:$AU$25)</f>
        <v>1</v>
      </c>
      <c r="G13" s="30" t="n">
        <f aca="false">SUMIFS('Episode Detail'!$V$5:$V$25,'Episode Detail'!$H$5:$H$25,$A13,'Episode Detail'!$AP$5:$AP$25,"No")</f>
        <v>1188</v>
      </c>
      <c r="H13" s="30" t="n">
        <f aca="false">SUMIFS('Episode Detail'!$AD$5:$AD$25,'Episode Detail'!$H$5:$H$25,$A13,'Episode Detail'!$AT$5:$AT$25,"Open",'Episode Detail'!$AP$5:$AP$25,"No")</f>
        <v>1892531.52</v>
      </c>
      <c r="I13" s="30" t="n">
        <f aca="false">SUMIFS('Episode Detail'!$AG$5:$AG$25,'Episode Detail'!$H$5:$H$25,$A13,'Episode Detail'!$AP$5:$AP$25,"No")</f>
        <v>0</v>
      </c>
      <c r="J13" s="30" t="n">
        <f aca="false">SUMIFS('Episode Detail'!$AH$5:$AH$25,'Episode Detail'!$H$5:$H$25,$A13,'Episode Detail'!$AP$5:$AP$25,"No")</f>
        <v>0</v>
      </c>
      <c r="K13" s="31" t="n">
        <f aca="false">IFERROR(AVERAGEIFS('Episode Detail'!$R$5:$R$25,'Episode Detail'!$H$5:$H$25,$A13,'Episode Detail'!$T$5:$T$25,"Yes",'Episode Detail'!$AP$5:$AP$25,"No"),"")</f>
        <v>2</v>
      </c>
      <c r="L13" s="29" t="n">
        <f aca="false">COUNTIFS('Episode Detail'!$H$5:$H$25,$A13,'Episode Detail'!$U$5:$U$25,"&gt;1")</f>
        <v>0</v>
      </c>
    </row>
    <row r="14" customFormat="false" ht="15" hidden="false" customHeight="false" outlineLevel="0" collapsed="false">
      <c r="A14" s="5" t="s">
        <v>339</v>
      </c>
      <c r="B14" s="5" t="str">
        <f aca="false">IFERROR(INDEX(Lookups!$B$6:$B$10,MATCH(LEFT($A14,3),Lookups!$A$6:$A$10,0)),"(unmapped)")</f>
        <v>Sifa</v>
      </c>
      <c r="C14" s="5" t="s">
        <v>340</v>
      </c>
      <c r="D14" s="5" t="s">
        <v>273</v>
      </c>
      <c r="E14" s="29" t="n">
        <f aca="false">COUNTIFS('Episode Detail'!$H$5:$H$25,$A14,'Episode Detail'!$AP$5:$AP$25,"No")</f>
        <v>0</v>
      </c>
      <c r="F14" s="29" t="n">
        <f aca="false">SUMPRODUCT(('Episode Detail'!$H$5:$H$25=$A14)*'Episode Detail'!$AU$5:$AU$25)</f>
        <v>0</v>
      </c>
      <c r="G14" s="30" t="n">
        <f aca="false">SUMIFS('Episode Detail'!$V$5:$V$25,'Episode Detail'!$H$5:$H$25,$A14,'Episode Detail'!$AP$5:$AP$25,"No")</f>
        <v>0</v>
      </c>
      <c r="H14" s="30" t="n">
        <f aca="false">SUMIFS('Episode Detail'!$AD$5:$AD$25,'Episode Detail'!$H$5:$H$25,$A14,'Episode Detail'!$AT$5:$AT$25,"Open",'Episode Detail'!$AP$5:$AP$25,"No")</f>
        <v>0</v>
      </c>
      <c r="I14" s="30" t="n">
        <f aca="false">SUMIFS('Episode Detail'!$AG$5:$AG$25,'Episode Detail'!$H$5:$H$25,$A14,'Episode Detail'!$AP$5:$AP$25,"No")</f>
        <v>0</v>
      </c>
      <c r="J14" s="30" t="n">
        <f aca="false">SUMIFS('Episode Detail'!$AH$5:$AH$25,'Episode Detail'!$H$5:$H$25,$A14,'Episode Detail'!$AP$5:$AP$25,"No")</f>
        <v>0</v>
      </c>
      <c r="K14" s="31" t="str">
        <f aca="false">IFERROR(AVERAGEIFS('Episode Detail'!$R$5:$R$25,'Episode Detail'!$H$5:$H$25,$A14,'Episode Detail'!$T$5:$T$25,"Yes",'Episode Detail'!$AP$5:$AP$25,"No"),"")</f>
        <v/>
      </c>
      <c r="L14" s="29" t="n">
        <f aca="false">COUNTIFS('Episode Detail'!$H$5:$H$25,$A14,'Episode Detail'!$U$5:$U$25,"&gt;1")</f>
        <v>0</v>
      </c>
    </row>
    <row r="15" customFormat="false" ht="15" hidden="false" customHeight="false" outlineLevel="0" collapsed="false">
      <c r="A15" s="5" t="s">
        <v>346</v>
      </c>
      <c r="B15" s="5" t="str">
        <f aca="false">IFERROR(INDEX(Lookups!$B$6:$B$10,MATCH(LEFT($A15,3),Lookups!$A$6:$A$10,0)),"(unmapped)")</f>
        <v>Fay</v>
      </c>
      <c r="C15" s="5" t="s">
        <v>347</v>
      </c>
      <c r="D15" s="5" t="s">
        <v>273</v>
      </c>
      <c r="E15" s="29" t="n">
        <f aca="false">COUNTIFS('Episode Detail'!$H$5:$H$25,$A15,'Episode Detail'!$AP$5:$AP$25,"No")</f>
        <v>2</v>
      </c>
      <c r="F15" s="29" t="n">
        <f aca="false">SUMPRODUCT(('Episode Detail'!$H$5:$H$25=$A15)*'Episode Detail'!$AU$5:$AU$25)</f>
        <v>0</v>
      </c>
      <c r="G15" s="30" t="n">
        <f aca="false">SUMIFS('Episode Detail'!$V$5:$V$25,'Episode Detail'!$H$5:$H$25,$A15,'Episode Detail'!$AP$5:$AP$25,"No")</f>
        <v>302</v>
      </c>
      <c r="H15" s="30" t="n">
        <f aca="false">SUMIFS('Episode Detail'!$AD$5:$AD$25,'Episode Detail'!$H$5:$H$25,$A15,'Episode Detail'!$AT$5:$AT$25,"Open",'Episode Detail'!$AP$5:$AP$25,"No")</f>
        <v>0</v>
      </c>
      <c r="I15" s="30" t="n">
        <f aca="false">SUMIFS('Episode Detail'!$AG$5:$AG$25,'Episode Detail'!$H$5:$H$25,$A15,'Episode Detail'!$AP$5:$AP$25,"No")</f>
        <v>48648.6</v>
      </c>
      <c r="J15" s="30" t="n">
        <f aca="false">SUMIFS('Episode Detail'!$AH$5:$AH$25,'Episode Detail'!$H$5:$H$25,$A15,'Episode Detail'!$AP$5:$AP$25,"No")</f>
        <v>0</v>
      </c>
      <c r="K15" s="31" t="n">
        <f aca="false">IFERROR(AVERAGEIFS('Episode Detail'!$R$5:$R$25,'Episode Detail'!$H$5:$H$25,$A15,'Episode Detail'!$T$5:$T$25,"Yes",'Episode Detail'!$AP$5:$AP$25,"No"),"")</f>
        <v>3.5</v>
      </c>
      <c r="L15" s="29" t="n">
        <f aca="false">COUNTIFS('Episode Detail'!$H$5:$H$25,$A15,'Episode Detail'!$U$5:$U$25,"&gt;1")</f>
        <v>1</v>
      </c>
    </row>
    <row r="16" customFormat="false" ht="15" hidden="false" customHeight="false" outlineLevel="0" collapsed="false">
      <c r="A16" s="5" t="s">
        <v>358</v>
      </c>
      <c r="B16" s="5" t="str">
        <f aca="false">IFERROR(INDEX(Lookups!$B$6:$B$10,MATCH(LEFT($A16,3),Lookups!$A$6:$A$10,0)),"(unmapped)")</f>
        <v>Cosy</v>
      </c>
      <c r="C16" s="5" t="s">
        <v>359</v>
      </c>
      <c r="D16" s="5" t="s">
        <v>273</v>
      </c>
      <c r="E16" s="29" t="n">
        <f aca="false">COUNTIFS('Episode Detail'!$H$5:$H$25,$A16,'Episode Detail'!$AP$5:$AP$25,"No")</f>
        <v>1</v>
      </c>
      <c r="F16" s="29" t="n">
        <f aca="false">SUMPRODUCT(('Episode Detail'!$H$5:$H$25=$A16)*'Episode Detail'!$AU$5:$AU$25)</f>
        <v>1</v>
      </c>
      <c r="G16" s="30" t="n">
        <f aca="false">SUMIFS('Episode Detail'!$V$5:$V$25,'Episode Detail'!$H$5:$H$25,$A16,'Episode Detail'!$AP$5:$AP$25,"No")</f>
        <v>260</v>
      </c>
      <c r="H16" s="30" t="n">
        <f aca="false">SUMIFS('Episode Detail'!$AD$5:$AD$25,'Episode Detail'!$H$5:$H$25,$A16,'Episode Detail'!$AT$5:$AT$25,"Open",'Episode Detail'!$AP$5:$AP$25,"No")</f>
        <v>19500</v>
      </c>
      <c r="I16" s="30" t="n">
        <f aca="false">SUMIFS('Episode Detail'!$AG$5:$AG$25,'Episode Detail'!$H$5:$H$25,$A16,'Episode Detail'!$AP$5:$AP$25,"No")</f>
        <v>0</v>
      </c>
      <c r="J16" s="30" t="n">
        <f aca="false">SUMIFS('Episode Detail'!$AH$5:$AH$25,'Episode Detail'!$H$5:$H$25,$A16,'Episode Detail'!$AP$5:$AP$25,"No")</f>
        <v>19500</v>
      </c>
      <c r="K16" s="31" t="str">
        <f aca="false">IFERROR(AVERAGEIFS('Episode Detail'!$R$5:$R$25,'Episode Detail'!$H$5:$H$25,$A16,'Episode Detail'!$T$5:$T$25,"Yes",'Episode Detail'!$AP$5:$AP$25,"No"),"")</f>
        <v/>
      </c>
      <c r="L16" s="29" t="n">
        <f aca="false">COUNTIFS('Episode Detail'!$H$5:$H$25,$A16,'Episode Detail'!$U$5:$U$25,"&gt;1")</f>
        <v>0</v>
      </c>
    </row>
    <row r="17" customFormat="false" ht="15" hidden="false" customHeight="false" outlineLevel="0" collapsed="false">
      <c r="A17" s="5" t="s">
        <v>363</v>
      </c>
      <c r="B17" s="5" t="str">
        <f aca="false">IFERROR(INDEX(Lookups!$B$6:$B$10,MATCH(LEFT($A17,3),Lookups!$A$6:$A$10,0)),"(unmapped)")</f>
        <v>Fay</v>
      </c>
      <c r="C17" s="5" t="s">
        <v>364</v>
      </c>
      <c r="D17" s="5" t="s">
        <v>273</v>
      </c>
      <c r="E17" s="29" t="n">
        <f aca="false">COUNTIFS('Episode Detail'!$H$5:$H$25,$A17,'Episode Detail'!$AP$5:$AP$25,"No")</f>
        <v>1</v>
      </c>
      <c r="F17" s="29" t="n">
        <f aca="false">SUMPRODUCT(('Episode Detail'!$H$5:$H$25=$A17)*'Episode Detail'!$AU$5:$AU$25)</f>
        <v>0</v>
      </c>
      <c r="G17" s="30" t="n">
        <f aca="false">SUMIFS('Episode Detail'!$V$5:$V$25,'Episode Detail'!$H$5:$H$25,$A17,'Episode Detail'!$AP$5:$AP$25,"No")</f>
        <v>6</v>
      </c>
      <c r="H17" s="30" t="n">
        <f aca="false">SUMIFS('Episode Detail'!$AD$5:$AD$25,'Episode Detail'!$H$5:$H$25,$A17,'Episode Detail'!$AT$5:$AT$25,"Open",'Episode Detail'!$AP$5:$AP$25,"No")</f>
        <v>0</v>
      </c>
      <c r="I17" s="30" t="n">
        <f aca="false">SUMIFS('Episode Detail'!$AG$5:$AG$25,'Episode Detail'!$H$5:$H$25,$A17,'Episode Detail'!$AP$5:$AP$25,"No")</f>
        <v>645</v>
      </c>
      <c r="J17" s="30" t="n">
        <f aca="false">SUMIFS('Episode Detail'!$AH$5:$AH$25,'Episode Detail'!$H$5:$H$25,$A17,'Episode Detail'!$AP$5:$AP$25,"No")</f>
        <v>0</v>
      </c>
      <c r="K17" s="31" t="n">
        <f aca="false">IFERROR(AVERAGEIFS('Episode Detail'!$R$5:$R$25,'Episode Detail'!$H$5:$H$25,$A17,'Episode Detail'!$T$5:$T$25,"Yes",'Episode Detail'!$AP$5:$AP$25,"No"),"")</f>
        <v>4</v>
      </c>
      <c r="L17" s="29" t="n">
        <f aca="false">COUNTIFS('Episode Detail'!$H$5:$H$25,$A17,'Episode Detail'!$U$5:$U$25,"&gt;1")</f>
        <v>0</v>
      </c>
    </row>
    <row r="18" customFormat="false" ht="15" hidden="false" customHeight="false" outlineLevel="0" collapsed="false">
      <c r="A18" s="16" t="s">
        <v>68</v>
      </c>
      <c r="B18" s="16"/>
      <c r="C18" s="16"/>
      <c r="D18" s="16"/>
      <c r="E18" s="17" t="n">
        <f aca="false">SUM(E5:E17)</f>
        <v>20</v>
      </c>
      <c r="F18" s="17" t="n">
        <f aca="false">SUM(F5:F17)</f>
        <v>14</v>
      </c>
      <c r="G18" s="18" t="n">
        <f aca="false">SUM(G5:G17)</f>
        <v>4959</v>
      </c>
      <c r="H18" s="18" t="n">
        <f aca="false">SUM(H5:H17)</f>
        <v>2322851.56</v>
      </c>
      <c r="I18" s="18" t="n">
        <f aca="false">SUM(I5:I17)</f>
        <v>524947.6</v>
      </c>
      <c r="J18" s="18" t="n">
        <f aca="false">SUM(J5:J17)</f>
        <v>256648.56</v>
      </c>
      <c r="K18" s="16"/>
      <c r="L18" s="1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7"/>
    <col collapsed="false" customWidth="true" hidden="false" outlineLevel="0" max="3" min="3" style="0" width="11"/>
    <col collapsed="false" customWidth="true" hidden="false" outlineLevel="0" max="4" min="4" style="0" width="17"/>
    <col collapsed="false" customWidth="true" hidden="false" outlineLevel="0" max="5" min="5" style="0" width="13"/>
    <col collapsed="false" customWidth="true" hidden="false" outlineLevel="0" max="6" min="6" style="0" width="18"/>
    <col collapsed="false" customWidth="true" hidden="false" outlineLevel="0" max="7" min="7" style="0" width="17"/>
    <col collapsed="false" customWidth="true" hidden="false" outlineLevel="0" max="8" min="8" style="0" width="20"/>
    <col collapsed="false" customWidth="true" hidden="false" outlineLevel="0" max="9" min="9" style="0" width="14"/>
    <col collapsed="false" customWidth="true" hidden="false" outlineLevel="0" max="10" min="10" style="0" width="17"/>
  </cols>
  <sheetData>
    <row r="1" customFormat="false" ht="17.35" hidden="false" customHeight="false" outlineLevel="0" collapsed="false">
      <c r="A1" s="1" t="s">
        <v>414</v>
      </c>
    </row>
    <row r="2" customFormat="false" ht="15" hidden="false" customHeight="false" outlineLevel="0" collapsed="false">
      <c r="A2" s="2" t="s">
        <v>415</v>
      </c>
    </row>
    <row r="4" customFormat="false" ht="42" hidden="false" customHeight="true" outlineLevel="0" collapsed="false">
      <c r="A4" s="4" t="s">
        <v>226</v>
      </c>
      <c r="B4" s="4" t="s">
        <v>55</v>
      </c>
      <c r="C4" s="4" t="s">
        <v>175</v>
      </c>
      <c r="D4" s="4" t="s">
        <v>416</v>
      </c>
      <c r="E4" s="4" t="s">
        <v>57</v>
      </c>
      <c r="F4" s="4" t="s">
        <v>59</v>
      </c>
      <c r="G4" s="4" t="s">
        <v>46</v>
      </c>
      <c r="H4" s="4" t="s">
        <v>84</v>
      </c>
      <c r="I4" s="4" t="s">
        <v>85</v>
      </c>
      <c r="J4" s="4" t="s">
        <v>417</v>
      </c>
    </row>
    <row r="5" customFormat="false" ht="15" hidden="false" customHeight="false" outlineLevel="0" collapsed="false">
      <c r="A5" s="5" t="s">
        <v>269</v>
      </c>
      <c r="B5" s="5" t="s">
        <v>61</v>
      </c>
      <c r="C5" s="29" t="n">
        <f aca="false">COUNTIFS('Episode Detail'!$E$5:$E$25,$A5,'Episode Detail'!$AP$5:$AP$25,"No")</f>
        <v>5</v>
      </c>
      <c r="D5" s="29" t="n">
        <f aca="false">SUMPRODUCT(('Episode Detail'!$E$5:$E$25=$A5)*'Episode Detail'!$AV$5:$AV$25)</f>
        <v>2</v>
      </c>
      <c r="E5" s="29" t="n">
        <f aca="false">SUMPRODUCT(('Episode Detail'!$E$5:$E$25=$A5)*'Episode Detail'!$AU$5:$AU$25)</f>
        <v>3</v>
      </c>
      <c r="F5" s="30" t="n">
        <f aca="false">SUMIFS('Episode Detail'!$AD$5:$AD$25,'Episode Detail'!$E$5:$E$25,$A5,'Episode Detail'!$AT$5:$AT$25,"Open",'Episode Detail'!$AP$5:$AP$25,"No")</f>
        <v>168057.9</v>
      </c>
      <c r="G5" s="30" t="n">
        <f aca="false">SUMIFS('Episode Detail'!$AH$5:$AH$25,'Episode Detail'!$E$5:$E$25,$A5,'Episode Detail'!$AP$5:$AP$25,"No")</f>
        <v>173555.4</v>
      </c>
      <c r="H5" s="30" t="n">
        <f aca="false">SUMIFS('Episode Detail'!$AG$5:$AG$25,'Episode Detail'!$E$5:$E$25,$A5,'Episode Detail'!$AP$5:$AP$25,"No")</f>
        <v>475654</v>
      </c>
      <c r="I5" s="31" t="n">
        <f aca="false">IFERROR(AVERAGEIFS('Episode Detail'!$R$5:$R$25,'Episode Detail'!$E$5:$E$25,$A5,'Episode Detail'!$T$5:$T$25,"Yes",'Episode Detail'!$AP$5:$AP$25,"No"),"")</f>
        <v>11.4</v>
      </c>
      <c r="J5" s="29" t="n">
        <f aca="false">IFERROR(_xlfn.MAXIFS('Episode Detail'!$R$5:$R$25,'Episode Detail'!$E$5:$E$25,$A5,'Episode Detail'!$AT$5:$AT$25,"Open",'Episode Detail'!$AP$5:$AP$25,"No"),"")</f>
        <v>13</v>
      </c>
    </row>
    <row r="6" customFormat="false" ht="15" hidden="false" customHeight="false" outlineLevel="0" collapsed="false">
      <c r="A6" s="5" t="s">
        <v>298</v>
      </c>
      <c r="B6" s="5" t="s">
        <v>62</v>
      </c>
      <c r="C6" s="29" t="n">
        <f aca="false">COUNTIFS('Episode Detail'!$E$5:$E$25,$A6,'Episode Detail'!$AP$5:$AP$25,"No")</f>
        <v>2</v>
      </c>
      <c r="D6" s="29" t="n">
        <f aca="false">SUMPRODUCT(('Episode Detail'!$E$5:$E$25=$A6)*'Episode Detail'!$AV$5:$AV$25)</f>
        <v>1</v>
      </c>
      <c r="E6" s="29" t="n">
        <f aca="false">SUMPRODUCT(('Episode Detail'!$E$5:$E$25=$A6)*'Episode Detail'!$AU$5:$AU$25)</f>
        <v>2</v>
      </c>
      <c r="F6" s="30" t="n">
        <f aca="false">SUMIFS('Episode Detail'!$AD$5:$AD$25,'Episode Detail'!$E$5:$E$25,$A6,'Episode Detail'!$AT$5:$AT$25,"Open",'Episode Detail'!$AP$5:$AP$25,"No")</f>
        <v>90705.24</v>
      </c>
      <c r="G6" s="30" t="n">
        <f aca="false">SUMIFS('Episode Detail'!$AH$5:$AH$25,'Episode Detail'!$E$5:$E$25,$A6,'Episode Detail'!$AP$5:$AP$25,"No")</f>
        <v>0</v>
      </c>
      <c r="H6" s="30" t="n">
        <f aca="false">SUMIFS('Episode Detail'!$AG$5:$AG$25,'Episode Detail'!$E$5:$E$25,$A6,'Episode Detail'!$AP$5:$AP$25,"No")</f>
        <v>0</v>
      </c>
      <c r="I6" s="31" t="n">
        <f aca="false">IFERROR(AVERAGEIFS('Episode Detail'!$R$5:$R$25,'Episode Detail'!$E$5:$E$25,$A6,'Episode Detail'!$T$5:$T$25,"Yes",'Episode Detail'!$AP$5:$AP$25,"No"),"")</f>
        <v>2</v>
      </c>
      <c r="J6" s="29" t="n">
        <f aca="false">IFERROR(_xlfn.MAXIFS('Episode Detail'!$R$5:$R$25,'Episode Detail'!$E$5:$E$25,$A6,'Episode Detail'!$AT$5:$AT$25,"Open",'Episode Detail'!$AP$5:$AP$25,"No"),"")</f>
        <v>2</v>
      </c>
    </row>
    <row r="7" customFormat="false" ht="15" hidden="false" customHeight="false" outlineLevel="0" collapsed="false">
      <c r="A7" s="5" t="s">
        <v>309</v>
      </c>
      <c r="B7" s="5" t="s">
        <v>62</v>
      </c>
      <c r="C7" s="29" t="n">
        <f aca="false">COUNTIFS('Episode Detail'!$E$5:$E$25,$A7,'Episode Detail'!$AP$5:$AP$25,"No")</f>
        <v>3</v>
      </c>
      <c r="D7" s="29" t="n">
        <f aca="false">SUMPRODUCT(('Episode Detail'!$E$5:$E$25=$A7)*'Episode Detail'!$AV$5:$AV$25)</f>
        <v>1</v>
      </c>
      <c r="E7" s="29" t="n">
        <f aca="false">SUMPRODUCT(('Episode Detail'!$E$5:$E$25=$A7)*'Episode Detail'!$AU$5:$AU$25)</f>
        <v>3</v>
      </c>
      <c r="F7" s="30" t="n">
        <f aca="false">SUMIFS('Episode Detail'!$AD$5:$AD$25,'Episode Detail'!$E$5:$E$25,$A7,'Episode Detail'!$AT$5:$AT$25,"Open",'Episode Detail'!$AP$5:$AP$25,"No")</f>
        <v>63593.16</v>
      </c>
      <c r="G7" s="30" t="n">
        <f aca="false">SUMIFS('Episode Detail'!$AH$5:$AH$25,'Episode Detail'!$E$5:$E$25,$A7,'Episode Detail'!$AP$5:$AP$25,"No")</f>
        <v>63593.16</v>
      </c>
      <c r="H7" s="30" t="n">
        <f aca="false">SUMIFS('Episode Detail'!$AG$5:$AG$25,'Episode Detail'!$E$5:$E$25,$A7,'Episode Detail'!$AP$5:$AP$25,"No")</f>
        <v>0</v>
      </c>
      <c r="I7" s="31" t="n">
        <f aca="false">IFERROR(AVERAGEIFS('Episode Detail'!$R$5:$R$25,'Episode Detail'!$E$5:$E$25,$A7,'Episode Detail'!$T$5:$T$25,"Yes",'Episode Detail'!$AP$5:$AP$25,"No"),"")</f>
        <v>8.66666666666667</v>
      </c>
      <c r="J7" s="29" t="n">
        <f aca="false">IFERROR(_xlfn.MAXIFS('Episode Detail'!$R$5:$R$25,'Episode Detail'!$E$5:$E$25,$A7,'Episode Detail'!$AT$5:$AT$25,"Open",'Episode Detail'!$AP$5:$AP$25,"No"),"")</f>
        <v>9</v>
      </c>
    </row>
    <row r="8" customFormat="false" ht="15" hidden="false" customHeight="false" outlineLevel="0" collapsed="false">
      <c r="A8" s="5" t="s">
        <v>319</v>
      </c>
      <c r="B8" s="5" t="s">
        <v>64</v>
      </c>
      <c r="C8" s="29" t="n">
        <f aca="false">COUNTIFS('Episode Detail'!$E$5:$E$25,$A8,'Episode Detail'!$AP$5:$AP$25,"No")</f>
        <v>1</v>
      </c>
      <c r="D8" s="29" t="n">
        <f aca="false">SUMPRODUCT(('Episode Detail'!$E$5:$E$25=$A8)*'Episode Detail'!$AV$5:$AV$25)</f>
        <v>0</v>
      </c>
      <c r="E8" s="29" t="n">
        <f aca="false">SUMPRODUCT(('Episode Detail'!$E$5:$E$25=$A8)*'Episode Detail'!$AU$5:$AU$25)</f>
        <v>0</v>
      </c>
      <c r="F8" s="30" t="n">
        <f aca="false">SUMIFS('Episode Detail'!$AD$5:$AD$25,'Episode Detail'!$E$5:$E$25,$A8,'Episode Detail'!$AT$5:$AT$25,"Open",'Episode Detail'!$AP$5:$AP$25,"No")</f>
        <v>0</v>
      </c>
      <c r="G8" s="30" t="n">
        <f aca="false">SUMIFS('Episode Detail'!$AH$5:$AH$25,'Episode Detail'!$E$5:$E$25,$A8,'Episode Detail'!$AP$5:$AP$25,"No")</f>
        <v>0</v>
      </c>
      <c r="H8" s="30" t="n">
        <f aca="false">SUMIFS('Episode Detail'!$AG$5:$AG$25,'Episode Detail'!$E$5:$E$25,$A8,'Episode Detail'!$AP$5:$AP$25,"No")</f>
        <v>0</v>
      </c>
      <c r="I8" s="31" t="n">
        <f aca="false">IFERROR(AVERAGEIFS('Episode Detail'!$R$5:$R$25,'Episode Detail'!$E$5:$E$25,$A8,'Episode Detail'!$T$5:$T$25,"Yes",'Episode Detail'!$AP$5:$AP$25,"No"),"")</f>
        <v>2</v>
      </c>
      <c r="J8" s="29" t="n">
        <f aca="false">IFERROR(_xlfn.MAXIFS('Episode Detail'!$R$5:$R$25,'Episode Detail'!$E$5:$E$25,$A8,'Episode Detail'!$AT$5:$AT$25,"Open",'Episode Detail'!$AP$5:$AP$25,"No"),"")</f>
        <v>0</v>
      </c>
    </row>
    <row r="9" customFormat="false" ht="15" hidden="false" customHeight="false" outlineLevel="0" collapsed="false">
      <c r="A9" s="5" t="s">
        <v>325</v>
      </c>
      <c r="B9" s="5" t="s">
        <v>64</v>
      </c>
      <c r="C9" s="29" t="n">
        <f aca="false">COUNTIFS('Episode Detail'!$E$5:$E$25,$A9,'Episode Detail'!$AP$5:$AP$25,"No")</f>
        <v>1</v>
      </c>
      <c r="D9" s="29" t="n">
        <f aca="false">SUMPRODUCT(('Episode Detail'!$E$5:$E$25=$A9)*'Episode Detail'!$AV$5:$AV$25)</f>
        <v>1</v>
      </c>
      <c r="E9" s="29" t="n">
        <f aca="false">SUMPRODUCT(('Episode Detail'!$E$5:$E$25=$A9)*'Episode Detail'!$AU$5:$AU$25)</f>
        <v>1</v>
      </c>
      <c r="F9" s="30" t="n">
        <f aca="false">SUMIFS('Episode Detail'!$AD$5:$AD$25,'Episode Detail'!$E$5:$E$25,$A9,'Episode Detail'!$AT$5:$AT$25,"Open",'Episode Detail'!$AP$5:$AP$25,"No")</f>
        <v>37260</v>
      </c>
      <c r="G9" s="30" t="n">
        <f aca="false">SUMIFS('Episode Detail'!$AH$5:$AH$25,'Episode Detail'!$E$5:$E$25,$A9,'Episode Detail'!$AP$5:$AP$25,"No")</f>
        <v>0</v>
      </c>
      <c r="H9" s="30" t="n">
        <f aca="false">SUMIFS('Episode Detail'!$AG$5:$AG$25,'Episode Detail'!$E$5:$E$25,$A9,'Episode Detail'!$AP$5:$AP$25,"No")</f>
        <v>0</v>
      </c>
      <c r="I9" s="31" t="str">
        <f aca="false">IFERROR(AVERAGEIFS('Episode Detail'!$R$5:$R$25,'Episode Detail'!$E$5:$E$25,$A9,'Episode Detail'!$T$5:$T$25,"Yes",'Episode Detail'!$AP$5:$AP$25,"No"),"")</f>
        <v/>
      </c>
      <c r="J9" s="29" t="n">
        <f aca="false">IFERROR(_xlfn.MAXIFS('Episode Detail'!$R$5:$R$25,'Episode Detail'!$E$5:$E$25,$A9,'Episode Detail'!$AT$5:$AT$25,"Open",'Episode Detail'!$AP$5:$AP$25,"No"),"")</f>
        <v>2</v>
      </c>
    </row>
    <row r="10" customFormat="false" ht="15" hidden="false" customHeight="false" outlineLevel="0" collapsed="false">
      <c r="A10" s="5" t="s">
        <v>332</v>
      </c>
      <c r="B10" s="5" t="s">
        <v>63</v>
      </c>
      <c r="C10" s="29" t="n">
        <f aca="false">COUNTIFS('Episode Detail'!$E$5:$E$25,$A10,'Episode Detail'!$AP$5:$AP$25,"No")</f>
        <v>1</v>
      </c>
      <c r="D10" s="29" t="n">
        <f aca="false">SUMPRODUCT(('Episode Detail'!$E$5:$E$25=$A10)*'Episode Detail'!$AV$5:$AV$25)</f>
        <v>1</v>
      </c>
      <c r="E10" s="29" t="n">
        <f aca="false">SUMPRODUCT(('Episode Detail'!$E$5:$E$25=$A10)*'Episode Detail'!$AU$5:$AU$25)</f>
        <v>1</v>
      </c>
      <c r="F10" s="30" t="n">
        <f aca="false">SUMIFS('Episode Detail'!$AD$5:$AD$25,'Episode Detail'!$E$5:$E$25,$A10,'Episode Detail'!$AT$5:$AT$25,"Open",'Episode Detail'!$AP$5:$AP$25,"No")</f>
        <v>1892531.52</v>
      </c>
      <c r="G10" s="30" t="n">
        <f aca="false">SUMIFS('Episode Detail'!$AH$5:$AH$25,'Episode Detail'!$E$5:$E$25,$A10,'Episode Detail'!$AP$5:$AP$25,"No")</f>
        <v>0</v>
      </c>
      <c r="H10" s="30" t="n">
        <f aca="false">SUMIFS('Episode Detail'!$AG$5:$AG$25,'Episode Detail'!$E$5:$E$25,$A10,'Episode Detail'!$AP$5:$AP$25,"No")</f>
        <v>0</v>
      </c>
      <c r="I10" s="31" t="n">
        <f aca="false">IFERROR(AVERAGEIFS('Episode Detail'!$R$5:$R$25,'Episode Detail'!$E$5:$E$25,$A10,'Episode Detail'!$T$5:$T$25,"Yes",'Episode Detail'!$AP$5:$AP$25,"No"),"")</f>
        <v>2</v>
      </c>
      <c r="J10" s="29" t="n">
        <f aca="false">IFERROR(_xlfn.MAXIFS('Episode Detail'!$R$5:$R$25,'Episode Detail'!$E$5:$E$25,$A10,'Episode Detail'!$AT$5:$AT$25,"Open",'Episode Detail'!$AP$5:$AP$25,"No"),"")</f>
        <v>2</v>
      </c>
    </row>
    <row r="11" customFormat="false" ht="15" hidden="false" customHeight="false" outlineLevel="0" collapsed="false">
      <c r="A11" s="5" t="s">
        <v>336</v>
      </c>
      <c r="B11" s="5" t="s">
        <v>63</v>
      </c>
      <c r="C11" s="29" t="n">
        <f aca="false">COUNTIFS('Episode Detail'!$E$5:$E$25,$A11,'Episode Detail'!$AP$5:$AP$25,"No")</f>
        <v>1</v>
      </c>
      <c r="D11" s="29" t="n">
        <f aca="false">SUMPRODUCT(('Episode Detail'!$E$5:$E$25=$A11)*'Episode Detail'!$AV$5:$AV$25)</f>
        <v>0</v>
      </c>
      <c r="E11" s="29" t="n">
        <f aca="false">SUMPRODUCT(('Episode Detail'!$E$5:$E$25=$A11)*'Episode Detail'!$AU$5:$AU$25)</f>
        <v>1</v>
      </c>
      <c r="F11" s="30" t="n">
        <f aca="false">SUMIFS('Episode Detail'!$AD$5:$AD$25,'Episode Detail'!$E$5:$E$25,$A11,'Episode Detail'!$AT$5:$AT$25,"Open",'Episode Detail'!$AP$5:$AP$25,"No")</f>
        <v>44871.3</v>
      </c>
      <c r="G11" s="30" t="n">
        <f aca="false">SUMIFS('Episode Detail'!$AH$5:$AH$25,'Episode Detail'!$E$5:$E$25,$A11,'Episode Detail'!$AP$5:$AP$25,"No")</f>
        <v>0</v>
      </c>
      <c r="H11" s="30" t="n">
        <f aca="false">SUMIFS('Episode Detail'!$AG$5:$AG$25,'Episode Detail'!$E$5:$E$25,$A11,'Episode Detail'!$AP$5:$AP$25,"No")</f>
        <v>0</v>
      </c>
      <c r="I11" s="31" t="n">
        <f aca="false">IFERROR(AVERAGEIFS('Episode Detail'!$R$5:$R$25,'Episode Detail'!$E$5:$E$25,$A11,'Episode Detail'!$T$5:$T$25,"Yes",'Episode Detail'!$AP$5:$AP$25,"No"),"")</f>
        <v>2</v>
      </c>
      <c r="J11" s="29" t="n">
        <f aca="false">IFERROR(_xlfn.MAXIFS('Episode Detail'!$R$5:$R$25,'Episode Detail'!$E$5:$E$25,$A11,'Episode Detail'!$AT$5:$AT$25,"Open",'Episode Detail'!$AP$5:$AP$25,"No"),"")</f>
        <v>2</v>
      </c>
    </row>
    <row r="12" customFormat="false" ht="15" hidden="false" customHeight="false" outlineLevel="0" collapsed="false">
      <c r="A12" s="5" t="s">
        <v>338</v>
      </c>
      <c r="B12" s="5" t="s">
        <v>61</v>
      </c>
      <c r="C12" s="29" t="n">
        <f aca="false">COUNTIFS('Episode Detail'!$E$5:$E$25,$A12,'Episode Detail'!$AP$5:$AP$25,"No")</f>
        <v>0</v>
      </c>
      <c r="D12" s="29" t="n">
        <f aca="false">SUMPRODUCT(('Episode Detail'!$E$5:$E$25=$A12)*'Episode Detail'!$AV$5:$AV$25)</f>
        <v>0</v>
      </c>
      <c r="E12" s="29" t="n">
        <f aca="false">SUMPRODUCT(('Episode Detail'!$E$5:$E$25=$A12)*'Episode Detail'!$AU$5:$AU$25)</f>
        <v>0</v>
      </c>
      <c r="F12" s="30" t="n">
        <f aca="false">SUMIFS('Episode Detail'!$AD$5:$AD$25,'Episode Detail'!$E$5:$E$25,$A12,'Episode Detail'!$AT$5:$AT$25,"Open",'Episode Detail'!$AP$5:$AP$25,"No")</f>
        <v>0</v>
      </c>
      <c r="G12" s="30" t="n">
        <f aca="false">SUMIFS('Episode Detail'!$AH$5:$AH$25,'Episode Detail'!$E$5:$E$25,$A12,'Episode Detail'!$AP$5:$AP$25,"No")</f>
        <v>0</v>
      </c>
      <c r="H12" s="30" t="n">
        <f aca="false">SUMIFS('Episode Detail'!$AG$5:$AG$25,'Episode Detail'!$E$5:$E$25,$A12,'Episode Detail'!$AP$5:$AP$25,"No")</f>
        <v>0</v>
      </c>
      <c r="I12" s="31" t="str">
        <f aca="false">IFERROR(AVERAGEIFS('Episode Detail'!$R$5:$R$25,'Episode Detail'!$E$5:$E$25,$A12,'Episode Detail'!$T$5:$T$25,"Yes",'Episode Detail'!$AP$5:$AP$25,"No"),"")</f>
        <v/>
      </c>
      <c r="J12" s="29" t="n">
        <f aca="false">IFERROR(_xlfn.MAXIFS('Episode Detail'!$R$5:$R$25,'Episode Detail'!$E$5:$E$25,$A12,'Episode Detail'!$AT$5:$AT$25,"Open",'Episode Detail'!$AP$5:$AP$25,"No"),"")</f>
        <v>0</v>
      </c>
    </row>
    <row r="13" customFormat="false" ht="15" hidden="false" customHeight="false" outlineLevel="0" collapsed="false">
      <c r="A13" s="5" t="s">
        <v>345</v>
      </c>
      <c r="B13" s="5" t="s">
        <v>61</v>
      </c>
      <c r="C13" s="29" t="n">
        <f aca="false">COUNTIFS('Episode Detail'!$E$5:$E$25,$A13,'Episode Detail'!$AP$5:$AP$25,"No")</f>
        <v>2</v>
      </c>
      <c r="D13" s="29" t="n">
        <f aca="false">SUMPRODUCT(('Episode Detail'!$E$5:$E$25=$A13)*'Episode Detail'!$AV$5:$AV$25)</f>
        <v>0</v>
      </c>
      <c r="E13" s="29" t="n">
        <f aca="false">SUMPRODUCT(('Episode Detail'!$E$5:$E$25=$A13)*'Episode Detail'!$AU$5:$AU$25)</f>
        <v>0</v>
      </c>
      <c r="F13" s="30" t="n">
        <f aca="false">SUMIFS('Episode Detail'!$AD$5:$AD$25,'Episode Detail'!$E$5:$E$25,$A13,'Episode Detail'!$AT$5:$AT$25,"Open",'Episode Detail'!$AP$5:$AP$25,"No")</f>
        <v>0</v>
      </c>
      <c r="G13" s="30" t="n">
        <f aca="false">SUMIFS('Episode Detail'!$AH$5:$AH$25,'Episode Detail'!$E$5:$E$25,$A13,'Episode Detail'!$AP$5:$AP$25,"No")</f>
        <v>0</v>
      </c>
      <c r="H13" s="30" t="n">
        <f aca="false">SUMIFS('Episode Detail'!$AG$5:$AG$25,'Episode Detail'!$E$5:$E$25,$A13,'Episode Detail'!$AP$5:$AP$25,"No")</f>
        <v>48648.6</v>
      </c>
      <c r="I13" s="31" t="n">
        <f aca="false">IFERROR(AVERAGEIFS('Episode Detail'!$R$5:$R$25,'Episode Detail'!$E$5:$E$25,$A13,'Episode Detail'!$T$5:$T$25,"Yes",'Episode Detail'!$AP$5:$AP$25,"No"),"")</f>
        <v>3.5</v>
      </c>
      <c r="J13" s="29" t="n">
        <f aca="false">IFERROR(_xlfn.MAXIFS('Episode Detail'!$R$5:$R$25,'Episode Detail'!$E$5:$E$25,$A13,'Episode Detail'!$AT$5:$AT$25,"Open",'Episode Detail'!$AP$5:$AP$25,"No"),"")</f>
        <v>0</v>
      </c>
    </row>
    <row r="14" customFormat="false" ht="15" hidden="false" customHeight="false" outlineLevel="0" collapsed="false">
      <c r="A14" s="5" t="s">
        <v>352</v>
      </c>
      <c r="B14" s="5" t="s">
        <v>67</v>
      </c>
      <c r="C14" s="29" t="n">
        <f aca="false">COUNTIFS('Episode Detail'!$E$5:$E$25,$A14,'Episode Detail'!$AP$5:$AP$25,"No")</f>
        <v>1</v>
      </c>
      <c r="D14" s="29" t="n">
        <f aca="false">SUMPRODUCT(('Episode Detail'!$E$5:$E$25=$A14)*'Episode Detail'!$AV$5:$AV$25)</f>
        <v>1</v>
      </c>
      <c r="E14" s="29" t="n">
        <f aca="false">SUMPRODUCT(('Episode Detail'!$E$5:$E$25=$A14)*'Episode Detail'!$AU$5:$AU$25)</f>
        <v>1</v>
      </c>
      <c r="F14" s="30" t="n">
        <f aca="false">SUMIFS('Episode Detail'!$AD$5:$AD$25,'Episode Detail'!$E$5:$E$25,$A14,'Episode Detail'!$AT$5:$AT$25,"Open",'Episode Detail'!$AP$5:$AP$25,"No")</f>
        <v>2935</v>
      </c>
      <c r="G14" s="30" t="n">
        <f aca="false">SUMIFS('Episode Detail'!$AH$5:$AH$25,'Episode Detail'!$E$5:$E$25,$A14,'Episode Detail'!$AP$5:$AP$25,"No")</f>
        <v>0</v>
      </c>
      <c r="H14" s="30" t="n">
        <f aca="false">SUMIFS('Episode Detail'!$AG$5:$AG$25,'Episode Detail'!$E$5:$E$25,$A14,'Episode Detail'!$AP$5:$AP$25,"No")</f>
        <v>0</v>
      </c>
      <c r="I14" s="31" t="n">
        <f aca="false">IFERROR(AVERAGEIFS('Episode Detail'!$R$5:$R$25,'Episode Detail'!$E$5:$E$25,$A14,'Episode Detail'!$T$5:$T$25,"Yes",'Episode Detail'!$AP$5:$AP$25,"No"),"")</f>
        <v>4</v>
      </c>
      <c r="J14" s="29" t="n">
        <f aca="false">IFERROR(_xlfn.MAXIFS('Episode Detail'!$R$5:$R$25,'Episode Detail'!$E$5:$E$25,$A14,'Episode Detail'!$AT$5:$AT$25,"Open",'Episode Detail'!$AP$5:$AP$25,"No"),"")</f>
        <v>4</v>
      </c>
    </row>
    <row r="15" customFormat="false" ht="15" hidden="false" customHeight="false" outlineLevel="0" collapsed="false">
      <c r="A15" s="5" t="s">
        <v>357</v>
      </c>
      <c r="B15" s="5" t="s">
        <v>67</v>
      </c>
      <c r="C15" s="29" t="n">
        <f aca="false">COUNTIFS('Episode Detail'!$E$5:$E$25,$A15,'Episode Detail'!$AP$5:$AP$25,"No")</f>
        <v>1</v>
      </c>
      <c r="D15" s="29" t="n">
        <f aca="false">SUMPRODUCT(('Episode Detail'!$E$5:$E$25=$A15)*'Episode Detail'!$AV$5:$AV$25)</f>
        <v>1</v>
      </c>
      <c r="E15" s="29" t="n">
        <f aca="false">SUMPRODUCT(('Episode Detail'!$E$5:$E$25=$A15)*'Episode Detail'!$AU$5:$AU$25)</f>
        <v>1</v>
      </c>
      <c r="F15" s="30" t="n">
        <f aca="false">SUMIFS('Episode Detail'!$AD$5:$AD$25,'Episode Detail'!$E$5:$E$25,$A15,'Episode Detail'!$AT$5:$AT$25,"Open",'Episode Detail'!$AP$5:$AP$25,"No")</f>
        <v>19500</v>
      </c>
      <c r="G15" s="30" t="n">
        <f aca="false">SUMIFS('Episode Detail'!$AH$5:$AH$25,'Episode Detail'!$E$5:$E$25,$A15,'Episode Detail'!$AP$5:$AP$25,"No")</f>
        <v>19500</v>
      </c>
      <c r="H15" s="30" t="n">
        <f aca="false">SUMIFS('Episode Detail'!$AG$5:$AG$25,'Episode Detail'!$E$5:$E$25,$A15,'Episode Detail'!$AP$5:$AP$25,"No")</f>
        <v>0</v>
      </c>
      <c r="I15" s="31" t="str">
        <f aca="false">IFERROR(AVERAGEIFS('Episode Detail'!$R$5:$R$25,'Episode Detail'!$E$5:$E$25,$A15,'Episode Detail'!$T$5:$T$25,"Yes",'Episode Detail'!$AP$5:$AP$25,"No"),"")</f>
        <v/>
      </c>
      <c r="J15" s="29" t="n">
        <f aca="false">IFERROR(_xlfn.MAXIFS('Episode Detail'!$R$5:$R$25,'Episode Detail'!$E$5:$E$25,$A15,'Episode Detail'!$AT$5:$AT$25,"Open",'Episode Detail'!$AP$5:$AP$25,"No"),"")</f>
        <v>15</v>
      </c>
    </row>
    <row r="16" customFormat="false" ht="15" hidden="false" customHeight="false" outlineLevel="0" collapsed="false">
      <c r="A16" s="5" t="s">
        <v>362</v>
      </c>
      <c r="B16" s="5" t="s">
        <v>65</v>
      </c>
      <c r="C16" s="29" t="n">
        <f aca="false">COUNTIFS('Episode Detail'!$E$5:$E$25,$A16,'Episode Detail'!$AP$5:$AP$25,"No")</f>
        <v>1</v>
      </c>
      <c r="D16" s="29" t="n">
        <f aca="false">SUMPRODUCT(('Episode Detail'!$E$5:$E$25=$A16)*'Episode Detail'!$AV$5:$AV$25)</f>
        <v>0</v>
      </c>
      <c r="E16" s="29" t="n">
        <f aca="false">SUMPRODUCT(('Episode Detail'!$E$5:$E$25=$A16)*'Episode Detail'!$AU$5:$AU$25)</f>
        <v>0</v>
      </c>
      <c r="F16" s="30" t="n">
        <f aca="false">SUMIFS('Episode Detail'!$AD$5:$AD$25,'Episode Detail'!$E$5:$E$25,$A16,'Episode Detail'!$AT$5:$AT$25,"Open",'Episode Detail'!$AP$5:$AP$25,"No")</f>
        <v>0</v>
      </c>
      <c r="G16" s="30" t="n">
        <f aca="false">SUMIFS('Episode Detail'!$AH$5:$AH$25,'Episode Detail'!$E$5:$E$25,$A16,'Episode Detail'!$AP$5:$AP$25,"No")</f>
        <v>0</v>
      </c>
      <c r="H16" s="30" t="n">
        <f aca="false">SUMIFS('Episode Detail'!$AG$5:$AG$25,'Episode Detail'!$E$5:$E$25,$A16,'Episode Detail'!$AP$5:$AP$25,"No")</f>
        <v>645</v>
      </c>
      <c r="I16" s="31" t="n">
        <f aca="false">IFERROR(AVERAGEIFS('Episode Detail'!$R$5:$R$25,'Episode Detail'!$E$5:$E$25,$A16,'Episode Detail'!$T$5:$T$25,"Yes",'Episode Detail'!$AP$5:$AP$25,"No"),"")</f>
        <v>4</v>
      </c>
      <c r="J16" s="29" t="n">
        <f aca="false">IFERROR(_xlfn.MAXIFS('Episode Detail'!$R$5:$R$25,'Episode Detail'!$E$5:$E$25,$A16,'Episode Detail'!$AT$5:$AT$25,"Open",'Episode Detail'!$AP$5:$AP$25,"No"),"")</f>
        <v>0</v>
      </c>
    </row>
    <row r="17" customFormat="false" ht="15" hidden="false" customHeight="false" outlineLevel="0" collapsed="false">
      <c r="A17" s="5" t="s">
        <v>367</v>
      </c>
      <c r="B17" s="5" t="s">
        <v>66</v>
      </c>
      <c r="C17" s="29" t="n">
        <f aca="false">COUNTIFS('Episode Detail'!$E$5:$E$25,$A17,'Episode Detail'!$AP$5:$AP$25,"No")</f>
        <v>1</v>
      </c>
      <c r="D17" s="29" t="n">
        <f aca="false">SUMPRODUCT(('Episode Detail'!$E$5:$E$25=$A17)*'Episode Detail'!$AV$5:$AV$25)</f>
        <v>0</v>
      </c>
      <c r="E17" s="29" t="n">
        <f aca="false">SUMPRODUCT(('Episode Detail'!$E$5:$E$25=$A17)*'Episode Detail'!$AU$5:$AU$25)</f>
        <v>1</v>
      </c>
      <c r="F17" s="30" t="n">
        <f aca="false">SUMIFS('Episode Detail'!$AD$5:$AD$25,'Episode Detail'!$E$5:$E$25,$A17,'Episode Detail'!$AT$5:$AT$25,"Open",'Episode Detail'!$AP$5:$AP$25,"No")</f>
        <v>3397.44</v>
      </c>
      <c r="G17" s="30" t="n">
        <f aca="false">SUMIFS('Episode Detail'!$AH$5:$AH$25,'Episode Detail'!$E$5:$E$25,$A17,'Episode Detail'!$AP$5:$AP$25,"No")</f>
        <v>0</v>
      </c>
      <c r="H17" s="30" t="n">
        <f aca="false">SUMIFS('Episode Detail'!$AG$5:$AG$25,'Episode Detail'!$E$5:$E$25,$A17,'Episode Detail'!$AP$5:$AP$25,"No")</f>
        <v>0</v>
      </c>
      <c r="I17" s="31" t="n">
        <f aca="false">IFERROR(AVERAGEIFS('Episode Detail'!$R$5:$R$25,'Episode Detail'!$E$5:$E$25,$A17,'Episode Detail'!$T$5:$T$25,"Yes",'Episode Detail'!$AP$5:$AP$25,"No"),"")</f>
        <v>2</v>
      </c>
      <c r="J17" s="29" t="n">
        <f aca="false">IFERROR(_xlfn.MAXIFS('Episode Detail'!$R$5:$R$25,'Episode Detail'!$E$5:$E$25,$A17,'Episode Detail'!$AT$5:$AT$25,"Open",'Episode Detail'!$AP$5:$AP$25,"No"),"")</f>
        <v>2</v>
      </c>
    </row>
    <row r="18" customFormat="false" ht="15" hidden="false" customHeight="false" outlineLevel="0" collapsed="false">
      <c r="A18" s="16" t="s">
        <v>68</v>
      </c>
      <c r="B18" s="16"/>
      <c r="C18" s="17" t="n">
        <f aca="false">SUM(C5:C17)</f>
        <v>20</v>
      </c>
      <c r="D18" s="17" t="n">
        <f aca="false">SUM(D5:D17)</f>
        <v>8</v>
      </c>
      <c r="E18" s="17" t="n">
        <f aca="false">SUM(E5:E17)</f>
        <v>14</v>
      </c>
      <c r="F18" s="18" t="n">
        <f aca="false">SUM(F5:F17)</f>
        <v>2322851.56</v>
      </c>
      <c r="G18" s="18" t="n">
        <f aca="false">SUM(G5:G17)</f>
        <v>256648.56</v>
      </c>
      <c r="H18" s="18" t="n">
        <f aca="false">SUM(H5:H17)</f>
        <v>524947.6</v>
      </c>
      <c r="I18" s="16"/>
      <c r="J18" s="1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20"/>
    <col collapsed="false" customWidth="true" hidden="false" outlineLevel="0" max="3" min="3" style="0" width="62"/>
  </cols>
  <sheetData>
    <row r="1" customFormat="false" ht="17.35" hidden="false" customHeight="false" outlineLevel="0" collapsed="false">
      <c r="A1" s="1" t="s">
        <v>418</v>
      </c>
    </row>
    <row r="2" customFormat="false" ht="15" hidden="false" customHeight="false" outlineLevel="0" collapsed="false">
      <c r="A2" s="2" t="s">
        <v>419</v>
      </c>
    </row>
    <row r="4" customFormat="false" ht="15" hidden="false" customHeight="false" outlineLevel="0" collapsed="false">
      <c r="A4" s="10" t="s">
        <v>420</v>
      </c>
    </row>
    <row r="5" customFormat="false" ht="21.75" hidden="false" customHeight="true" outlineLevel="0" collapsed="false">
      <c r="A5" s="4" t="s">
        <v>421</v>
      </c>
      <c r="B5" s="4" t="s">
        <v>422</v>
      </c>
      <c r="C5" s="4" t="s">
        <v>423</v>
      </c>
      <c r="D5" s="4" t="s">
        <v>8</v>
      </c>
    </row>
    <row r="6" customFormat="false" ht="15" hidden="false" customHeight="false" outlineLevel="0" collapsed="false">
      <c r="A6" s="5" t="s">
        <v>424</v>
      </c>
      <c r="B6" s="13" t="n">
        <v>84</v>
      </c>
      <c r="C6" s="14" t="n">
        <v>8436411</v>
      </c>
      <c r="D6" s="7" t="s">
        <v>425</v>
      </c>
    </row>
    <row r="7" customFormat="false" ht="15" hidden="false" customHeight="false" outlineLevel="0" collapsed="false">
      <c r="A7" s="5" t="s">
        <v>426</v>
      </c>
      <c r="B7" s="13" t="n">
        <v>-10</v>
      </c>
      <c r="C7" s="14" t="n">
        <v>0</v>
      </c>
      <c r="D7" s="7" t="s">
        <v>427</v>
      </c>
    </row>
    <row r="8" customFormat="false" ht="15" hidden="false" customHeight="false" outlineLevel="0" collapsed="false">
      <c r="A8" s="16" t="s">
        <v>428</v>
      </c>
      <c r="B8" s="17" t="n">
        <v>74</v>
      </c>
      <c r="C8" s="18" t="n">
        <v>8436411</v>
      </c>
      <c r="D8" s="16" t="s">
        <v>429</v>
      </c>
    </row>
    <row r="9" customFormat="false" ht="15" hidden="false" customHeight="false" outlineLevel="0" collapsed="false">
      <c r="A9" s="5" t="s">
        <v>430</v>
      </c>
      <c r="B9" s="22"/>
      <c r="C9" s="14" t="n">
        <v>3861891</v>
      </c>
      <c r="D9" s="7" t="s">
        <v>431</v>
      </c>
    </row>
    <row r="11" customFormat="false" ht="15" hidden="false" customHeight="false" outlineLevel="0" collapsed="false">
      <c r="A11" s="10" t="s">
        <v>432</v>
      </c>
    </row>
    <row r="12" customFormat="false" ht="21.75" hidden="false" customHeight="true" outlineLevel="0" collapsed="false">
      <c r="A12" s="4" t="s">
        <v>433</v>
      </c>
      <c r="B12" s="4" t="s">
        <v>423</v>
      </c>
      <c r="C12" s="4" t="s">
        <v>434</v>
      </c>
    </row>
    <row r="13" customFormat="false" ht="15" hidden="false" customHeight="false" outlineLevel="0" collapsed="false">
      <c r="A13" s="5" t="s">
        <v>435</v>
      </c>
      <c r="B13" s="14" t="n">
        <v>3861891</v>
      </c>
      <c r="C13" s="7" t="s">
        <v>436</v>
      </c>
    </row>
    <row r="14" customFormat="false" ht="15" hidden="false" customHeight="false" outlineLevel="0" collapsed="false">
      <c r="A14" s="5" t="s">
        <v>437</v>
      </c>
      <c r="B14" s="14" t="n">
        <v>-284500</v>
      </c>
      <c r="C14" s="7" t="s">
        <v>438</v>
      </c>
    </row>
    <row r="15" customFormat="false" ht="15" hidden="false" customHeight="false" outlineLevel="0" collapsed="false">
      <c r="A15" s="5" t="s">
        <v>439</v>
      </c>
      <c r="B15" s="14" t="n">
        <v>-12400</v>
      </c>
      <c r="C15" s="7" t="s">
        <v>440</v>
      </c>
    </row>
    <row r="16" customFormat="false" ht="15" hidden="false" customHeight="false" outlineLevel="0" collapsed="false">
      <c r="A16" s="5" t="s">
        <v>441</v>
      </c>
      <c r="B16" s="14" t="n">
        <v>-156300</v>
      </c>
      <c r="C16" s="7" t="s">
        <v>442</v>
      </c>
    </row>
    <row r="17" customFormat="false" ht="15" hidden="false" customHeight="false" outlineLevel="0" collapsed="false">
      <c r="A17" s="5" t="s">
        <v>443</v>
      </c>
      <c r="B17" s="14" t="n">
        <v>-98200</v>
      </c>
      <c r="C17" s="7" t="s">
        <v>444</v>
      </c>
    </row>
    <row r="18" customFormat="false" ht="15" hidden="false" customHeight="false" outlineLevel="0" collapsed="false">
      <c r="A18" s="5" t="s">
        <v>445</v>
      </c>
      <c r="B18" s="14" t="n">
        <v>-620000</v>
      </c>
      <c r="C18" s="7" t="s">
        <v>446</v>
      </c>
    </row>
    <row r="19" customFormat="false" ht="15" hidden="false" customHeight="false" outlineLevel="0" collapsed="false">
      <c r="A19" s="5" t="s">
        <v>447</v>
      </c>
      <c r="B19" s="14" t="n">
        <v>412800</v>
      </c>
      <c r="C19" s="7" t="s">
        <v>448</v>
      </c>
    </row>
    <row r="20" customFormat="false" ht="15" hidden="false" customHeight="false" outlineLevel="0" collapsed="false">
      <c r="A20" s="5" t="s">
        <v>449</v>
      </c>
      <c r="B20" s="14" t="n">
        <v>0</v>
      </c>
      <c r="C20" s="7" t="s">
        <v>450</v>
      </c>
    </row>
    <row r="21" customFormat="false" ht="15" hidden="false" customHeight="false" outlineLevel="0" collapsed="false">
      <c r="A21" s="47" t="s">
        <v>451</v>
      </c>
      <c r="B21" s="48" t="n">
        <f aca="false">Summary!$B$10-SUM(B13:B20)</f>
        <v>-780439.44</v>
      </c>
      <c r="C21" s="49" t="s">
        <v>452</v>
      </c>
    </row>
    <row r="22" customFormat="false" ht="15" hidden="false" customHeight="false" outlineLevel="0" collapsed="false">
      <c r="A22" s="16" t="s">
        <v>453</v>
      </c>
      <c r="B22" s="18" t="n">
        <f aca="false">SUM(B13:B21)</f>
        <v>2322851.56</v>
      </c>
      <c r="C22" s="16"/>
    </row>
    <row r="23" customFormat="false" ht="15" hidden="false" customHeight="false" outlineLevel="0" collapsed="false">
      <c r="A23" s="25" t="s">
        <v>454</v>
      </c>
      <c r="B23" s="8" t="n">
        <f aca="false">Summary!$B$10</f>
        <v>2322851.56</v>
      </c>
      <c r="C23" s="22"/>
    </row>
    <row r="24" customFormat="false" ht="15" hidden="false" customHeight="false" outlineLevel="0" collapsed="false">
      <c r="A24" s="50" t="s">
        <v>455</v>
      </c>
      <c r="B24" s="51" t="n">
        <f aca="false">B23-B22</f>
        <v>0</v>
      </c>
      <c r="C24" s="52" t="n">
        <f aca="false">IFERROR(ABS(B24)/B13,"")</f>
        <v>0</v>
      </c>
    </row>
    <row r="25" customFormat="false" ht="15" hidden="false" customHeight="false" outlineLevel="0" collapsed="false">
      <c r="A25" s="25" t="s">
        <v>456</v>
      </c>
      <c r="B25" s="25" t="str">
        <f aca="false">IF(IFERROR(ABS(B24)/B13,1)&lt;=0.005,"PASS","FAIL — raise AcumaticaReconciliationResult, severity high")</f>
        <v>PASS</v>
      </c>
      <c r="C25" s="22"/>
    </row>
    <row r="27" customFormat="false" ht="15" hidden="false" customHeight="false" outlineLevel="0" collapsed="false">
      <c r="A27" s="23" t="s">
        <v>457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20"/>
    <col collapsed="false" customWidth="true" hidden="false" outlineLevel="0" max="3" min="3" style="0" width="46"/>
  </cols>
  <sheetData>
    <row r="1" customFormat="false" ht="17.35" hidden="false" customHeight="false" outlineLevel="0" collapsed="false">
      <c r="A1" s="1" t="s">
        <v>458</v>
      </c>
    </row>
    <row r="2" customFormat="false" ht="15" hidden="false" customHeight="false" outlineLevel="0" collapsed="false">
      <c r="A2" s="2" t="s">
        <v>459</v>
      </c>
    </row>
    <row r="4" customFormat="false" ht="15" hidden="false" customHeight="false" outlineLevel="0" collapsed="false">
      <c r="A4" s="10" t="s">
        <v>460</v>
      </c>
    </row>
    <row r="5" customFormat="false" ht="21.75" hidden="false" customHeight="true" outlineLevel="0" collapsed="false">
      <c r="A5" s="4" t="s">
        <v>461</v>
      </c>
      <c r="B5" s="4" t="s">
        <v>82</v>
      </c>
    </row>
    <row r="6" customFormat="false" ht="15" hidden="false" customHeight="false" outlineLevel="0" collapsed="false">
      <c r="A6" s="53" t="s">
        <v>462</v>
      </c>
      <c r="B6" s="53" t="s">
        <v>86</v>
      </c>
    </row>
    <row r="7" customFormat="false" ht="15" hidden="false" customHeight="false" outlineLevel="0" collapsed="false">
      <c r="A7" s="53" t="s">
        <v>463</v>
      </c>
      <c r="B7" s="53" t="s">
        <v>87</v>
      </c>
    </row>
    <row r="8" customFormat="false" ht="15" hidden="false" customHeight="false" outlineLevel="0" collapsed="false">
      <c r="A8" s="53" t="s">
        <v>464</v>
      </c>
      <c r="B8" s="53" t="s">
        <v>88</v>
      </c>
    </row>
    <row r="9" customFormat="false" ht="15" hidden="false" customHeight="false" outlineLevel="0" collapsed="false">
      <c r="A9" s="53" t="s">
        <v>465</v>
      </c>
      <c r="B9" s="53" t="s">
        <v>89</v>
      </c>
    </row>
    <row r="10" customFormat="false" ht="15" hidden="false" customHeight="false" outlineLevel="0" collapsed="false">
      <c r="A10" s="53" t="s">
        <v>466</v>
      </c>
      <c r="B10" s="53" t="s">
        <v>90</v>
      </c>
    </row>
    <row r="12" customFormat="false" ht="15" hidden="false" customHeight="false" outlineLevel="0" collapsed="false">
      <c r="A12" s="2" t="s">
        <v>467</v>
      </c>
    </row>
    <row r="14" customFormat="false" ht="15" hidden="false" customHeight="false" outlineLevel="0" collapsed="false">
      <c r="A14" s="10" t="s">
        <v>468</v>
      </c>
    </row>
    <row r="15" customFormat="false" ht="21.75" hidden="false" customHeight="true" outlineLevel="0" collapsed="false">
      <c r="A15" s="4" t="s">
        <v>469</v>
      </c>
      <c r="B15" s="4" t="s">
        <v>7</v>
      </c>
      <c r="C15" s="4" t="s">
        <v>470</v>
      </c>
    </row>
    <row r="16" customFormat="false" ht="15" hidden="false" customHeight="false" outlineLevel="0" collapsed="false">
      <c r="A16" s="5" t="s">
        <v>471</v>
      </c>
      <c r="B16" s="54" t="n">
        <v>46229</v>
      </c>
      <c r="C16" s="7" t="s">
        <v>472</v>
      </c>
    </row>
    <row r="17" customFormat="false" ht="15" hidden="false" customHeight="false" outlineLevel="0" collapsed="false">
      <c r="A17" s="5" t="s">
        <v>473</v>
      </c>
      <c r="B17" s="20" t="n">
        <v>2</v>
      </c>
      <c r="C17" s="7" t="s">
        <v>474</v>
      </c>
    </row>
    <row r="18" customFormat="false" ht="15" hidden="false" customHeight="false" outlineLevel="0" collapsed="false">
      <c r="A18" s="5" t="s">
        <v>475</v>
      </c>
      <c r="B18" s="20" t="n">
        <v>7</v>
      </c>
      <c r="C18" s="7" t="s">
        <v>476</v>
      </c>
    </row>
    <row r="19" customFormat="false" ht="15" hidden="false" customHeight="false" outlineLevel="0" collapsed="false">
      <c r="A19" s="5" t="s">
        <v>477</v>
      </c>
      <c r="B19" s="55" t="n">
        <v>25000</v>
      </c>
      <c r="C19" s="7" t="s">
        <v>259</v>
      </c>
    </row>
    <row r="20" customFormat="false" ht="15" hidden="false" customHeight="false" outlineLevel="0" collapsed="false">
      <c r="A20" s="5" t="s">
        <v>478</v>
      </c>
      <c r="B20" s="55" t="n">
        <v>100000</v>
      </c>
      <c r="C20" s="7" t="s">
        <v>259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2026-07-26T10:54:42Z</dcterms:created>
  <dc:creator>openpyxl</dc:creator>
  <dc:description/>
  <dc:language>en-US</dc:language>
  <cp:lastModifiedBy/>
  <dcterms:modified xsi:type="dcterms:W3CDTF">2026-07-26T10:54:42Z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