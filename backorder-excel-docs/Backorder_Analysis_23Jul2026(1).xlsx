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Order Detail" sheetId="2" state="visible" r:id="rId4"/>
    <sheet name="Summary" sheetId="3" state="visible" r:id="rId5"/>
    <sheet name="By Account" sheetId="4" state="visible" r:id="rId6"/>
    <sheet name="23 Jul Snapshot" sheetId="5" state="visible" r:id="rId7"/>
    <sheet name="Shortage Diagnosis" sheetId="6" state="visible" r:id="rId8"/>
  </sheets>
  <definedNames>
    <definedName function="false" hidden="true" localSheetId="1" name="_xlnm._FilterDatabase" vbProcedure="false">'Order Detail'!$A$4:$O$78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<sst xmlns="http://schemas.openxmlformats.org/spreadsheetml/2006/main" count="666" uniqueCount="311">
  <si>
    <t xml:space="preserve">Acumatica Back Order Report — how to read it</t>
  </si>
  <si>
    <t xml:space="preserve">Source: Sales_Orders_202607231.xlsx (Back Orders, created 01–23 Jul 2026) and Sales_Orders_202607232.xlsx (all orders created 23 Jul 2026). Snapshot taken 23/07/2026 17:41.</t>
  </si>
  <si>
    <t xml:space="preserve">Field / topic</t>
  </si>
  <si>
    <t xml:space="preserve">Explanation</t>
  </si>
  <si>
    <t xml:space="preserve">What "Back Order" means in Acumatica</t>
  </si>
  <si>
    <t xml:space="preserve">Status = Back Order means at least one line on the order still has Open Qty that could not be allocated from available stock. It is a LIVE status, not a history flag — the moment the last line ships, the order leaves this status and disappears from this report.</t>
  </si>
  <si>
    <t xml:space="preserve">Why you cannot see "resolved" here</t>
  </si>
  <si>
    <t xml:space="preserve">Because the status is live, every order in this file is STILL unresolved as at 23/07 17:41. Orders that went on back order earlier in July and have since been filled are already gone from the file — they are not marked "resolved", they are simply absent. To measure resolution you need either (a) a saved daily snapshot of this same report to diff day-on-day, or (b) the line-level Open Qty report (see Data Gaps below).</t>
  </si>
  <si>
    <t xml:space="preserve">Line Total</t>
  </si>
  <si>
    <t xml:space="preserve">Full value of the order as entered (KES, ex-VAT).</t>
  </si>
  <si>
    <t xml:space="preserve">Unbilled Order Total</t>
  </si>
  <si>
    <t xml:space="preserve">Order value not yet invoiced. Used here as the proxy for OPEN VALUE — what the customer ordered and has not yet been billed for. Caveat: it includes goods already shipped but not yet invoiced, so it slightly overstates true unshipped value.</t>
  </si>
  <si>
    <t xml:space="preserve">Fulfilled % (calculated)</t>
  </si>
  <si>
    <t xml:space="preserve">(Line Total - Unbilled) / Line Total. A VALUE measure, not a quantity measure. SO366417 (Elburgon Bidii) shows 100% yet is still Back Order — the residual open lines are zero-value / free items. Always confirm against line-level Open Qty before telling a customer an order is complete.</t>
  </si>
  <si>
    <t xml:space="preserve">Shipments</t>
  </si>
  <si>
    <t xml:space="preserve">Count of distinct shipment numbers raised against the order. 0 = nothing has left the warehouse at all. 2+ = the order is being filled in drips as stock trickles in.</t>
  </si>
  <si>
    <t xml:space="preserve">Age (days)</t>
  </si>
  <si>
    <t xml:space="preserve">Snapshot date (23/07) minus Order Date. Anything past 7 days on a Modern Trade order is a service failure — most MT customers cancel or penalise beyond that.</t>
  </si>
  <si>
    <t xml:space="preserve">Order Type PP vs SO</t>
  </si>
  <si>
    <t xml:space="preserve">The screenshot filter was Order Type = SO (72 records). The export also picked up 12 PP (Professional/Project) rows, so this file has 84 rows / 74 unique orders. Duplicate order numbers = one row per shipment, so ALWAYS de-duplicate on Order Nbr. before summing value or you will double-count.</t>
  </si>
  <si>
    <t xml:space="preserve">DATA GAPS — what to export next</t>
  </si>
  <si>
    <t xml:space="preserve">1. Line-level open quantity</t>
  </si>
  <si>
    <t xml:space="preserve">Sales Orders &gt; Open Sales Order Details (or the SO Line generic inquiry) filtered to Open Qty &gt; 0. Gives Inventory ID, Ordered Qty, Qty on Shipments, Open Qty per SKU. Without this you cannot say WHICH items are short — only which customers are waiting.</t>
  </si>
  <si>
    <t xml:space="preserve">2. Inventory availability</t>
  </si>
  <si>
    <t xml:space="preserve">Inventory &gt; Inventory Allocation Details / IN Inventory Balance by warehouse (FGS, TPFGS). Gives On Hand, Available, Available for Shipping, Allocated per Inventory ID. Screenshot 2 shows the field you need — item SIFTP0015 reads On Hand 100 CASE but Available -87 CASE, i.e. oversold by 87 cases.</t>
  </si>
  <si>
    <t xml:space="preserve">3. Inbound supply</t>
  </si>
  <si>
    <t xml:space="preserve">Purchase Orders / Production Orders with expected receipt dates per Inventory ID. This is the only place the real REASON for the shortage lives (late import, mill downtime, short shipment, MOQ timing).</t>
  </si>
  <si>
    <t xml:space="preserve">4. Daily snapshot</t>
  </si>
  <si>
    <t xml:space="preserve">Save this same export every morning to a dated folder. Diffing yesterday vs today is what produces a true "resolved / still open / newly backordered" report.</t>
  </si>
  <si>
    <t xml:space="preserve">Open back orders — order level (74 orders)</t>
  </si>
  <si>
    <t xml:space="preserve">Snapshot date:</t>
  </si>
  <si>
    <t xml:space="preserve">Order Nbr.</t>
  </si>
  <si>
    <t xml:space="preserve">Type</t>
  </si>
  <si>
    <t xml:space="preserve">Order Date</t>
  </si>
  <si>
    <t xml:space="preserve">Customer Name</t>
  </si>
  <si>
    <t xml:space="preserve">Main Account</t>
  </si>
  <si>
    <t xml:space="preserve">Customer Group</t>
  </si>
  <si>
    <t xml:space="preserve">Category</t>
  </si>
  <si>
    <t xml:space="preserve">Ordered Qty</t>
  </si>
  <si>
    <t xml:space="preserve">Line Total (KES)</t>
  </si>
  <si>
    <t xml:space="preserve">Open / Unbilled (KES)</t>
  </si>
  <si>
    <t xml:space="preserve">Fulfilled %</t>
  </si>
  <si>
    <t xml:space="preserve">Fill stage</t>
  </si>
  <si>
    <t xml:space="preserve">Priority flag</t>
  </si>
  <si>
    <t xml:space="preserve">SO367174</t>
  </si>
  <si>
    <t xml:space="preserve">SO</t>
  </si>
  <si>
    <t xml:space="preserve">Goodlife Pharmacy Ltd</t>
  </si>
  <si>
    <t xml:space="preserve">Consumer sales</t>
  </si>
  <si>
    <t xml:space="preserve">Pharmacy</t>
  </si>
  <si>
    <t xml:space="preserve">SO363506</t>
  </si>
  <si>
    <t xml:space="preserve">Khetia Drapers Ltd - Plus</t>
  </si>
  <si>
    <t xml:space="preserve">Khetia Drapers Ltd</t>
  </si>
  <si>
    <t xml:space="preserve">Modern Trade T2</t>
  </si>
  <si>
    <t xml:space="preserve">SO365985</t>
  </si>
  <si>
    <t xml:space="preserve">Sam West Distributors LTD</t>
  </si>
  <si>
    <t xml:space="preserve">General Trade</t>
  </si>
  <si>
    <t xml:space="preserve">SO363491</t>
  </si>
  <si>
    <t xml:space="preserve">Khetia Drapers Ltd - Gigamart</t>
  </si>
  <si>
    <t xml:space="preserve">SO367069</t>
  </si>
  <si>
    <t xml:space="preserve">PP</t>
  </si>
  <si>
    <t xml:space="preserve">Cash Sale A/C - Professional Sales</t>
  </si>
  <si>
    <t xml:space="preserve">Kim-Fay Professional</t>
  </si>
  <si>
    <t xml:space="preserve">(not classified)</t>
  </si>
  <si>
    <t xml:space="preserve">SO363495</t>
  </si>
  <si>
    <t xml:space="preserve">Khetia Drapers Ltd - Eldoret CBD</t>
  </si>
  <si>
    <t xml:space="preserve">SO363507</t>
  </si>
  <si>
    <t xml:space="preserve">Khetia Drapers Ltd - Kakamega Poa</t>
  </si>
  <si>
    <t xml:space="preserve">SO363603</t>
  </si>
  <si>
    <t xml:space="preserve">Khetia Drapers Ltd - Thika</t>
  </si>
  <si>
    <t xml:space="preserve">SO363504</t>
  </si>
  <si>
    <t xml:space="preserve">Khetia Drapers Ltd - Cross Roads</t>
  </si>
  <si>
    <t xml:space="preserve">SO363621</t>
  </si>
  <si>
    <t xml:space="preserve">Khetia Drapers Ltd - Mirema</t>
  </si>
  <si>
    <t xml:space="preserve">SO367051</t>
  </si>
  <si>
    <t xml:space="preserve">Stage Mattresses Ltd</t>
  </si>
  <si>
    <t xml:space="preserve">SO367035</t>
  </si>
  <si>
    <t xml:space="preserve">Majid Al Futtaim Hypermarkets Ltd - Business Bay Square</t>
  </si>
  <si>
    <t xml:space="preserve">Majid Al Futtaim Hypermarkets Ltd</t>
  </si>
  <si>
    <t xml:space="preserve">Modern Trade T1</t>
  </si>
  <si>
    <t xml:space="preserve">SO363611</t>
  </si>
  <si>
    <t xml:space="preserve">Khetia Drapers Ltd - Limuru</t>
  </si>
  <si>
    <t xml:space="preserve">SO363496</t>
  </si>
  <si>
    <t xml:space="preserve">Khetia Drapers Ltd - Checkpoint</t>
  </si>
  <si>
    <t xml:space="preserve">SO367113</t>
  </si>
  <si>
    <t xml:space="preserve">Ava Apotheke Ltd</t>
  </si>
  <si>
    <t xml:space="preserve">SO363497</t>
  </si>
  <si>
    <t xml:space="preserve">Khetia Drapers Ltd - Dala</t>
  </si>
  <si>
    <t xml:space="preserve">SO363493</t>
  </si>
  <si>
    <t xml:space="preserve">Khetia Drapers Ltd - Midtown</t>
  </si>
  <si>
    <t xml:space="preserve">SO363584</t>
  </si>
  <si>
    <t xml:space="preserve">Khetia Drapers Ltd - Meru</t>
  </si>
  <si>
    <t xml:space="preserve">SO363577</t>
  </si>
  <si>
    <t xml:space="preserve">Khetia Drapers Ltd - Nyeri</t>
  </si>
  <si>
    <t xml:space="preserve">SO363499</t>
  </si>
  <si>
    <t xml:space="preserve">Khetia Drapers Ltd - Chuka</t>
  </si>
  <si>
    <t xml:space="preserve">SO363502</t>
  </si>
  <si>
    <t xml:space="preserve">Khetia Drapers Ltd - Webuye</t>
  </si>
  <si>
    <t xml:space="preserve">SO366768</t>
  </si>
  <si>
    <t xml:space="preserve">Golden Jubilee Ltd</t>
  </si>
  <si>
    <t xml:space="preserve">SO363498</t>
  </si>
  <si>
    <t xml:space="preserve">Khetia Drapers Ltd - Victoria</t>
  </si>
  <si>
    <t xml:space="preserve">SO365028</t>
  </si>
  <si>
    <t xml:space="preserve">Quickmart Ngong Road</t>
  </si>
  <si>
    <t xml:space="preserve">Quick Mart Ltd</t>
  </si>
  <si>
    <t xml:space="preserve">SO363505</t>
  </si>
  <si>
    <t xml:space="preserve">Khetia Drapers Ltd - Euro</t>
  </si>
  <si>
    <t xml:space="preserve">SO363501</t>
  </si>
  <si>
    <t xml:space="preserve">Khetia Drapers Ltd - Highlands</t>
  </si>
  <si>
    <t xml:space="preserve">SO363494</t>
  </si>
  <si>
    <t xml:space="preserve">Khetia Drapers Ltd - Naivasha</t>
  </si>
  <si>
    <t xml:space="preserve">SO365904</t>
  </si>
  <si>
    <t xml:space="preserve">SO364962</t>
  </si>
  <si>
    <t xml:space="preserve">Quick Mart Ltd- Nakuru Statehouse</t>
  </si>
  <si>
    <t xml:space="preserve">SO366830</t>
  </si>
  <si>
    <t xml:space="preserve">Linawi Pharmaceuticals</t>
  </si>
  <si>
    <t xml:space="preserve">SO367021</t>
  </si>
  <si>
    <t xml:space="preserve">Majid Al Futtaim Hypermarkets Ltd - The Hub</t>
  </si>
  <si>
    <t xml:space="preserve">SO363503</t>
  </si>
  <si>
    <t xml:space="preserve">Khetia Drapers Ltd- Kahawa</t>
  </si>
  <si>
    <t xml:space="preserve">SO361397</t>
  </si>
  <si>
    <t xml:space="preserve">Bluewave Multisupplies Ltd</t>
  </si>
  <si>
    <t xml:space="preserve">SO363482</t>
  </si>
  <si>
    <t xml:space="preserve">Maguna's Superstore (K) Ltd - EMBU</t>
  </si>
  <si>
    <t xml:space="preserve">Maguna's Super Stores (K) Ltd</t>
  </si>
  <si>
    <t xml:space="preserve">SO363474</t>
  </si>
  <si>
    <t xml:space="preserve">Maguna's Superstore (K) Ltd - TEKETEKE</t>
  </si>
  <si>
    <t xml:space="preserve">SO364971</t>
  </si>
  <si>
    <t xml:space="preserve">Quick Mart - Karen</t>
  </si>
  <si>
    <t xml:space="preserve">SO363500</t>
  </si>
  <si>
    <t xml:space="preserve">Khetia Drapers Ltd - Maua</t>
  </si>
  <si>
    <t xml:space="preserve">SO366795</t>
  </si>
  <si>
    <t xml:space="preserve">Super Cosmetics Limited - Junction Mall</t>
  </si>
  <si>
    <t xml:space="preserve">Super Cosmetics Limited</t>
  </si>
  <si>
    <t xml:space="preserve">SO366783</t>
  </si>
  <si>
    <t xml:space="preserve">Sigona Golf Club</t>
  </si>
  <si>
    <t xml:space="preserve">SO362943</t>
  </si>
  <si>
    <t xml:space="preserve">SO363511</t>
  </si>
  <si>
    <t xml:space="preserve">Karen Provision Stores Ltd</t>
  </si>
  <si>
    <t xml:space="preserve">SO364948</t>
  </si>
  <si>
    <t xml:space="preserve">Quick Mart Ltd - Rongai</t>
  </si>
  <si>
    <t xml:space="preserve">SO364955</t>
  </si>
  <si>
    <t xml:space="preserve">Quick Mart Ltd - Nakuru</t>
  </si>
  <si>
    <t xml:space="preserve">SO367015</t>
  </si>
  <si>
    <t xml:space="preserve">Majid Al Futtaim Hypermarkets Ltd- Sarit Centre</t>
  </si>
  <si>
    <t xml:space="preserve">SO366998</t>
  </si>
  <si>
    <t xml:space="preserve">Majid Al Futtaim Hypermarkets Ltd - Maasai Mall</t>
  </si>
  <si>
    <t xml:space="preserve">SO366172</t>
  </si>
  <si>
    <t xml:space="preserve">Food Gourmet Limited</t>
  </si>
  <si>
    <t xml:space="preserve">SO363475</t>
  </si>
  <si>
    <t xml:space="preserve">SO363484</t>
  </si>
  <si>
    <t xml:space="preserve">SO363480</t>
  </si>
  <si>
    <t xml:space="preserve">SO366814</t>
  </si>
  <si>
    <t xml:space="preserve">Creative Consolidated Systems Ltd - Safaricom</t>
  </si>
  <si>
    <t xml:space="preserve">Creative Consolidated Systems Ltd</t>
  </si>
  <si>
    <t xml:space="preserve">SO365249</t>
  </si>
  <si>
    <t xml:space="preserve">Samco Holdings Ltd (Eka Hotel)</t>
  </si>
  <si>
    <t xml:space="preserve">SO363481</t>
  </si>
  <si>
    <t xml:space="preserve">SO363470</t>
  </si>
  <si>
    <t xml:space="preserve">Maguna's Superstore (K) Ltd - Embu Dallas</t>
  </si>
  <si>
    <t xml:space="preserve">SO363472</t>
  </si>
  <si>
    <t xml:space="preserve">SO362544</t>
  </si>
  <si>
    <t xml:space="preserve">Wells Farmart Limited</t>
  </si>
  <si>
    <t xml:space="preserve">SO363473</t>
  </si>
  <si>
    <t xml:space="preserve">SO363471</t>
  </si>
  <si>
    <t xml:space="preserve">Maguna's Super stores (K) Ltd - Kahawa</t>
  </si>
  <si>
    <t xml:space="preserve">SO366843</t>
  </si>
  <si>
    <t xml:space="preserve">Stedmak Group of Hotels</t>
  </si>
  <si>
    <t xml:space="preserve">SO365556</t>
  </si>
  <si>
    <t xml:space="preserve">Eka Hotel Ltd-Eldoret</t>
  </si>
  <si>
    <t xml:space="preserve">SO366187</t>
  </si>
  <si>
    <t xml:space="preserve">SO366429</t>
  </si>
  <si>
    <t xml:space="preserve">Sheal Limited</t>
  </si>
  <si>
    <t xml:space="preserve">SO365917</t>
  </si>
  <si>
    <t xml:space="preserve">Cash Sale Staff</t>
  </si>
  <si>
    <t xml:space="preserve">Direct To Consumer (Cash Sale)</t>
  </si>
  <si>
    <t xml:space="preserve">SO367052</t>
  </si>
  <si>
    <t xml:space="preserve">East African Chains Ltd</t>
  </si>
  <si>
    <t xml:space="preserve">SO365875</t>
  </si>
  <si>
    <t xml:space="preserve">Kcssa East Africa Ltd - Stocks</t>
  </si>
  <si>
    <t xml:space="preserve">Kcssa East Africa Ltd - PO</t>
  </si>
  <si>
    <t xml:space="preserve">Other</t>
  </si>
  <si>
    <t xml:space="preserve">SO365265</t>
  </si>
  <si>
    <t xml:space="preserve">Cash Sale A/C - Aptamil</t>
  </si>
  <si>
    <t xml:space="preserve">SO363994</t>
  </si>
  <si>
    <t xml:space="preserve">SO362188</t>
  </si>
  <si>
    <t xml:space="preserve">SO365849</t>
  </si>
  <si>
    <t xml:space="preserve">SO367037</t>
  </si>
  <si>
    <t xml:space="preserve">SO365663</t>
  </si>
  <si>
    <t xml:space="preserve">SO362695</t>
  </si>
  <si>
    <t xml:space="preserve">SO361051</t>
  </si>
  <si>
    <t xml:space="preserve">Nairobi Java House Ltd</t>
  </si>
  <si>
    <t xml:space="preserve">SO366396</t>
  </si>
  <si>
    <t xml:space="preserve">The Address Management Company Limited</t>
  </si>
  <si>
    <t xml:space="preserve">SO366417</t>
  </si>
  <si>
    <t xml:space="preserve">Elburgon Bidii Store Ltd</t>
  </si>
  <si>
    <t xml:space="preserve">TOTAL</t>
  </si>
  <si>
    <t xml:space="preserve">Back order position — 01 to 23 July 2026</t>
  </si>
  <si>
    <t xml:space="preserve">All figures pull from Order Detail.</t>
  </si>
  <si>
    <t xml:space="preserve">Metric</t>
  </si>
  <si>
    <t xml:space="preserve">Value</t>
  </si>
  <si>
    <t xml:space="preserve">Open back orders (unique)</t>
  </si>
  <si>
    <t xml:space="preserve">Total order value on back order (KES)</t>
  </si>
  <si>
    <t xml:space="preserve">Open / unbilled value (KES)</t>
  </si>
  <si>
    <t xml:space="preserve">Value already fulfilled (KES)</t>
  </si>
  <si>
    <t xml:space="preserve">Overall value fill rate</t>
  </si>
  <si>
    <t xml:space="preserve">Orders with ZERO shipments raised</t>
  </si>
  <si>
    <t xml:space="preserve">Open value on those orders (KES)</t>
  </si>
  <si>
    <t xml:space="preserve">Orders older than 7 days</t>
  </si>
  <si>
    <t xml:space="preserve">Open value older than 7 days (KES)</t>
  </si>
  <si>
    <t xml:space="preserve">Flagged ESCALATE</t>
  </si>
  <si>
    <t xml:space="preserve">By category</t>
  </si>
  <si>
    <t xml:space="preserve">Orders</t>
  </si>
  <si>
    <t xml:space="preserve">Order value (KES)</t>
  </si>
  <si>
    <t xml:space="preserve">Open value (KES)</t>
  </si>
  <si>
    <t xml:space="preserve">Fill rate</t>
  </si>
  <si>
    <t xml:space="preserve">Total</t>
  </si>
  <si>
    <t xml:space="preserve">By age bucket</t>
  </si>
  <si>
    <t xml:space="preserve">Age bucket</t>
  </si>
  <si>
    <t xml:space="preserve">Lower</t>
  </si>
  <si>
    <t xml:space="preserve">Upper</t>
  </si>
  <si>
    <t xml:space="preserve">Same day</t>
  </si>
  <si>
    <t xml:space="preserve">1-3 days</t>
  </si>
  <si>
    <t xml:space="preserve">4-7 days</t>
  </si>
  <si>
    <t xml:space="preserve">8-14 days</t>
  </si>
  <si>
    <t xml:space="preserve">15+ days</t>
  </si>
  <si>
    <t xml:space="preserve">Where the back order sits — by trading account</t>
  </si>
  <si>
    <t xml:space="preserve">Concentration matters more than the total: a few accounts carry most of the exposure.</t>
  </si>
  <si>
    <t xml:space="preserve">Main account</t>
  </si>
  <si>
    <t xml:space="preserve">Oldest order (days)</t>
  </si>
  <si>
    <t xml:space="preserve">Orders not started</t>
  </si>
  <si>
    <t xml:space="preserve">All orders created 23 July 2026 — status mix</t>
  </si>
  <si>
    <t xml:space="preserve">Second file. Shows what proportion of one day's intake fell into back order, and what was blocked for credit rather than stock.</t>
  </si>
  <si>
    <t xml:space="preserve">Status</t>
  </si>
  <si>
    <t xml:space="preserve">% of orders</t>
  </si>
  <si>
    <t xml:space="preserve">Value (KES)</t>
  </si>
  <si>
    <t xml:space="preserve">% of value</t>
  </si>
  <si>
    <t xml:space="preserve">Shipping</t>
  </si>
  <si>
    <t xml:space="preserve">Completed</t>
  </si>
  <si>
    <t xml:space="preserve">Back Order</t>
  </si>
  <si>
    <t xml:space="preserve">Rejected</t>
  </si>
  <si>
    <t xml:space="preserve">Pending Approval</t>
  </si>
  <si>
    <t xml:space="preserve">On Hold</t>
  </si>
  <si>
    <t xml:space="preserve">Open</t>
  </si>
  <si>
    <t xml:space="preserve">Orders rejected on 23 July — these are CREDIT blocks, not stock blocks</t>
  </si>
  <si>
    <t xml:space="preserve">Customer</t>
  </si>
  <si>
    <t xml:space="preserve">Rejection reason</t>
  </si>
  <si>
    <t xml:space="preserve">SO366958</t>
  </si>
  <si>
    <t xml:space="preserve">Golden Two Distributors</t>
  </si>
  <si>
    <t xml:space="preserve">Account is in arrears</t>
  </si>
  <si>
    <t xml:space="preserve">SO366962</t>
  </si>
  <si>
    <t xml:space="preserve">DEFWES DOD: Water Works</t>
  </si>
  <si>
    <t xml:space="preserve">SO366955</t>
  </si>
  <si>
    <t xml:space="preserve">SO367196</t>
  </si>
  <si>
    <t xml:space="preserve">ILRI</t>
  </si>
  <si>
    <t xml:space="preserve">SO366973</t>
  </si>
  <si>
    <t xml:space="preserve">DEFWES Langata Barracks</t>
  </si>
  <si>
    <t xml:space="preserve">SO366974</t>
  </si>
  <si>
    <t xml:space="preserve">SO366977</t>
  </si>
  <si>
    <t xml:space="preserve">SO367077</t>
  </si>
  <si>
    <t xml:space="preserve">Chester Hotel</t>
  </si>
  <si>
    <t xml:space="preserve">SO367201</t>
  </si>
  <si>
    <t xml:space="preserve">Kolobot Gardens Limited</t>
  </si>
  <si>
    <t xml:space="preserve">Client on Upfront - Share Payment</t>
  </si>
  <si>
    <t xml:space="preserve">SO366932</t>
  </si>
  <si>
    <t xml:space="preserve">Bidii Supermarket - Matuu</t>
  </si>
  <si>
    <t xml:space="preserve">Reasons for shortage — what the data supports, and what it cannot</t>
  </si>
  <si>
    <t xml:space="preserve">The two files contain no SKU-level or inventory data. Everything below is either an observed pattern (evidence stated) or a hypothesis that needs the exports listed on Read Me.</t>
  </si>
  <si>
    <t xml:space="preserve">Pattern observed</t>
  </si>
  <si>
    <t xml:space="preserve">Evidence in the data</t>
  </si>
  <si>
    <t xml:space="preserve">Most likely cause</t>
  </si>
  <si>
    <t xml:space="preserve">Confidence</t>
  </si>
  <si>
    <t xml:space="preserve">How to confirm</t>
  </si>
  <si>
    <t xml:space="preserve">Single bulk MT drop on 10 July still ~59% filled after 13 days</t>
  </si>
  <si>
    <t xml:space="preserve">32 orders dated 10/07 (Khetia Drapers 21 branches, Maguna's 10, Karen Provision 1). KES 2.88m ordered, KES 1.20m still open. Every one partially shipped — so stock existed, just not enough.</t>
  </si>
  <si>
    <t xml:space="preserve">A month-start branch-replenishment drop that exceeded available cover. Allocation spread thinly across branches rather than filling priority stores first.</t>
  </si>
  <si>
    <t xml:space="preserve">High — pattern is unambiguous</t>
  </si>
  <si>
    <t xml:space="preserve">Pull Open Qty by Inventory ID for these 32 orders; if the same 5-10 SKUs appear on all of them it is a supply shortage, if it is scattered it is an allocation-policy issue.</t>
  </si>
  <si>
    <t xml:space="preserve">Carrefour (Majid Al Futtaim) and Quick Mart orders at 0% — nothing shipped at all</t>
  </si>
  <si>
    <t xml:space="preserve">10 orders across 5 MAF branches and 5 Quick Mart branches, KES 273k open, ZERO shipments raised. Small quantities (6-24 units). Repeating unit values (KES 2,756.90 and KES 2,542.53) across branches.</t>
  </si>
  <si>
    <t xml:space="preserve">One or two specific SKUs are at zero available. Because the branch orders are single-line, the whole order blocks. This is a hard out-of-stock, not a partial shortage.</t>
  </si>
  <si>
    <t xml:space="preserve">High — the repeating unit price points to a common SKU</t>
  </si>
  <si>
    <t xml:space="preserve">Open any one of these orders (e.g. SO367035) and read the Inventory ID on the open line, then check Available in the FGS warehouse.</t>
  </si>
  <si>
    <t xml:space="preserve">Goodlife Pharmacy SO367174 — KES 1.89m, nothing shipped</t>
  </si>
  <si>
    <t xml:space="preserve">Largest single exposure in the file. 1,188 units, 0 shipments, raised same day (23/07).</t>
  </si>
  <si>
    <t xml:space="preserve">Most likely still in normal same-day processing rather than a true shortage. Order was only hours old at snapshot.</t>
  </si>
  <si>
    <t xml:space="preserve">Low — needs a next-day re-check</t>
  </si>
  <si>
    <t xml:space="preserve">Re-run the report on 24/07. If it is still Back Order at 0%, escalate; if it has moved to Shipping it was just processing lag and should be excluded from shortage reporting.</t>
  </si>
  <si>
    <t xml:space="preserve">Overselling — negative Available on stock that is physically on hand</t>
  </si>
  <si>
    <t xml:space="preserve">Screenshot 2, item SIFTP0015 (Sifa TP Emb. Unwrap Twinpack 20x2s): On Hand 100 CASE but Available -87 CASE, Available for Shipping 0.00.</t>
  </si>
  <si>
    <t xml:space="preserve">Commitments (other open orders) exceed on-hand. Sales is taking orders against stock already promised elsewhere. Nothing is missing from the warehouse — it is a booking-discipline problem.</t>
  </si>
  <si>
    <t xml:space="preserve">High — read directly off the screen</t>
  </si>
  <si>
    <t xml:space="preserve">Run Inventory Allocation Details for the top short SKUs. If On Hand &gt; 0 while Available &lt; 0 across several items, the fix is an ATP (available-to-promise) check at order entry, not more stock.</t>
  </si>
  <si>
    <t xml:space="preserve">Orders being filled in multiple drips</t>
  </si>
  <si>
    <t xml:space="preserve">SO361051 (Java House) has 4 shipments over 22 days; SO365985 (Sam West) 3 shipments in 3 days; SO367051 (Stage Mattresses) 2 same-day shipments.</t>
  </si>
  <si>
    <t xml:space="preserve">Stock arriving in small tranches and being released immediately. Indicates hand-to-mouth supply on those lines rather than a single stockout event.</t>
  </si>
  <si>
    <t xml:space="preserve">Medium</t>
  </si>
  <si>
    <t xml:space="preserve">Compare shipment dates against goods-receipt dates on the relevant POs / production orders.</t>
  </si>
  <si>
    <t xml:space="preserve">Free / zero-value lines keeping orders open</t>
  </si>
  <si>
    <t xml:space="preserve">SO366417 (Elburgon Bidii) shows Unbilled = 0 yet status is still Back Order. Screenshot 2 shows several lines with Free Item ticked and value 0.00.</t>
  </si>
  <si>
    <t xml:space="preserve">Promotional free-goods lines have no value, so value-based fill rate reads 100% while quantity is still outstanding. These inflate the back order count without inflating exposure.</t>
  </si>
  <si>
    <t xml:space="preserve">High</t>
  </si>
  <si>
    <t xml:space="preserve">Filter the line-level report on Free Item = Yes and report those separately from commercial shortfall.</t>
  </si>
  <si>
    <t xml:space="preserve">NOT a stock problem — credit blocks</t>
  </si>
  <si>
    <t xml:space="preserve">On 23/07 alone, 10 orders worth KES 1.08m were Rejected. 8 of the 10 read "Account is in arrears".</t>
  </si>
  <si>
    <t xml:space="preserve">These never reach the warehouse and must be kept out of any fill-rate or shortage metric, or they will make supply look worse than it is.</t>
  </si>
  <si>
    <t xml:space="preserve">Already confirmed by the Rejection Reason field.</t>
  </si>
  <si>
    <t xml:space="preserve">CANNOT BE ANSWERED FROM THESE FILES</t>
  </si>
  <si>
    <t xml:space="preserve">Neither file has an Inventory ID, Open Qty, or any stock balance column. There is also no historical snapshot.</t>
  </si>
  <si>
    <t xml:space="preserve">Which specific items are short, how short, whether stock has since come back, and why it went short (late import / mill downtime / short shipment / MOQ timing) all sit outside this export.</t>
  </si>
  <si>
    <t xml:space="preserve">—</t>
  </si>
  <si>
    <t xml:space="preserve">Export the four datasets listed on the Read Me tab. Item 1 (line-level Open Qty) and item 2 (inventory availability) together give you the "check inventory and compare" view you asked for.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</si>
</sst>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General"/>
    <numFmt numFmtId="167" formatCode="#,##0;\(#,##0\);\-"/>
    <numFmt numFmtId="168" formatCode="0.0%"/>
    <numFmt numFmtId="169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</row>
    <row r="5" customFormat="false" ht="36" hidden="false" customHeight="true" outlineLevel="0" collapsed="false">
      <c r="A5" s="4" t="s">
        <v>4</v>
      </c>
      <c r="B5" s="4" t="s">
        <v>5</v>
      </c>
    </row>
    <row r="6" customFormat="false" ht="60" hidden="false" customHeight="true" outlineLevel="0" collapsed="false">
      <c r="A6" s="4" t="s">
        <v>6</v>
      </c>
      <c r="B6" s="4" t="s">
        <v>7</v>
      </c>
    </row>
    <row r="7" customFormat="false" ht="30" hidden="false" customHeight="true" outlineLevel="0" collapsed="false">
      <c r="A7" s="4" t="s">
        <v>8</v>
      </c>
      <c r="B7" s="4" t="s">
        <v>9</v>
      </c>
    </row>
    <row r="8" customFormat="false" ht="36" hidden="false" customHeight="true" outlineLevel="0" collapsed="false">
      <c r="A8" s="4" t="s">
        <v>10</v>
      </c>
      <c r="B8" s="4" t="s">
        <v>11</v>
      </c>
    </row>
    <row r="9" customFormat="false" ht="48" hidden="false" customHeight="true" outlineLevel="0" collapsed="false">
      <c r="A9" s="4" t="s">
        <v>12</v>
      </c>
      <c r="B9" s="4" t="s">
        <v>13</v>
      </c>
    </row>
    <row r="10" customFormat="false" ht="30" hidden="false" customHeight="true" outlineLevel="0" collapsed="false">
      <c r="A10" s="4" t="s">
        <v>14</v>
      </c>
      <c r="B10" s="4" t="s">
        <v>15</v>
      </c>
    </row>
    <row r="11" customFormat="false" ht="30" hidden="false" customHeight="true" outlineLevel="0" collapsed="false">
      <c r="A11" s="4" t="s">
        <v>16</v>
      </c>
      <c r="B11" s="4" t="s">
        <v>17</v>
      </c>
    </row>
    <row r="12" customFormat="false" ht="48" hidden="false" customHeight="true" outlineLevel="0" collapsed="false">
      <c r="A12" s="4" t="s">
        <v>18</v>
      </c>
      <c r="B12" s="4" t="s">
        <v>19</v>
      </c>
    </row>
    <row r="13" customFormat="false" ht="30" hidden="false" customHeight="true" outlineLevel="0" collapsed="false">
      <c r="A13" s="5" t="s">
        <v>20</v>
      </c>
      <c r="B13" s="6"/>
    </row>
    <row r="14" customFormat="false" ht="36" hidden="false" customHeight="true" outlineLevel="0" collapsed="false">
      <c r="A14" s="4" t="s">
        <v>21</v>
      </c>
      <c r="B14" s="4" t="s">
        <v>22</v>
      </c>
    </row>
    <row r="15" customFormat="false" ht="48" hidden="false" customHeight="true" outlineLevel="0" collapsed="false">
      <c r="A15" s="4" t="s">
        <v>23</v>
      </c>
      <c r="B15" s="4" t="s">
        <v>24</v>
      </c>
    </row>
    <row r="16" customFormat="false" ht="36" hidden="false" customHeight="true" outlineLevel="0" collapsed="false">
      <c r="A16" s="4" t="s">
        <v>25</v>
      </c>
      <c r="B16" s="4" t="s">
        <v>26</v>
      </c>
    </row>
    <row r="17" customFormat="false" ht="30" hidden="false" customHeight="true" outlineLevel="0" collapsed="false">
      <c r="A17" s="4" t="s">
        <v>27</v>
      </c>
      <c r="B17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8" min="7" style="0" width="20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7"/>
    <col collapsed="false" customWidth="true" hidden="false" outlineLevel="0" max="13" min="12" style="0" width="11"/>
    <col collapsed="false" customWidth="true" hidden="false" outlineLevel="0" max="14" min="14" style="0" width="14"/>
    <col collapsed="false" customWidth="true" hidden="false" outlineLevel="0" max="15" min="15" style="0" width="13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7" t="s">
        <v>30</v>
      </c>
      <c r="B2" s="8" t="n">
        <v>46226</v>
      </c>
    </row>
    <row r="4" customFormat="false" ht="30" hidden="false" customHeight="true" outlineLevel="0" collapsed="false">
      <c r="A4" s="3" t="s">
        <v>31</v>
      </c>
      <c r="B4" s="3" t="s">
        <v>32</v>
      </c>
      <c r="C4" s="3" t="s">
        <v>33</v>
      </c>
      <c r="D4" s="3" t="s">
        <v>16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  <c r="M4" s="3" t="s">
        <v>14</v>
      </c>
      <c r="N4" s="3" t="s">
        <v>42</v>
      </c>
      <c r="O4" s="3" t="s">
        <v>43</v>
      </c>
    </row>
    <row r="5" customFormat="false" ht="15" hidden="false" customHeight="false" outlineLevel="0" collapsed="false">
      <c r="A5" s="9" t="s">
        <v>44</v>
      </c>
      <c r="B5" s="9" t="s">
        <v>45</v>
      </c>
      <c r="C5" s="10" t="n">
        <v>46226</v>
      </c>
      <c r="D5" s="11" t="n">
        <f aca="false">$B$2-C5</f>
        <v>0</v>
      </c>
      <c r="E5" s="9" t="s">
        <v>46</v>
      </c>
      <c r="F5" s="9" t="s">
        <v>46</v>
      </c>
      <c r="G5" s="9" t="s">
        <v>47</v>
      </c>
      <c r="H5" s="9" t="s">
        <v>48</v>
      </c>
      <c r="I5" s="9" t="n">
        <v>1188</v>
      </c>
      <c r="J5" s="12" t="n">
        <v>1892526.2</v>
      </c>
      <c r="K5" s="12" t="n">
        <v>1892526.2</v>
      </c>
      <c r="L5" s="13" t="n">
        <f aca="false">IFERROR((J5-K5)/J5,"")</f>
        <v>0</v>
      </c>
      <c r="M5" s="9" t="n">
        <v>0</v>
      </c>
      <c r="N5" s="11" t="str">
        <f aca="false">IF(M5=0,"Not started",IF(L5&gt;=0.9999,"Value complete","Partial"))</f>
        <v>Not started</v>
      </c>
      <c r="O5" s="11" t="str">
        <f aca="false">IF(AND(D5&gt;7,K5&gt;25000),"ESCALATE",IF(K5&gt;100000,"High value",IF(D5&gt;7,"Aged","Monitor")))</f>
        <v>High value</v>
      </c>
    </row>
    <row r="6" customFormat="false" ht="15" hidden="false" customHeight="false" outlineLevel="0" collapsed="false">
      <c r="A6" s="9" t="s">
        <v>49</v>
      </c>
      <c r="B6" s="9" t="s">
        <v>45</v>
      </c>
      <c r="C6" s="10" t="n">
        <v>46213</v>
      </c>
      <c r="D6" s="11" t="n">
        <f aca="false">$B$2-C6</f>
        <v>13</v>
      </c>
      <c r="E6" s="9" t="s">
        <v>50</v>
      </c>
      <c r="F6" s="9" t="s">
        <v>51</v>
      </c>
      <c r="G6" s="9" t="s">
        <v>47</v>
      </c>
      <c r="H6" s="9" t="s">
        <v>52</v>
      </c>
      <c r="I6" s="9" t="n">
        <v>1356</v>
      </c>
      <c r="J6" s="12" t="n">
        <v>193337.3</v>
      </c>
      <c r="K6" s="12" t="n">
        <v>94472.29</v>
      </c>
      <c r="L6" s="13" t="n">
        <f aca="false">IFERROR((J6-K6)/J6,"")</f>
        <v>0.511360249677636</v>
      </c>
      <c r="M6" s="9" t="n">
        <v>1</v>
      </c>
      <c r="N6" s="11" t="str">
        <f aca="false">IF(M6=0,"Not started",IF(L6&gt;=0.9999,"Value complete","Partial"))</f>
        <v>Partial</v>
      </c>
      <c r="O6" s="11" t="str">
        <f aca="false">IF(AND(D6&gt;7,K6&gt;25000),"ESCALATE",IF(K6&gt;100000,"High value",IF(D6&gt;7,"Aged","Monitor")))</f>
        <v>ESCALATE</v>
      </c>
    </row>
    <row r="7" customFormat="false" ht="15" hidden="false" customHeight="false" outlineLevel="0" collapsed="false">
      <c r="A7" s="9" t="s">
        <v>53</v>
      </c>
      <c r="B7" s="9" t="s">
        <v>45</v>
      </c>
      <c r="C7" s="10" t="n">
        <v>46223</v>
      </c>
      <c r="D7" s="11" t="n">
        <f aca="false">$B$2-C7</f>
        <v>3</v>
      </c>
      <c r="E7" s="9" t="s">
        <v>54</v>
      </c>
      <c r="F7" s="9" t="s">
        <v>54</v>
      </c>
      <c r="G7" s="9" t="s">
        <v>47</v>
      </c>
      <c r="H7" s="9" t="s">
        <v>55</v>
      </c>
      <c r="I7" s="9" t="n">
        <v>980</v>
      </c>
      <c r="J7" s="12" t="n">
        <v>842970.73</v>
      </c>
      <c r="K7" s="12" t="n">
        <v>92770.72</v>
      </c>
      <c r="L7" s="13" t="n">
        <f aca="false">IFERROR((J7-K7)/J7,"")</f>
        <v>0.889947875177113</v>
      </c>
      <c r="M7" s="9" t="n">
        <v>3</v>
      </c>
      <c r="N7" s="11" t="str">
        <f aca="false">IF(M7=0,"Not started",IF(L7&gt;=0.9999,"Value complete","Partial"))</f>
        <v>Partial</v>
      </c>
      <c r="O7" s="11" t="str">
        <f aca="false">IF(AND(D7&gt;7,K7&gt;25000),"ESCALATE",IF(K7&gt;100000,"High value",IF(D7&gt;7,"Aged","Monitor")))</f>
        <v>Monitor</v>
      </c>
    </row>
    <row r="8" customFormat="false" ht="15" hidden="false" customHeight="false" outlineLevel="0" collapsed="false">
      <c r="A8" s="9" t="s">
        <v>56</v>
      </c>
      <c r="B8" s="9" t="s">
        <v>45</v>
      </c>
      <c r="C8" s="10" t="n">
        <v>46213</v>
      </c>
      <c r="D8" s="11" t="n">
        <f aca="false">$B$2-C8</f>
        <v>13</v>
      </c>
      <c r="E8" s="9" t="s">
        <v>57</v>
      </c>
      <c r="F8" s="9" t="s">
        <v>51</v>
      </c>
      <c r="G8" s="9" t="s">
        <v>47</v>
      </c>
      <c r="H8" s="9" t="s">
        <v>52</v>
      </c>
      <c r="I8" s="9" t="n">
        <v>1086</v>
      </c>
      <c r="J8" s="12" t="n">
        <v>157062.68</v>
      </c>
      <c r="K8" s="12" t="n">
        <v>85936.8</v>
      </c>
      <c r="L8" s="13" t="n">
        <f aca="false">IFERROR((J8-K8)/J8,"")</f>
        <v>0.452850288814631</v>
      </c>
      <c r="M8" s="9" t="n">
        <v>1</v>
      </c>
      <c r="N8" s="11" t="str">
        <f aca="false">IF(M8=0,"Not started",IF(L8&gt;=0.9999,"Value complete","Partial"))</f>
        <v>Partial</v>
      </c>
      <c r="O8" s="11" t="str">
        <f aca="false">IF(AND(D8&gt;7,K8&gt;25000),"ESCALATE",IF(K8&gt;100000,"High value",IF(D8&gt;7,"Aged","Monitor")))</f>
        <v>ESCALATE</v>
      </c>
    </row>
    <row r="9" customFormat="false" ht="15" hidden="false" customHeight="false" outlineLevel="0" collapsed="false">
      <c r="A9" s="9" t="s">
        <v>58</v>
      </c>
      <c r="B9" s="9" t="s">
        <v>59</v>
      </c>
      <c r="C9" s="10" t="n">
        <v>46226</v>
      </c>
      <c r="D9" s="11" t="n">
        <f aca="false">$B$2-C9</f>
        <v>0</v>
      </c>
      <c r="E9" s="9" t="s">
        <v>60</v>
      </c>
      <c r="F9" s="9" t="s">
        <v>60</v>
      </c>
      <c r="G9" s="9" t="s">
        <v>61</v>
      </c>
      <c r="H9" s="9" t="s">
        <v>62</v>
      </c>
      <c r="I9" s="9" t="n">
        <v>32</v>
      </c>
      <c r="J9" s="12" t="n">
        <v>85655.17</v>
      </c>
      <c r="K9" s="12" t="n">
        <v>85655.17</v>
      </c>
      <c r="L9" s="13" t="n">
        <f aca="false">IFERROR((J9-K9)/J9,"")</f>
        <v>0</v>
      </c>
      <c r="M9" s="9" t="n">
        <v>0</v>
      </c>
      <c r="N9" s="11" t="str">
        <f aca="false">IF(M9=0,"Not started",IF(L9&gt;=0.9999,"Value complete","Partial"))</f>
        <v>Not started</v>
      </c>
      <c r="O9" s="11" t="str">
        <f aca="false">IF(AND(D9&gt;7,K9&gt;25000),"ESCALATE",IF(K9&gt;100000,"High value",IF(D9&gt;7,"Aged","Monitor")))</f>
        <v>Monitor</v>
      </c>
    </row>
    <row r="10" customFormat="false" ht="15" hidden="false" customHeight="false" outlineLevel="0" collapsed="false">
      <c r="A10" s="9" t="s">
        <v>63</v>
      </c>
      <c r="B10" s="9" t="s">
        <v>45</v>
      </c>
      <c r="C10" s="10" t="n">
        <v>46213</v>
      </c>
      <c r="D10" s="11" t="n">
        <f aca="false">$B$2-C10</f>
        <v>13</v>
      </c>
      <c r="E10" s="9" t="s">
        <v>64</v>
      </c>
      <c r="F10" s="9" t="s">
        <v>51</v>
      </c>
      <c r="G10" s="9" t="s">
        <v>47</v>
      </c>
      <c r="H10" s="9" t="s">
        <v>52</v>
      </c>
      <c r="I10" s="9" t="n">
        <v>1128</v>
      </c>
      <c r="J10" s="12" t="n">
        <v>151791.69</v>
      </c>
      <c r="K10" s="12" t="n">
        <v>72864.28</v>
      </c>
      <c r="L10" s="13" t="n">
        <f aca="false">IFERROR((J10-K10)/J10,"")</f>
        <v>0.519971877248353</v>
      </c>
      <c r="M10" s="9" t="n">
        <v>1</v>
      </c>
      <c r="N10" s="11" t="str">
        <f aca="false">IF(M10=0,"Not started",IF(L10&gt;=0.9999,"Value complete","Partial"))</f>
        <v>Partial</v>
      </c>
      <c r="O10" s="11" t="str">
        <f aca="false">IF(AND(D10&gt;7,K10&gt;25000),"ESCALATE",IF(K10&gt;100000,"High value",IF(D10&gt;7,"Aged","Monitor")))</f>
        <v>ESCALATE</v>
      </c>
    </row>
    <row r="11" customFormat="false" ht="15" hidden="false" customHeight="false" outlineLevel="0" collapsed="false">
      <c r="A11" s="9" t="s">
        <v>65</v>
      </c>
      <c r="B11" s="9" t="s">
        <v>45</v>
      </c>
      <c r="C11" s="10" t="n">
        <v>46213</v>
      </c>
      <c r="D11" s="11" t="n">
        <f aca="false">$B$2-C11</f>
        <v>13</v>
      </c>
      <c r="E11" s="9" t="s">
        <v>66</v>
      </c>
      <c r="F11" s="9" t="s">
        <v>51</v>
      </c>
      <c r="G11" s="9" t="s">
        <v>47</v>
      </c>
      <c r="H11" s="9" t="s">
        <v>52</v>
      </c>
      <c r="I11" s="9" t="n">
        <v>876</v>
      </c>
      <c r="J11" s="12" t="n">
        <v>123528.38</v>
      </c>
      <c r="K11" s="12" t="n">
        <v>72472.52</v>
      </c>
      <c r="L11" s="13" t="n">
        <f aca="false">IFERROR((J11-K11)/J11,"")</f>
        <v>0.413312795003059</v>
      </c>
      <c r="M11" s="9" t="n">
        <v>1</v>
      </c>
      <c r="N11" s="11" t="str">
        <f aca="false">IF(M11=0,"Not started",IF(L11&gt;=0.9999,"Value complete","Partial"))</f>
        <v>Partial</v>
      </c>
      <c r="O11" s="11" t="str">
        <f aca="false">IF(AND(D11&gt;7,K11&gt;25000),"ESCALATE",IF(K11&gt;100000,"High value",IF(D11&gt;7,"Aged","Monitor")))</f>
        <v>ESCALATE</v>
      </c>
    </row>
    <row r="12" customFormat="false" ht="15" hidden="false" customHeight="false" outlineLevel="0" collapsed="false">
      <c r="A12" s="9" t="s">
        <v>67</v>
      </c>
      <c r="B12" s="9" t="s">
        <v>45</v>
      </c>
      <c r="C12" s="10" t="n">
        <v>46213</v>
      </c>
      <c r="D12" s="11" t="n">
        <f aca="false">$B$2-C12</f>
        <v>13</v>
      </c>
      <c r="E12" s="9" t="s">
        <v>68</v>
      </c>
      <c r="F12" s="9" t="s">
        <v>51</v>
      </c>
      <c r="G12" s="9" t="s">
        <v>47</v>
      </c>
      <c r="H12" s="9" t="s">
        <v>52</v>
      </c>
      <c r="I12" s="9" t="n">
        <v>965</v>
      </c>
      <c r="J12" s="12" t="n">
        <v>148325.31</v>
      </c>
      <c r="K12" s="12" t="n">
        <v>70744.52</v>
      </c>
      <c r="L12" s="13" t="n">
        <f aca="false">IFERROR((J12-K12)/J12,"")</f>
        <v>0.523044853235095</v>
      </c>
      <c r="M12" s="9" t="n">
        <v>1</v>
      </c>
      <c r="N12" s="11" t="str">
        <f aca="false">IF(M12=0,"Not started",IF(L12&gt;=0.9999,"Value complete","Partial"))</f>
        <v>Partial</v>
      </c>
      <c r="O12" s="11" t="str">
        <f aca="false">IF(AND(D12&gt;7,K12&gt;25000),"ESCALATE",IF(K12&gt;100000,"High value",IF(D12&gt;7,"Aged","Monitor")))</f>
        <v>ESCALATE</v>
      </c>
    </row>
    <row r="13" customFormat="false" ht="15" hidden="false" customHeight="false" outlineLevel="0" collapsed="false">
      <c r="A13" s="9" t="s">
        <v>69</v>
      </c>
      <c r="B13" s="9" t="s">
        <v>45</v>
      </c>
      <c r="C13" s="10" t="n">
        <v>46213</v>
      </c>
      <c r="D13" s="11" t="n">
        <f aca="false">$B$2-C13</f>
        <v>13</v>
      </c>
      <c r="E13" s="9" t="s">
        <v>70</v>
      </c>
      <c r="F13" s="9" t="s">
        <v>51</v>
      </c>
      <c r="G13" s="9" t="s">
        <v>47</v>
      </c>
      <c r="H13" s="9" t="s">
        <v>52</v>
      </c>
      <c r="I13" s="9" t="n">
        <v>933</v>
      </c>
      <c r="J13" s="12" t="n">
        <v>142850.14</v>
      </c>
      <c r="K13" s="12" t="n">
        <v>69457.45</v>
      </c>
      <c r="L13" s="13" t="n">
        <f aca="false">IFERROR((J13-K13)/J13,"")</f>
        <v>0.513774015202225</v>
      </c>
      <c r="M13" s="9" t="n">
        <v>1</v>
      </c>
      <c r="N13" s="11" t="str">
        <f aca="false">IF(M13=0,"Not started",IF(L13&gt;=0.9999,"Value complete","Partial"))</f>
        <v>Partial</v>
      </c>
      <c r="O13" s="11" t="str">
        <f aca="false">IF(AND(D13&gt;7,K13&gt;25000),"ESCALATE",IF(K13&gt;100000,"High value",IF(D13&gt;7,"Aged","Monitor")))</f>
        <v>ESCALATE</v>
      </c>
    </row>
    <row r="14" customFormat="false" ht="15" hidden="false" customHeight="false" outlineLevel="0" collapsed="false">
      <c r="A14" s="9" t="s">
        <v>71</v>
      </c>
      <c r="B14" s="9" t="s">
        <v>45</v>
      </c>
      <c r="C14" s="10" t="n">
        <v>46213</v>
      </c>
      <c r="D14" s="11" t="n">
        <f aca="false">$B$2-C14</f>
        <v>13</v>
      </c>
      <c r="E14" s="9" t="s">
        <v>72</v>
      </c>
      <c r="F14" s="9" t="s">
        <v>51</v>
      </c>
      <c r="G14" s="9" t="s">
        <v>47</v>
      </c>
      <c r="H14" s="9" t="s">
        <v>52</v>
      </c>
      <c r="I14" s="9" t="n">
        <v>528</v>
      </c>
      <c r="J14" s="12" t="n">
        <v>104301.95</v>
      </c>
      <c r="K14" s="12" t="n">
        <v>68926.51</v>
      </c>
      <c r="L14" s="13" t="n">
        <f aca="false">IFERROR((J14-K14)/J14,"")</f>
        <v>0.339163745260755</v>
      </c>
      <c r="M14" s="9" t="n">
        <v>1</v>
      </c>
      <c r="N14" s="11" t="str">
        <f aca="false">IF(M14=0,"Not started",IF(L14&gt;=0.9999,"Value complete","Partial"))</f>
        <v>Partial</v>
      </c>
      <c r="O14" s="11" t="str">
        <f aca="false">IF(AND(D14&gt;7,K14&gt;25000),"ESCALATE",IF(K14&gt;100000,"High value",IF(D14&gt;7,"Aged","Monitor")))</f>
        <v>ESCALATE</v>
      </c>
    </row>
    <row r="15" customFormat="false" ht="15" hidden="false" customHeight="false" outlineLevel="0" collapsed="false">
      <c r="A15" s="9" t="s">
        <v>73</v>
      </c>
      <c r="B15" s="9" t="s">
        <v>45</v>
      </c>
      <c r="C15" s="10" t="n">
        <v>46226</v>
      </c>
      <c r="D15" s="11" t="n">
        <f aca="false">$B$2-C15</f>
        <v>0</v>
      </c>
      <c r="E15" s="9" t="s">
        <v>74</v>
      </c>
      <c r="F15" s="9" t="s">
        <v>74</v>
      </c>
      <c r="G15" s="9" t="s">
        <v>47</v>
      </c>
      <c r="H15" s="9" t="s">
        <v>55</v>
      </c>
      <c r="I15" s="9" t="n">
        <v>1793</v>
      </c>
      <c r="J15" s="12" t="n">
        <v>1444436.37</v>
      </c>
      <c r="K15" s="12" t="n">
        <v>62100</v>
      </c>
      <c r="L15" s="13" t="n">
        <f aca="false">IFERROR((J15-K15)/J15,"")</f>
        <v>0.957007451979349</v>
      </c>
      <c r="M15" s="9" t="n">
        <v>2</v>
      </c>
      <c r="N15" s="11" t="str">
        <f aca="false">IF(M15=0,"Not started",IF(L15&gt;=0.9999,"Value complete","Partial"))</f>
        <v>Partial</v>
      </c>
      <c r="O15" s="11" t="str">
        <f aca="false">IF(AND(D15&gt;7,K15&gt;25000),"ESCALATE",IF(K15&gt;100000,"High value",IF(D15&gt;7,"Aged","Monitor")))</f>
        <v>Monitor</v>
      </c>
    </row>
    <row r="16" customFormat="false" ht="15" hidden="false" customHeight="false" outlineLevel="0" collapsed="false">
      <c r="A16" s="9" t="s">
        <v>75</v>
      </c>
      <c r="B16" s="9" t="s">
        <v>45</v>
      </c>
      <c r="C16" s="10" t="n">
        <v>46226</v>
      </c>
      <c r="D16" s="11" t="n">
        <f aca="false">$B$2-C16</f>
        <v>0</v>
      </c>
      <c r="E16" s="9" t="s">
        <v>76</v>
      </c>
      <c r="F16" s="9" t="s">
        <v>77</v>
      </c>
      <c r="G16" s="9" t="s">
        <v>47</v>
      </c>
      <c r="H16" s="9" t="s">
        <v>78</v>
      </c>
      <c r="I16" s="9" t="n">
        <v>24</v>
      </c>
      <c r="J16" s="12" t="n">
        <v>61020.62</v>
      </c>
      <c r="K16" s="12" t="n">
        <v>61020.62</v>
      </c>
      <c r="L16" s="13" t="n">
        <f aca="false">IFERROR((J16-K16)/J16,"")</f>
        <v>0</v>
      </c>
      <c r="M16" s="9" t="n">
        <v>0</v>
      </c>
      <c r="N16" s="11" t="str">
        <f aca="false">IF(M16=0,"Not started",IF(L16&gt;=0.9999,"Value complete","Partial"))</f>
        <v>Not started</v>
      </c>
      <c r="O16" s="11" t="str">
        <f aca="false">IF(AND(D16&gt;7,K16&gt;25000),"ESCALATE",IF(K16&gt;100000,"High value",IF(D16&gt;7,"Aged","Monitor")))</f>
        <v>Monitor</v>
      </c>
    </row>
    <row r="17" customFormat="false" ht="15" hidden="false" customHeight="false" outlineLevel="0" collapsed="false">
      <c r="A17" s="9" t="s">
        <v>79</v>
      </c>
      <c r="B17" s="9" t="s">
        <v>45</v>
      </c>
      <c r="C17" s="10" t="n">
        <v>46213</v>
      </c>
      <c r="D17" s="11" t="n">
        <f aca="false">$B$2-C17</f>
        <v>13</v>
      </c>
      <c r="E17" s="9" t="s">
        <v>80</v>
      </c>
      <c r="F17" s="9" t="s">
        <v>51</v>
      </c>
      <c r="G17" s="9" t="s">
        <v>47</v>
      </c>
      <c r="H17" s="9" t="s">
        <v>52</v>
      </c>
      <c r="I17" s="9" t="n">
        <v>477</v>
      </c>
      <c r="J17" s="12" t="n">
        <v>99131.63</v>
      </c>
      <c r="K17" s="12" t="n">
        <v>49312.97</v>
      </c>
      <c r="L17" s="13" t="n">
        <f aca="false">IFERROR((J17-K17)/J17,"")</f>
        <v>0.502550598633353</v>
      </c>
      <c r="M17" s="9" t="n">
        <v>1</v>
      </c>
      <c r="N17" s="11" t="str">
        <f aca="false">IF(M17=0,"Not started",IF(L17&gt;=0.9999,"Value complete","Partial"))</f>
        <v>Partial</v>
      </c>
      <c r="O17" s="11" t="str">
        <f aca="false">IF(AND(D17&gt;7,K17&gt;25000),"ESCALATE",IF(K17&gt;100000,"High value",IF(D17&gt;7,"Aged","Monitor")))</f>
        <v>ESCALATE</v>
      </c>
    </row>
    <row r="18" customFormat="false" ht="15" hidden="false" customHeight="false" outlineLevel="0" collapsed="false">
      <c r="A18" s="9" t="s">
        <v>81</v>
      </c>
      <c r="B18" s="9" t="s">
        <v>45</v>
      </c>
      <c r="C18" s="10" t="n">
        <v>46213</v>
      </c>
      <c r="D18" s="11" t="n">
        <f aca="false">$B$2-C18</f>
        <v>13</v>
      </c>
      <c r="E18" s="9" t="s">
        <v>82</v>
      </c>
      <c r="F18" s="9" t="s">
        <v>51</v>
      </c>
      <c r="G18" s="9" t="s">
        <v>47</v>
      </c>
      <c r="H18" s="9" t="s">
        <v>52</v>
      </c>
      <c r="I18" s="9" t="n">
        <v>450</v>
      </c>
      <c r="J18" s="12" t="n">
        <v>98961.71</v>
      </c>
      <c r="K18" s="12" t="n">
        <v>47526.68</v>
      </c>
      <c r="L18" s="13" t="n">
        <f aca="false">IFERROR((J18-K18)/J18,"")</f>
        <v>0.519746778829913</v>
      </c>
      <c r="M18" s="9" t="n">
        <v>1</v>
      </c>
      <c r="N18" s="11" t="str">
        <f aca="false">IF(M18=0,"Not started",IF(L18&gt;=0.9999,"Value complete","Partial"))</f>
        <v>Partial</v>
      </c>
      <c r="O18" s="11" t="str">
        <f aca="false">IF(AND(D18&gt;7,K18&gt;25000),"ESCALATE",IF(K18&gt;100000,"High value",IF(D18&gt;7,"Aged","Monitor")))</f>
        <v>ESCALATE</v>
      </c>
    </row>
    <row r="19" customFormat="false" ht="15" hidden="false" customHeight="false" outlineLevel="0" collapsed="false">
      <c r="A19" s="9" t="s">
        <v>83</v>
      </c>
      <c r="B19" s="9" t="s">
        <v>45</v>
      </c>
      <c r="C19" s="10" t="n">
        <v>46226</v>
      </c>
      <c r="D19" s="11" t="n">
        <f aca="false">$B$2-C19</f>
        <v>0</v>
      </c>
      <c r="E19" s="9" t="s">
        <v>84</v>
      </c>
      <c r="F19" s="9" t="s">
        <v>84</v>
      </c>
      <c r="G19" s="9" t="s">
        <v>47</v>
      </c>
      <c r="H19" s="9" t="s">
        <v>48</v>
      </c>
      <c r="I19" s="9" t="n">
        <v>18</v>
      </c>
      <c r="J19" s="12" t="n">
        <v>44871.21</v>
      </c>
      <c r="K19" s="12" t="n">
        <v>44871.21</v>
      </c>
      <c r="L19" s="13" t="n">
        <f aca="false">IFERROR((J19-K19)/J19,"")</f>
        <v>0</v>
      </c>
      <c r="M19" s="9" t="n">
        <v>0</v>
      </c>
      <c r="N19" s="11" t="str">
        <f aca="false">IF(M19=0,"Not started",IF(L19&gt;=0.9999,"Value complete","Partial"))</f>
        <v>Not started</v>
      </c>
      <c r="O19" s="11" t="str">
        <f aca="false">IF(AND(D19&gt;7,K19&gt;25000),"ESCALATE",IF(K19&gt;100000,"High value",IF(D19&gt;7,"Aged","Monitor")))</f>
        <v>Monitor</v>
      </c>
    </row>
    <row r="20" customFormat="false" ht="15" hidden="false" customHeight="false" outlineLevel="0" collapsed="false">
      <c r="A20" s="9" t="s">
        <v>85</v>
      </c>
      <c r="B20" s="9" t="s">
        <v>45</v>
      </c>
      <c r="C20" s="10" t="n">
        <v>46213</v>
      </c>
      <c r="D20" s="11" t="n">
        <f aca="false">$B$2-C20</f>
        <v>13</v>
      </c>
      <c r="E20" s="9" t="s">
        <v>86</v>
      </c>
      <c r="F20" s="9" t="s">
        <v>51</v>
      </c>
      <c r="G20" s="9" t="s">
        <v>47</v>
      </c>
      <c r="H20" s="9" t="s">
        <v>52</v>
      </c>
      <c r="I20" s="9" t="n">
        <v>720</v>
      </c>
      <c r="J20" s="12" t="n">
        <v>104706.21</v>
      </c>
      <c r="K20" s="12" t="n">
        <v>43254.82</v>
      </c>
      <c r="L20" s="13" t="n">
        <f aca="false">IFERROR((J20-K20)/J20,"")</f>
        <v>0.586893461237877</v>
      </c>
      <c r="M20" s="9" t="n">
        <v>1</v>
      </c>
      <c r="N20" s="11" t="str">
        <f aca="false">IF(M20=0,"Not started",IF(L20&gt;=0.9999,"Value complete","Partial"))</f>
        <v>Partial</v>
      </c>
      <c r="O20" s="11" t="str">
        <f aca="false">IF(AND(D20&gt;7,K20&gt;25000),"ESCALATE",IF(K20&gt;100000,"High value",IF(D20&gt;7,"Aged","Monitor")))</f>
        <v>ESCALATE</v>
      </c>
    </row>
    <row r="21" customFormat="false" ht="15" hidden="false" customHeight="false" outlineLevel="0" collapsed="false">
      <c r="A21" s="9" t="s">
        <v>87</v>
      </c>
      <c r="B21" s="9" t="s">
        <v>45</v>
      </c>
      <c r="C21" s="10" t="n">
        <v>46213</v>
      </c>
      <c r="D21" s="11" t="n">
        <f aca="false">$B$2-C21</f>
        <v>13</v>
      </c>
      <c r="E21" s="9" t="s">
        <v>88</v>
      </c>
      <c r="F21" s="9" t="s">
        <v>51</v>
      </c>
      <c r="G21" s="9" t="s">
        <v>47</v>
      </c>
      <c r="H21" s="9" t="s">
        <v>52</v>
      </c>
      <c r="I21" s="9" t="n">
        <v>660</v>
      </c>
      <c r="J21" s="12" t="n">
        <v>93882.4</v>
      </c>
      <c r="K21" s="12" t="n">
        <v>41748.85</v>
      </c>
      <c r="L21" s="13" t="n">
        <f aca="false">IFERROR((J21-K21)/J21,"")</f>
        <v>0.555306958492753</v>
      </c>
      <c r="M21" s="9" t="n">
        <v>1</v>
      </c>
      <c r="N21" s="11" t="str">
        <f aca="false">IF(M21=0,"Not started",IF(L21&gt;=0.9999,"Value complete","Partial"))</f>
        <v>Partial</v>
      </c>
      <c r="O21" s="11" t="str">
        <f aca="false">IF(AND(D21&gt;7,K21&gt;25000),"ESCALATE",IF(K21&gt;100000,"High value",IF(D21&gt;7,"Aged","Monitor")))</f>
        <v>ESCALATE</v>
      </c>
    </row>
    <row r="22" customFormat="false" ht="15" hidden="false" customHeight="false" outlineLevel="0" collapsed="false">
      <c r="A22" s="9" t="s">
        <v>89</v>
      </c>
      <c r="B22" s="9" t="s">
        <v>45</v>
      </c>
      <c r="C22" s="10" t="n">
        <v>46213</v>
      </c>
      <c r="D22" s="11" t="n">
        <f aca="false">$B$2-C22</f>
        <v>13</v>
      </c>
      <c r="E22" s="9" t="s">
        <v>90</v>
      </c>
      <c r="F22" s="9" t="s">
        <v>51</v>
      </c>
      <c r="G22" s="9" t="s">
        <v>47</v>
      </c>
      <c r="H22" s="9" t="s">
        <v>52</v>
      </c>
      <c r="I22" s="9" t="n">
        <v>618</v>
      </c>
      <c r="J22" s="12" t="n">
        <v>95272.24</v>
      </c>
      <c r="K22" s="12" t="n">
        <v>39668.28</v>
      </c>
      <c r="L22" s="13" t="n">
        <f aca="false">IFERROR((J22-K22)/J22,"")</f>
        <v>0.583632336134849</v>
      </c>
      <c r="M22" s="9" t="n">
        <v>1</v>
      </c>
      <c r="N22" s="11" t="str">
        <f aca="false">IF(M22=0,"Not started",IF(L22&gt;=0.9999,"Value complete","Partial"))</f>
        <v>Partial</v>
      </c>
      <c r="O22" s="11" t="str">
        <f aca="false">IF(AND(D22&gt;7,K22&gt;25000),"ESCALATE",IF(K22&gt;100000,"High value",IF(D22&gt;7,"Aged","Monitor")))</f>
        <v>ESCALATE</v>
      </c>
    </row>
    <row r="23" customFormat="false" ht="15" hidden="false" customHeight="false" outlineLevel="0" collapsed="false">
      <c r="A23" s="9" t="s">
        <v>91</v>
      </c>
      <c r="B23" s="9" t="s">
        <v>45</v>
      </c>
      <c r="C23" s="10" t="n">
        <v>46213</v>
      </c>
      <c r="D23" s="11" t="n">
        <f aca="false">$B$2-C23</f>
        <v>13</v>
      </c>
      <c r="E23" s="9" t="s">
        <v>92</v>
      </c>
      <c r="F23" s="9" t="s">
        <v>51</v>
      </c>
      <c r="G23" s="9" t="s">
        <v>47</v>
      </c>
      <c r="H23" s="9" t="s">
        <v>52</v>
      </c>
      <c r="I23" s="9" t="n">
        <v>366</v>
      </c>
      <c r="J23" s="12" t="n">
        <v>64175.4</v>
      </c>
      <c r="K23" s="12" t="n">
        <v>39412.2</v>
      </c>
      <c r="L23" s="13" t="n">
        <f aca="false">IFERROR((J23-K23)/J23,"")</f>
        <v>0.385867481932329</v>
      </c>
      <c r="M23" s="9" t="n">
        <v>1</v>
      </c>
      <c r="N23" s="11" t="str">
        <f aca="false">IF(M23=0,"Not started",IF(L23&gt;=0.9999,"Value complete","Partial"))</f>
        <v>Partial</v>
      </c>
      <c r="O23" s="11" t="str">
        <f aca="false">IF(AND(D23&gt;7,K23&gt;25000),"ESCALATE",IF(K23&gt;100000,"High value",IF(D23&gt;7,"Aged","Monitor")))</f>
        <v>ESCALATE</v>
      </c>
    </row>
    <row r="24" customFormat="false" ht="15" hidden="false" customHeight="false" outlineLevel="0" collapsed="false">
      <c r="A24" s="9" t="s">
        <v>93</v>
      </c>
      <c r="B24" s="9" t="s">
        <v>45</v>
      </c>
      <c r="C24" s="10" t="n">
        <v>46213</v>
      </c>
      <c r="D24" s="11" t="n">
        <f aca="false">$B$2-C24</f>
        <v>13</v>
      </c>
      <c r="E24" s="9" t="s">
        <v>94</v>
      </c>
      <c r="F24" s="9" t="s">
        <v>51</v>
      </c>
      <c r="G24" s="9" t="s">
        <v>47</v>
      </c>
      <c r="H24" s="9" t="s">
        <v>52</v>
      </c>
      <c r="I24" s="9" t="n">
        <v>615</v>
      </c>
      <c r="J24" s="12" t="n">
        <v>84837.94</v>
      </c>
      <c r="K24" s="12" t="n">
        <v>39392.84</v>
      </c>
      <c r="L24" s="13" t="n">
        <f aca="false">IFERROR((J24-K24)/J24,"")</f>
        <v>0.535669536530472</v>
      </c>
      <c r="M24" s="9" t="n">
        <v>1</v>
      </c>
      <c r="N24" s="11" t="str">
        <f aca="false">IF(M24=0,"Not started",IF(L24&gt;=0.9999,"Value complete","Partial"))</f>
        <v>Partial</v>
      </c>
      <c r="O24" s="11" t="str">
        <f aca="false">IF(AND(D24&gt;7,K24&gt;25000),"ESCALATE",IF(K24&gt;100000,"High value",IF(D24&gt;7,"Aged","Monitor")))</f>
        <v>ESCALATE</v>
      </c>
    </row>
    <row r="25" customFormat="false" ht="15" hidden="false" customHeight="false" outlineLevel="0" collapsed="false">
      <c r="A25" s="9" t="s">
        <v>95</v>
      </c>
      <c r="B25" s="9" t="s">
        <v>45</v>
      </c>
      <c r="C25" s="10" t="n">
        <v>46213</v>
      </c>
      <c r="D25" s="11" t="n">
        <f aca="false">$B$2-C25</f>
        <v>13</v>
      </c>
      <c r="E25" s="9" t="s">
        <v>96</v>
      </c>
      <c r="F25" s="9" t="s">
        <v>51</v>
      </c>
      <c r="G25" s="9" t="s">
        <v>47</v>
      </c>
      <c r="H25" s="9" t="s">
        <v>52</v>
      </c>
      <c r="I25" s="9" t="n">
        <v>285</v>
      </c>
      <c r="J25" s="12" t="n">
        <v>48315.75</v>
      </c>
      <c r="K25" s="12" t="n">
        <v>37356.43</v>
      </c>
      <c r="L25" s="13" t="n">
        <f aca="false">IFERROR((J25-K25)/J25,"")</f>
        <v>0.226827069847824</v>
      </c>
      <c r="M25" s="9" t="n">
        <v>1</v>
      </c>
      <c r="N25" s="11" t="str">
        <f aca="false">IF(M25=0,"Not started",IF(L25&gt;=0.9999,"Value complete","Partial"))</f>
        <v>Partial</v>
      </c>
      <c r="O25" s="11" t="str">
        <f aca="false">IF(AND(D25&gt;7,K25&gt;25000),"ESCALATE",IF(K25&gt;100000,"High value",IF(D25&gt;7,"Aged","Monitor")))</f>
        <v>ESCALATE</v>
      </c>
    </row>
    <row r="26" customFormat="false" ht="15" hidden="false" customHeight="false" outlineLevel="0" collapsed="false">
      <c r="A26" s="9" t="s">
        <v>97</v>
      </c>
      <c r="B26" s="9" t="s">
        <v>45</v>
      </c>
      <c r="C26" s="10" t="n">
        <v>46225</v>
      </c>
      <c r="D26" s="11" t="n">
        <f aca="false">$B$2-C26</f>
        <v>1</v>
      </c>
      <c r="E26" s="9" t="s">
        <v>98</v>
      </c>
      <c r="F26" s="9" t="s">
        <v>98</v>
      </c>
      <c r="G26" s="9" t="s">
        <v>61</v>
      </c>
      <c r="H26" s="9" t="s">
        <v>62</v>
      </c>
      <c r="I26" s="9" t="n">
        <v>59</v>
      </c>
      <c r="J26" s="12" t="n">
        <v>148320.64</v>
      </c>
      <c r="K26" s="12" t="n">
        <v>35319.36</v>
      </c>
      <c r="L26" s="13" t="n">
        <f aca="false">IFERROR((J26-K26)/J26,"")</f>
        <v>0.76187157768467</v>
      </c>
      <c r="M26" s="9" t="n">
        <v>1</v>
      </c>
      <c r="N26" s="11" t="str">
        <f aca="false">IF(M26=0,"Not started",IF(L26&gt;=0.9999,"Value complete","Partial"))</f>
        <v>Partial</v>
      </c>
      <c r="O26" s="11" t="str">
        <f aca="false">IF(AND(D26&gt;7,K26&gt;25000),"ESCALATE",IF(K26&gt;100000,"High value",IF(D26&gt;7,"Aged","Monitor")))</f>
        <v>Monitor</v>
      </c>
    </row>
    <row r="27" customFormat="false" ht="15" hidden="false" customHeight="false" outlineLevel="0" collapsed="false">
      <c r="A27" s="9" t="s">
        <v>99</v>
      </c>
      <c r="B27" s="9" t="s">
        <v>45</v>
      </c>
      <c r="C27" s="10" t="n">
        <v>46213</v>
      </c>
      <c r="D27" s="11" t="n">
        <f aca="false">$B$2-C27</f>
        <v>13</v>
      </c>
      <c r="E27" s="9" t="s">
        <v>100</v>
      </c>
      <c r="F27" s="9" t="s">
        <v>51</v>
      </c>
      <c r="G27" s="9" t="s">
        <v>47</v>
      </c>
      <c r="H27" s="9" t="s">
        <v>52</v>
      </c>
      <c r="I27" s="9" t="n">
        <v>537</v>
      </c>
      <c r="J27" s="12" t="n">
        <v>85405.08</v>
      </c>
      <c r="K27" s="12" t="n">
        <v>34941.45</v>
      </c>
      <c r="L27" s="13" t="n">
        <f aca="false">IFERROR((J27-K27)/J27,"")</f>
        <v>0.59087386839284</v>
      </c>
      <c r="M27" s="9" t="n">
        <v>1</v>
      </c>
      <c r="N27" s="11" t="str">
        <f aca="false">IF(M27=0,"Not started",IF(L27&gt;=0.9999,"Value complete","Partial"))</f>
        <v>Partial</v>
      </c>
      <c r="O27" s="11" t="str">
        <f aca="false">IF(AND(D27&gt;7,K27&gt;25000),"ESCALATE",IF(K27&gt;100000,"High value",IF(D27&gt;7,"Aged","Monitor")))</f>
        <v>ESCALATE</v>
      </c>
    </row>
    <row r="28" customFormat="false" ht="15" hidden="false" customHeight="false" outlineLevel="0" collapsed="false">
      <c r="A28" s="9" t="s">
        <v>101</v>
      </c>
      <c r="B28" s="9" t="s">
        <v>45</v>
      </c>
      <c r="C28" s="10" t="n">
        <v>46219</v>
      </c>
      <c r="D28" s="11" t="n">
        <f aca="false">$B$2-C28</f>
        <v>7</v>
      </c>
      <c r="E28" s="9" t="s">
        <v>102</v>
      </c>
      <c r="F28" s="9" t="s">
        <v>103</v>
      </c>
      <c r="G28" s="9" t="s">
        <v>47</v>
      </c>
      <c r="H28" s="9" t="s">
        <v>78</v>
      </c>
      <c r="I28" s="9" t="n">
        <v>24</v>
      </c>
      <c r="J28" s="12" t="n">
        <v>46396.55</v>
      </c>
      <c r="K28" s="12" t="n">
        <v>33082.76</v>
      </c>
      <c r="L28" s="13" t="n">
        <f aca="false">IFERROR((J28-K28)/J28,"")</f>
        <v>0.286956465513061</v>
      </c>
      <c r="M28" s="9" t="n">
        <v>1</v>
      </c>
      <c r="N28" s="11" t="str">
        <f aca="false">IF(M28=0,"Not started",IF(L28&gt;=0.9999,"Value complete","Partial"))</f>
        <v>Partial</v>
      </c>
      <c r="O28" s="11" t="str">
        <f aca="false">IF(AND(D28&gt;7,K28&gt;25000),"ESCALATE",IF(K28&gt;100000,"High value",IF(D28&gt;7,"Aged","Monitor")))</f>
        <v>Monitor</v>
      </c>
    </row>
    <row r="29" customFormat="false" ht="15" hidden="false" customHeight="false" outlineLevel="0" collapsed="false">
      <c r="A29" s="9" t="s">
        <v>104</v>
      </c>
      <c r="B29" s="9" t="s">
        <v>45</v>
      </c>
      <c r="C29" s="10" t="n">
        <v>46213</v>
      </c>
      <c r="D29" s="11" t="n">
        <f aca="false">$B$2-C29</f>
        <v>13</v>
      </c>
      <c r="E29" s="9" t="s">
        <v>105</v>
      </c>
      <c r="F29" s="9" t="s">
        <v>51</v>
      </c>
      <c r="G29" s="9" t="s">
        <v>47</v>
      </c>
      <c r="H29" s="9" t="s">
        <v>52</v>
      </c>
      <c r="I29" s="9" t="n">
        <v>453</v>
      </c>
      <c r="J29" s="12" t="n">
        <v>69951.17</v>
      </c>
      <c r="K29" s="12" t="n">
        <v>32752.19</v>
      </c>
      <c r="L29" s="13" t="n">
        <f aca="false">IFERROR((J29-K29)/J29,"")</f>
        <v>0.53178495799284</v>
      </c>
      <c r="M29" s="9" t="n">
        <v>1</v>
      </c>
      <c r="N29" s="11" t="str">
        <f aca="false">IF(M29=0,"Not started",IF(L29&gt;=0.9999,"Value complete","Partial"))</f>
        <v>Partial</v>
      </c>
      <c r="O29" s="11" t="str">
        <f aca="false">IF(AND(D29&gt;7,K29&gt;25000),"ESCALATE",IF(K29&gt;100000,"High value",IF(D29&gt;7,"Aged","Monitor")))</f>
        <v>ESCALATE</v>
      </c>
    </row>
    <row r="30" customFormat="false" ht="15" hidden="false" customHeight="false" outlineLevel="0" collapsed="false">
      <c r="A30" s="9" t="s">
        <v>106</v>
      </c>
      <c r="B30" s="9" t="s">
        <v>45</v>
      </c>
      <c r="C30" s="10" t="n">
        <v>46213</v>
      </c>
      <c r="D30" s="11" t="n">
        <f aca="false">$B$2-C30</f>
        <v>13</v>
      </c>
      <c r="E30" s="9" t="s">
        <v>107</v>
      </c>
      <c r="F30" s="9" t="s">
        <v>51</v>
      </c>
      <c r="G30" s="9" t="s">
        <v>47</v>
      </c>
      <c r="H30" s="9" t="s">
        <v>52</v>
      </c>
      <c r="I30" s="9" t="n">
        <v>432</v>
      </c>
      <c r="J30" s="12" t="n">
        <v>62004</v>
      </c>
      <c r="K30" s="12" t="n">
        <v>32404.35</v>
      </c>
      <c r="L30" s="13" t="n">
        <f aca="false">IFERROR((J30-K30)/J30,"")</f>
        <v>0.47738291077995</v>
      </c>
      <c r="M30" s="9" t="n">
        <v>1</v>
      </c>
      <c r="N30" s="11" t="str">
        <f aca="false">IF(M30=0,"Not started",IF(L30&gt;=0.9999,"Value complete","Partial"))</f>
        <v>Partial</v>
      </c>
      <c r="O30" s="11" t="str">
        <f aca="false">IF(AND(D30&gt;7,K30&gt;25000),"ESCALATE",IF(K30&gt;100000,"High value",IF(D30&gt;7,"Aged","Monitor")))</f>
        <v>ESCALATE</v>
      </c>
    </row>
    <row r="31" customFormat="false" ht="15" hidden="false" customHeight="false" outlineLevel="0" collapsed="false">
      <c r="A31" s="9" t="s">
        <v>108</v>
      </c>
      <c r="B31" s="9" t="s">
        <v>45</v>
      </c>
      <c r="C31" s="10" t="n">
        <v>46213</v>
      </c>
      <c r="D31" s="11" t="n">
        <f aca="false">$B$2-C31</f>
        <v>13</v>
      </c>
      <c r="E31" s="9" t="s">
        <v>109</v>
      </c>
      <c r="F31" s="9" t="s">
        <v>51</v>
      </c>
      <c r="G31" s="9" t="s">
        <v>47</v>
      </c>
      <c r="H31" s="9" t="s">
        <v>52</v>
      </c>
      <c r="I31" s="9" t="n">
        <v>447</v>
      </c>
      <c r="J31" s="12" t="n">
        <v>73456.54</v>
      </c>
      <c r="K31" s="12" t="n">
        <v>30718.67</v>
      </c>
      <c r="L31" s="13" t="n">
        <f aca="false">IFERROR((J31-K31)/J31,"")</f>
        <v>0.581811639916609</v>
      </c>
      <c r="M31" s="9" t="n">
        <v>1</v>
      </c>
      <c r="N31" s="11" t="str">
        <f aca="false">IF(M31=0,"Not started",IF(L31&gt;=0.9999,"Value complete","Partial"))</f>
        <v>Partial</v>
      </c>
      <c r="O31" s="11" t="str">
        <f aca="false">IF(AND(D31&gt;7,K31&gt;25000),"ESCALATE",IF(K31&gt;100000,"High value",IF(D31&gt;7,"Aged","Monitor")))</f>
        <v>ESCALATE</v>
      </c>
    </row>
    <row r="32" customFormat="false" ht="15" hidden="false" customHeight="false" outlineLevel="0" collapsed="false">
      <c r="A32" s="9" t="s">
        <v>110</v>
      </c>
      <c r="B32" s="9" t="s">
        <v>45</v>
      </c>
      <c r="C32" s="10" t="n">
        <v>46223</v>
      </c>
      <c r="D32" s="11" t="n">
        <f aca="false">$B$2-C32</f>
        <v>3</v>
      </c>
      <c r="E32" s="9" t="s">
        <v>76</v>
      </c>
      <c r="F32" s="9" t="s">
        <v>77</v>
      </c>
      <c r="G32" s="9" t="s">
        <v>47</v>
      </c>
      <c r="H32" s="9" t="s">
        <v>78</v>
      </c>
      <c r="I32" s="9" t="n">
        <v>12</v>
      </c>
      <c r="J32" s="12" t="n">
        <v>30510.31</v>
      </c>
      <c r="K32" s="12" t="n">
        <v>30510.31</v>
      </c>
      <c r="L32" s="13" t="n">
        <f aca="false">IFERROR((J32-K32)/J32,"")</f>
        <v>0</v>
      </c>
      <c r="M32" s="9" t="n">
        <v>0</v>
      </c>
      <c r="N32" s="11" t="str">
        <f aca="false">IF(M32=0,"Not started",IF(L32&gt;=0.9999,"Value complete","Partial"))</f>
        <v>Not started</v>
      </c>
      <c r="O32" s="11" t="str">
        <f aca="false">IF(AND(D32&gt;7,K32&gt;25000),"ESCALATE",IF(K32&gt;100000,"High value",IF(D32&gt;7,"Aged","Monitor")))</f>
        <v>Monitor</v>
      </c>
    </row>
    <row r="33" customFormat="false" ht="15" hidden="false" customHeight="false" outlineLevel="0" collapsed="false">
      <c r="A33" s="9" t="s">
        <v>111</v>
      </c>
      <c r="B33" s="9" t="s">
        <v>45</v>
      </c>
      <c r="C33" s="10" t="n">
        <v>46219</v>
      </c>
      <c r="D33" s="11" t="n">
        <f aca="false">$B$2-C33</f>
        <v>7</v>
      </c>
      <c r="E33" s="9" t="s">
        <v>112</v>
      </c>
      <c r="F33" s="9" t="s">
        <v>103</v>
      </c>
      <c r="G33" s="9" t="s">
        <v>47</v>
      </c>
      <c r="H33" s="9" t="s">
        <v>78</v>
      </c>
      <c r="I33" s="9" t="n">
        <v>12</v>
      </c>
      <c r="J33" s="12" t="n">
        <v>30510.31</v>
      </c>
      <c r="K33" s="12" t="n">
        <v>30510.31</v>
      </c>
      <c r="L33" s="13" t="n">
        <f aca="false">IFERROR((J33-K33)/J33,"")</f>
        <v>0</v>
      </c>
      <c r="M33" s="9" t="n">
        <v>0</v>
      </c>
      <c r="N33" s="11" t="str">
        <f aca="false">IF(M33=0,"Not started",IF(L33&gt;=0.9999,"Value complete","Partial"))</f>
        <v>Not started</v>
      </c>
      <c r="O33" s="11" t="str">
        <f aca="false">IF(AND(D33&gt;7,K33&gt;25000),"ESCALATE",IF(K33&gt;100000,"High value",IF(D33&gt;7,"Aged","Monitor")))</f>
        <v>Monitor</v>
      </c>
    </row>
    <row r="34" customFormat="false" ht="15" hidden="false" customHeight="false" outlineLevel="0" collapsed="false">
      <c r="A34" s="9" t="s">
        <v>113</v>
      </c>
      <c r="B34" s="9" t="s">
        <v>45</v>
      </c>
      <c r="C34" s="10" t="n">
        <v>46225</v>
      </c>
      <c r="D34" s="11" t="n">
        <f aca="false">$B$2-C34</f>
        <v>1</v>
      </c>
      <c r="E34" s="9" t="s">
        <v>114</v>
      </c>
      <c r="F34" s="9" t="s">
        <v>114</v>
      </c>
      <c r="G34" s="9" t="s">
        <v>47</v>
      </c>
      <c r="H34" s="9" t="s">
        <v>48</v>
      </c>
      <c r="I34" s="9" t="n">
        <v>24</v>
      </c>
      <c r="J34" s="12" t="n">
        <v>43279.14</v>
      </c>
      <c r="K34" s="12" t="n">
        <v>29914.14</v>
      </c>
      <c r="L34" s="13" t="n">
        <f aca="false">IFERROR((J34-K34)/J34,"")</f>
        <v>0.308809278557753</v>
      </c>
      <c r="M34" s="9" t="n">
        <v>1</v>
      </c>
      <c r="N34" s="11" t="str">
        <f aca="false">IF(M34=0,"Not started",IF(L34&gt;=0.9999,"Value complete","Partial"))</f>
        <v>Partial</v>
      </c>
      <c r="O34" s="11" t="str">
        <f aca="false">IF(AND(D34&gt;7,K34&gt;25000),"ESCALATE",IF(K34&gt;100000,"High value",IF(D34&gt;7,"Aged","Monitor")))</f>
        <v>Monitor</v>
      </c>
    </row>
    <row r="35" customFormat="false" ht="15" hidden="false" customHeight="false" outlineLevel="0" collapsed="false">
      <c r="A35" s="9" t="s">
        <v>115</v>
      </c>
      <c r="B35" s="9" t="s">
        <v>45</v>
      </c>
      <c r="C35" s="10" t="n">
        <v>46226</v>
      </c>
      <c r="D35" s="11" t="n">
        <f aca="false">$B$2-C35</f>
        <v>0</v>
      </c>
      <c r="E35" s="9" t="s">
        <v>116</v>
      </c>
      <c r="F35" s="9" t="s">
        <v>77</v>
      </c>
      <c r="G35" s="9" t="s">
        <v>47</v>
      </c>
      <c r="H35" s="9" t="s">
        <v>78</v>
      </c>
      <c r="I35" s="9" t="n">
        <v>18</v>
      </c>
      <c r="J35" s="12" t="n">
        <v>29684.48</v>
      </c>
      <c r="K35" s="12" t="n">
        <v>29684.48</v>
      </c>
      <c r="L35" s="13" t="n">
        <f aca="false">IFERROR((J35-K35)/J35,"")</f>
        <v>0</v>
      </c>
      <c r="M35" s="9" t="n">
        <v>0</v>
      </c>
      <c r="N35" s="11" t="str">
        <f aca="false">IF(M35=0,"Not started",IF(L35&gt;=0.9999,"Value complete","Partial"))</f>
        <v>Not started</v>
      </c>
      <c r="O35" s="11" t="str">
        <f aca="false">IF(AND(D35&gt;7,K35&gt;25000),"ESCALATE",IF(K35&gt;100000,"High value",IF(D35&gt;7,"Aged","Monitor")))</f>
        <v>Monitor</v>
      </c>
    </row>
    <row r="36" customFormat="false" ht="15" hidden="false" customHeight="false" outlineLevel="0" collapsed="false">
      <c r="A36" s="9" t="s">
        <v>117</v>
      </c>
      <c r="B36" s="9" t="s">
        <v>45</v>
      </c>
      <c r="C36" s="10" t="n">
        <v>46213</v>
      </c>
      <c r="D36" s="11" t="n">
        <f aca="false">$B$2-C36</f>
        <v>13</v>
      </c>
      <c r="E36" s="9" t="s">
        <v>118</v>
      </c>
      <c r="F36" s="9" t="s">
        <v>51</v>
      </c>
      <c r="G36" s="9" t="s">
        <v>47</v>
      </c>
      <c r="H36" s="9" t="s">
        <v>52</v>
      </c>
      <c r="I36" s="9" t="n">
        <v>270</v>
      </c>
      <c r="J36" s="12" t="n">
        <v>57073.7</v>
      </c>
      <c r="K36" s="12" t="n">
        <v>28625.65</v>
      </c>
      <c r="L36" s="13" t="n">
        <f aca="false">IFERROR((J36-K36)/J36,"")</f>
        <v>0.49844411699259</v>
      </c>
      <c r="M36" s="9" t="n">
        <v>1</v>
      </c>
      <c r="N36" s="11" t="str">
        <f aca="false">IF(M36=0,"Not started",IF(L36&gt;=0.9999,"Value complete","Partial"))</f>
        <v>Partial</v>
      </c>
      <c r="O36" s="11" t="str">
        <f aca="false">IF(AND(D36&gt;7,K36&gt;25000),"ESCALATE",IF(K36&gt;100000,"High value",IF(D36&gt;7,"Aged","Monitor")))</f>
        <v>ESCALATE</v>
      </c>
    </row>
    <row r="37" customFormat="false" ht="15" hidden="false" customHeight="false" outlineLevel="0" collapsed="false">
      <c r="A37" s="9" t="s">
        <v>119</v>
      </c>
      <c r="B37" s="9" t="s">
        <v>45</v>
      </c>
      <c r="C37" s="10" t="n">
        <v>46205</v>
      </c>
      <c r="D37" s="11" t="n">
        <f aca="false">$B$2-C37</f>
        <v>21</v>
      </c>
      <c r="E37" s="9" t="s">
        <v>120</v>
      </c>
      <c r="F37" s="9" t="s">
        <v>120</v>
      </c>
      <c r="G37" s="9" t="s">
        <v>61</v>
      </c>
      <c r="H37" s="9" t="s">
        <v>62</v>
      </c>
      <c r="I37" s="9" t="n">
        <v>45</v>
      </c>
      <c r="J37" s="12" t="n">
        <v>63046.55</v>
      </c>
      <c r="K37" s="12" t="n">
        <v>25350</v>
      </c>
      <c r="L37" s="13" t="n">
        <f aca="false">IFERROR((J37-K37)/J37,"")</f>
        <v>0.597916142913451</v>
      </c>
      <c r="M37" s="9" t="n">
        <v>1</v>
      </c>
      <c r="N37" s="11" t="str">
        <f aca="false">IF(M37=0,"Not started",IF(L37&gt;=0.9999,"Value complete","Partial"))</f>
        <v>Partial</v>
      </c>
      <c r="O37" s="11" t="str">
        <f aca="false">IF(AND(D37&gt;7,K37&gt;25000),"ESCALATE",IF(K37&gt;100000,"High value",IF(D37&gt;7,"Aged","Monitor")))</f>
        <v>ESCALATE</v>
      </c>
    </row>
    <row r="38" customFormat="false" ht="15" hidden="false" customHeight="false" outlineLevel="0" collapsed="false">
      <c r="A38" s="9" t="s">
        <v>121</v>
      </c>
      <c r="B38" s="9" t="s">
        <v>45</v>
      </c>
      <c r="C38" s="10" t="n">
        <v>46213</v>
      </c>
      <c r="D38" s="11" t="n">
        <f aca="false">$B$2-C38</f>
        <v>13</v>
      </c>
      <c r="E38" s="9" t="s">
        <v>122</v>
      </c>
      <c r="F38" s="9" t="s">
        <v>123</v>
      </c>
      <c r="G38" s="9" t="s">
        <v>47</v>
      </c>
      <c r="H38" s="9" t="s">
        <v>52</v>
      </c>
      <c r="I38" s="9" t="n">
        <v>49</v>
      </c>
      <c r="J38" s="12" t="n">
        <v>68621.54</v>
      </c>
      <c r="K38" s="12" t="n">
        <v>25199.49</v>
      </c>
      <c r="L38" s="13" t="n">
        <f aca="false">IFERROR((J38-K38)/J38,"")</f>
        <v>0.632775801883782</v>
      </c>
      <c r="M38" s="9" t="n">
        <v>1</v>
      </c>
      <c r="N38" s="11" t="str">
        <f aca="false">IF(M38=0,"Not started",IF(L38&gt;=0.9999,"Value complete","Partial"))</f>
        <v>Partial</v>
      </c>
      <c r="O38" s="11" t="str">
        <f aca="false">IF(AND(D38&gt;7,K38&gt;25000),"ESCALATE",IF(K38&gt;100000,"High value",IF(D38&gt;7,"Aged","Monitor")))</f>
        <v>ESCALATE</v>
      </c>
    </row>
    <row r="39" customFormat="false" ht="15" hidden="false" customHeight="false" outlineLevel="0" collapsed="false">
      <c r="A39" s="9" t="s">
        <v>124</v>
      </c>
      <c r="B39" s="9" t="s">
        <v>45</v>
      </c>
      <c r="C39" s="10" t="n">
        <v>46213</v>
      </c>
      <c r="D39" s="11" t="n">
        <f aca="false">$B$2-C39</f>
        <v>13</v>
      </c>
      <c r="E39" s="9" t="s">
        <v>125</v>
      </c>
      <c r="F39" s="9" t="s">
        <v>123</v>
      </c>
      <c r="G39" s="9" t="s">
        <v>47</v>
      </c>
      <c r="H39" s="9" t="s">
        <v>52</v>
      </c>
      <c r="I39" s="9" t="n">
        <v>53</v>
      </c>
      <c r="J39" s="12" t="n">
        <v>77230.12</v>
      </c>
      <c r="K39" s="12" t="n">
        <v>25199.49</v>
      </c>
      <c r="L39" s="13" t="n">
        <f aca="false">IFERROR((J39-K39)/J39,"")</f>
        <v>0.673709039944519</v>
      </c>
      <c r="M39" s="9" t="n">
        <v>1</v>
      </c>
      <c r="N39" s="11" t="str">
        <f aca="false">IF(M39=0,"Not started",IF(L39&gt;=0.9999,"Value complete","Partial"))</f>
        <v>Partial</v>
      </c>
      <c r="O39" s="11" t="str">
        <f aca="false">IF(AND(D39&gt;7,K39&gt;25000),"ESCALATE",IF(K39&gt;100000,"High value",IF(D39&gt;7,"Aged","Monitor")))</f>
        <v>ESCALATE</v>
      </c>
    </row>
    <row r="40" customFormat="false" ht="15" hidden="false" customHeight="false" outlineLevel="0" collapsed="false">
      <c r="A40" s="9" t="s">
        <v>126</v>
      </c>
      <c r="B40" s="9" t="s">
        <v>45</v>
      </c>
      <c r="C40" s="10" t="n">
        <v>46219</v>
      </c>
      <c r="D40" s="11" t="n">
        <f aca="false">$B$2-C40</f>
        <v>7</v>
      </c>
      <c r="E40" s="9" t="s">
        <v>127</v>
      </c>
      <c r="F40" s="9" t="s">
        <v>103</v>
      </c>
      <c r="G40" s="9" t="s">
        <v>47</v>
      </c>
      <c r="H40" s="9" t="s">
        <v>78</v>
      </c>
      <c r="I40" s="9" t="n">
        <v>9</v>
      </c>
      <c r="J40" s="12" t="n">
        <v>24812.07</v>
      </c>
      <c r="K40" s="12" t="n">
        <v>24812.07</v>
      </c>
      <c r="L40" s="13" t="n">
        <f aca="false">IFERROR((J40-K40)/J40,"")</f>
        <v>0</v>
      </c>
      <c r="M40" s="9" t="n">
        <v>0</v>
      </c>
      <c r="N40" s="11" t="str">
        <f aca="false">IF(M40=0,"Not started",IF(L40&gt;=0.9999,"Value complete","Partial"))</f>
        <v>Not started</v>
      </c>
      <c r="O40" s="11" t="str">
        <f aca="false">IF(AND(D40&gt;7,K40&gt;25000),"ESCALATE",IF(K40&gt;100000,"High value",IF(D40&gt;7,"Aged","Monitor")))</f>
        <v>Monitor</v>
      </c>
    </row>
    <row r="41" customFormat="false" ht="15" hidden="false" customHeight="false" outlineLevel="0" collapsed="false">
      <c r="A41" s="9" t="s">
        <v>128</v>
      </c>
      <c r="B41" s="9" t="s">
        <v>45</v>
      </c>
      <c r="C41" s="10" t="n">
        <v>46213</v>
      </c>
      <c r="D41" s="11" t="n">
        <f aca="false">$B$2-C41</f>
        <v>13</v>
      </c>
      <c r="E41" s="9" t="s">
        <v>129</v>
      </c>
      <c r="F41" s="9" t="s">
        <v>51</v>
      </c>
      <c r="G41" s="9" t="s">
        <v>47</v>
      </c>
      <c r="H41" s="9" t="s">
        <v>52</v>
      </c>
      <c r="I41" s="9" t="n">
        <v>249</v>
      </c>
      <c r="J41" s="12" t="n">
        <v>52220.63</v>
      </c>
      <c r="K41" s="12" t="n">
        <v>23262.37</v>
      </c>
      <c r="L41" s="13" t="n">
        <f aca="false">IFERROR((J41-K41)/J41,"")</f>
        <v>0.554536779812882</v>
      </c>
      <c r="M41" s="9" t="n">
        <v>1</v>
      </c>
      <c r="N41" s="11" t="str">
        <f aca="false">IF(M41=0,"Not started",IF(L41&gt;=0.9999,"Value complete","Partial"))</f>
        <v>Partial</v>
      </c>
      <c r="O41" s="11" t="str">
        <f aca="false">IF(AND(D41&gt;7,K41&gt;25000),"ESCALATE",IF(K41&gt;100000,"High value",IF(D41&gt;7,"Aged","Monitor")))</f>
        <v>Aged</v>
      </c>
    </row>
    <row r="42" customFormat="false" ht="15" hidden="false" customHeight="false" outlineLevel="0" collapsed="false">
      <c r="A42" s="9" t="s">
        <v>130</v>
      </c>
      <c r="B42" s="9" t="s">
        <v>45</v>
      </c>
      <c r="C42" s="10" t="n">
        <v>46225</v>
      </c>
      <c r="D42" s="11" t="n">
        <f aca="false">$B$2-C42</f>
        <v>1</v>
      </c>
      <c r="E42" s="9" t="s">
        <v>131</v>
      </c>
      <c r="F42" s="9" t="s">
        <v>132</v>
      </c>
      <c r="G42" s="9" t="s">
        <v>47</v>
      </c>
      <c r="H42" s="9" t="s">
        <v>48</v>
      </c>
      <c r="I42" s="9" t="n">
        <v>78</v>
      </c>
      <c r="J42" s="12" t="n">
        <v>40302.02</v>
      </c>
      <c r="K42" s="12" t="n">
        <v>20531.15</v>
      </c>
      <c r="L42" s="13" t="n">
        <f aca="false">IFERROR((J42-K42)/J42,"")</f>
        <v>0.490567718441904</v>
      </c>
      <c r="M42" s="9" t="n">
        <v>1</v>
      </c>
      <c r="N42" s="11" t="str">
        <f aca="false">IF(M42=0,"Not started",IF(L42&gt;=0.9999,"Value complete","Partial"))</f>
        <v>Partial</v>
      </c>
      <c r="O42" s="11" t="str">
        <f aca="false">IF(AND(D42&gt;7,K42&gt;25000),"ESCALATE",IF(K42&gt;100000,"High value",IF(D42&gt;7,"Aged","Monitor")))</f>
        <v>Monitor</v>
      </c>
    </row>
    <row r="43" customFormat="false" ht="15" hidden="false" customHeight="false" outlineLevel="0" collapsed="false">
      <c r="A43" s="9" t="s">
        <v>133</v>
      </c>
      <c r="B43" s="9" t="s">
        <v>45</v>
      </c>
      <c r="C43" s="10" t="n">
        <v>46225</v>
      </c>
      <c r="D43" s="11" t="n">
        <f aca="false">$B$2-C43</f>
        <v>1</v>
      </c>
      <c r="E43" s="9" t="s">
        <v>134</v>
      </c>
      <c r="F43" s="9" t="s">
        <v>134</v>
      </c>
      <c r="G43" s="9" t="s">
        <v>61</v>
      </c>
      <c r="H43" s="9" t="s">
        <v>62</v>
      </c>
      <c r="I43" s="9" t="n">
        <v>19</v>
      </c>
      <c r="J43" s="12" t="n">
        <v>56024.14</v>
      </c>
      <c r="K43" s="12" t="n">
        <v>19600</v>
      </c>
      <c r="L43" s="13" t="n">
        <f aca="false">IFERROR((J43-K43)/J43,"")</f>
        <v>0.650150809990122</v>
      </c>
      <c r="M43" s="9" t="n">
        <v>1</v>
      </c>
      <c r="N43" s="11" t="str">
        <f aca="false">IF(M43=0,"Not started",IF(L43&gt;=0.9999,"Value complete","Partial"))</f>
        <v>Partial</v>
      </c>
      <c r="O43" s="11" t="str">
        <f aca="false">IF(AND(D43&gt;7,K43&gt;25000),"ESCALATE",IF(K43&gt;100000,"High value",IF(D43&gt;7,"Aged","Monitor")))</f>
        <v>Monitor</v>
      </c>
    </row>
    <row r="44" customFormat="false" ht="15" hidden="false" customHeight="false" outlineLevel="0" collapsed="false">
      <c r="A44" s="9" t="s">
        <v>135</v>
      </c>
      <c r="B44" s="9" t="s">
        <v>45</v>
      </c>
      <c r="C44" s="10" t="n">
        <v>46211</v>
      </c>
      <c r="D44" s="11" t="n">
        <f aca="false">$B$2-C44</f>
        <v>15</v>
      </c>
      <c r="E44" s="9" t="s">
        <v>120</v>
      </c>
      <c r="F44" s="9" t="s">
        <v>120</v>
      </c>
      <c r="G44" s="9" t="s">
        <v>61</v>
      </c>
      <c r="H44" s="9" t="s">
        <v>62</v>
      </c>
      <c r="I44" s="9" t="n">
        <v>34</v>
      </c>
      <c r="J44" s="12" t="n">
        <v>39362.16</v>
      </c>
      <c r="K44" s="12" t="n">
        <v>19500</v>
      </c>
      <c r="L44" s="13" t="n">
        <f aca="false">IFERROR((J44-K44)/J44,"")</f>
        <v>0.504600357297465</v>
      </c>
      <c r="M44" s="9" t="n">
        <v>1</v>
      </c>
      <c r="N44" s="11" t="str">
        <f aca="false">IF(M44=0,"Not started",IF(L44&gt;=0.9999,"Value complete","Partial"))</f>
        <v>Partial</v>
      </c>
      <c r="O44" s="11" t="str">
        <f aca="false">IF(AND(D44&gt;7,K44&gt;25000),"ESCALATE",IF(K44&gt;100000,"High value",IF(D44&gt;7,"Aged","Monitor")))</f>
        <v>Aged</v>
      </c>
    </row>
    <row r="45" customFormat="false" ht="15" hidden="false" customHeight="false" outlineLevel="0" collapsed="false">
      <c r="A45" s="9" t="s">
        <v>136</v>
      </c>
      <c r="B45" s="9" t="s">
        <v>45</v>
      </c>
      <c r="C45" s="10" t="n">
        <v>46213</v>
      </c>
      <c r="D45" s="11" t="n">
        <f aca="false">$B$2-C45</f>
        <v>13</v>
      </c>
      <c r="E45" s="9" t="s">
        <v>137</v>
      </c>
      <c r="F45" s="9" t="s">
        <v>137</v>
      </c>
      <c r="G45" s="9" t="s">
        <v>47</v>
      </c>
      <c r="H45" s="9" t="s">
        <v>52</v>
      </c>
      <c r="I45" s="9" t="n">
        <v>219</v>
      </c>
      <c r="J45" s="12" t="n">
        <v>173810.56</v>
      </c>
      <c r="K45" s="12" t="n">
        <v>16835.19</v>
      </c>
      <c r="L45" s="13" t="n">
        <f aca="false">IFERROR((J45-K45)/J45,"")</f>
        <v>0.903140580181089</v>
      </c>
      <c r="M45" s="9" t="n">
        <v>1</v>
      </c>
      <c r="N45" s="11" t="str">
        <f aca="false">IF(M45=0,"Not started",IF(L45&gt;=0.9999,"Value complete","Partial"))</f>
        <v>Partial</v>
      </c>
      <c r="O45" s="11" t="str">
        <f aca="false">IF(AND(D45&gt;7,K45&gt;25000),"ESCALATE",IF(K45&gt;100000,"High value",IF(D45&gt;7,"Aged","Monitor")))</f>
        <v>Aged</v>
      </c>
    </row>
    <row r="46" customFormat="false" ht="15" hidden="false" customHeight="false" outlineLevel="0" collapsed="false">
      <c r="A46" s="9" t="s">
        <v>138</v>
      </c>
      <c r="B46" s="9" t="s">
        <v>45</v>
      </c>
      <c r="C46" s="10" t="n">
        <v>46218</v>
      </c>
      <c r="D46" s="11" t="n">
        <f aca="false">$B$2-C46</f>
        <v>8</v>
      </c>
      <c r="E46" s="9" t="s">
        <v>139</v>
      </c>
      <c r="F46" s="9" t="s">
        <v>103</v>
      </c>
      <c r="G46" s="9" t="s">
        <v>47</v>
      </c>
      <c r="H46" s="9" t="s">
        <v>78</v>
      </c>
      <c r="I46" s="9" t="n">
        <v>6</v>
      </c>
      <c r="J46" s="12" t="n">
        <v>16541.38</v>
      </c>
      <c r="K46" s="12" t="n">
        <v>16541.38</v>
      </c>
      <c r="L46" s="13" t="n">
        <f aca="false">IFERROR((J46-K46)/J46,"")</f>
        <v>0</v>
      </c>
      <c r="M46" s="9" t="n">
        <v>0</v>
      </c>
      <c r="N46" s="11" t="str">
        <f aca="false">IF(M46=0,"Not started",IF(L46&gt;=0.9999,"Value complete","Partial"))</f>
        <v>Not started</v>
      </c>
      <c r="O46" s="11" t="str">
        <f aca="false">IF(AND(D46&gt;7,K46&gt;25000),"ESCALATE",IF(K46&gt;100000,"High value",IF(D46&gt;7,"Aged","Monitor")))</f>
        <v>Aged</v>
      </c>
    </row>
    <row r="47" customFormat="false" ht="15" hidden="false" customHeight="false" outlineLevel="0" collapsed="false">
      <c r="A47" s="9" t="s">
        <v>140</v>
      </c>
      <c r="B47" s="9" t="s">
        <v>45</v>
      </c>
      <c r="C47" s="10" t="n">
        <v>46218</v>
      </c>
      <c r="D47" s="11" t="n">
        <f aca="false">$B$2-C47</f>
        <v>8</v>
      </c>
      <c r="E47" s="9" t="s">
        <v>141</v>
      </c>
      <c r="F47" s="9" t="s">
        <v>103</v>
      </c>
      <c r="G47" s="9" t="s">
        <v>47</v>
      </c>
      <c r="H47" s="9" t="s">
        <v>78</v>
      </c>
      <c r="I47" s="9" t="n">
        <v>6</v>
      </c>
      <c r="J47" s="12" t="n">
        <v>16541.38</v>
      </c>
      <c r="K47" s="12" t="n">
        <v>16541.38</v>
      </c>
      <c r="L47" s="13" t="n">
        <f aca="false">IFERROR((J47-K47)/J47,"")</f>
        <v>0</v>
      </c>
      <c r="M47" s="9" t="n">
        <v>0</v>
      </c>
      <c r="N47" s="11" t="str">
        <f aca="false">IF(M47=0,"Not started",IF(L47&gt;=0.9999,"Value complete","Partial"))</f>
        <v>Not started</v>
      </c>
      <c r="O47" s="11" t="str">
        <f aca="false">IF(AND(D47&gt;7,K47&gt;25000),"ESCALATE",IF(K47&gt;100000,"High value",IF(D47&gt;7,"Aged","Monitor")))</f>
        <v>Aged</v>
      </c>
    </row>
    <row r="48" customFormat="false" ht="15" hidden="false" customHeight="false" outlineLevel="0" collapsed="false">
      <c r="A48" s="9" t="s">
        <v>142</v>
      </c>
      <c r="B48" s="9" t="s">
        <v>45</v>
      </c>
      <c r="C48" s="10" t="n">
        <v>46226</v>
      </c>
      <c r="D48" s="11" t="n">
        <f aca="false">$B$2-C48</f>
        <v>0</v>
      </c>
      <c r="E48" s="9" t="s">
        <v>143</v>
      </c>
      <c r="F48" s="9" t="s">
        <v>77</v>
      </c>
      <c r="G48" s="9" t="s">
        <v>47</v>
      </c>
      <c r="H48" s="9" t="s">
        <v>78</v>
      </c>
      <c r="I48" s="9" t="n">
        <v>6</v>
      </c>
      <c r="J48" s="12" t="n">
        <v>16541.38</v>
      </c>
      <c r="K48" s="12" t="n">
        <v>16541.38</v>
      </c>
      <c r="L48" s="13" t="n">
        <f aca="false">IFERROR((J48-K48)/J48,"")</f>
        <v>0</v>
      </c>
      <c r="M48" s="9" t="n">
        <v>0</v>
      </c>
      <c r="N48" s="11" t="str">
        <f aca="false">IF(M48=0,"Not started",IF(L48&gt;=0.9999,"Value complete","Partial"))</f>
        <v>Not started</v>
      </c>
      <c r="O48" s="11" t="str">
        <f aca="false">IF(AND(D48&gt;7,K48&gt;25000),"ESCALATE",IF(K48&gt;100000,"High value",IF(D48&gt;7,"Aged","Monitor")))</f>
        <v>Monitor</v>
      </c>
    </row>
    <row r="49" customFormat="false" ht="15" hidden="false" customHeight="false" outlineLevel="0" collapsed="false">
      <c r="A49" s="9" t="s">
        <v>144</v>
      </c>
      <c r="B49" s="9" t="s">
        <v>45</v>
      </c>
      <c r="C49" s="10" t="n">
        <v>46226</v>
      </c>
      <c r="D49" s="11" t="n">
        <f aca="false">$B$2-C49</f>
        <v>0</v>
      </c>
      <c r="E49" s="9" t="s">
        <v>145</v>
      </c>
      <c r="F49" s="9" t="s">
        <v>77</v>
      </c>
      <c r="G49" s="9" t="s">
        <v>47</v>
      </c>
      <c r="H49" s="9" t="s">
        <v>78</v>
      </c>
      <c r="I49" s="9" t="n">
        <v>6</v>
      </c>
      <c r="J49" s="12" t="n">
        <v>13968.93</v>
      </c>
      <c r="K49" s="12" t="n">
        <v>13968.93</v>
      </c>
      <c r="L49" s="13" t="n">
        <f aca="false">IFERROR((J49-K49)/J49,"")</f>
        <v>0</v>
      </c>
      <c r="M49" s="9" t="n">
        <v>0</v>
      </c>
      <c r="N49" s="11" t="str">
        <f aca="false">IF(M49=0,"Not started",IF(L49&gt;=0.9999,"Value complete","Partial"))</f>
        <v>Not started</v>
      </c>
      <c r="O49" s="11" t="str">
        <f aca="false">IF(AND(D49&gt;7,K49&gt;25000),"ESCALATE",IF(K49&gt;100000,"High value",IF(D49&gt;7,"Aged","Monitor")))</f>
        <v>Monitor</v>
      </c>
    </row>
    <row r="50" customFormat="false" ht="15" hidden="false" customHeight="false" outlineLevel="0" collapsed="false">
      <c r="A50" s="9" t="s">
        <v>146</v>
      </c>
      <c r="B50" s="9" t="s">
        <v>45</v>
      </c>
      <c r="C50" s="10" t="n">
        <v>46224</v>
      </c>
      <c r="D50" s="11" t="n">
        <f aca="false">$B$2-C50</f>
        <v>2</v>
      </c>
      <c r="E50" s="9" t="s">
        <v>147</v>
      </c>
      <c r="F50" s="9" t="s">
        <v>147</v>
      </c>
      <c r="G50" s="9" t="s">
        <v>61</v>
      </c>
      <c r="H50" s="9" t="s">
        <v>62</v>
      </c>
      <c r="I50" s="9" t="n">
        <v>37</v>
      </c>
      <c r="J50" s="12" t="n">
        <v>74210.05</v>
      </c>
      <c r="K50" s="12" t="n">
        <v>13965.51</v>
      </c>
      <c r="L50" s="13" t="n">
        <f aca="false">IFERROR((J50-K50)/J50,"")</f>
        <v>0.811811068716434</v>
      </c>
      <c r="M50" s="9" t="n">
        <v>1</v>
      </c>
      <c r="N50" s="11" t="str">
        <f aca="false">IF(M50=0,"Not started",IF(L50&gt;=0.9999,"Value complete","Partial"))</f>
        <v>Partial</v>
      </c>
      <c r="O50" s="11" t="str">
        <f aca="false">IF(AND(D50&gt;7,K50&gt;25000),"ESCALATE",IF(K50&gt;100000,"High value",IF(D50&gt;7,"Aged","Monitor")))</f>
        <v>Monitor</v>
      </c>
    </row>
    <row r="51" customFormat="false" ht="15" hidden="false" customHeight="false" outlineLevel="0" collapsed="false">
      <c r="A51" s="9" t="s">
        <v>148</v>
      </c>
      <c r="B51" s="9" t="s">
        <v>45</v>
      </c>
      <c r="C51" s="10" t="n">
        <v>46213</v>
      </c>
      <c r="D51" s="11" t="n">
        <f aca="false">$B$2-C51</f>
        <v>13</v>
      </c>
      <c r="E51" s="9" t="s">
        <v>125</v>
      </c>
      <c r="F51" s="9" t="s">
        <v>123</v>
      </c>
      <c r="G51" s="9" t="s">
        <v>47</v>
      </c>
      <c r="H51" s="9" t="s">
        <v>52</v>
      </c>
      <c r="I51" s="9" t="n">
        <v>368</v>
      </c>
      <c r="J51" s="12" t="n">
        <v>64568.27</v>
      </c>
      <c r="K51" s="12" t="n">
        <v>12827.58</v>
      </c>
      <c r="L51" s="13" t="n">
        <f aca="false">IFERROR((J51-K51)/J51,"")</f>
        <v>0.801333069633119</v>
      </c>
      <c r="M51" s="9" t="n">
        <v>1</v>
      </c>
      <c r="N51" s="11" t="str">
        <f aca="false">IF(M51=0,"Not started",IF(L51&gt;=0.9999,"Value complete","Partial"))</f>
        <v>Partial</v>
      </c>
      <c r="O51" s="11" t="str">
        <f aca="false">IF(AND(D51&gt;7,K51&gt;25000),"ESCALATE",IF(K51&gt;100000,"High value",IF(D51&gt;7,"Aged","Monitor")))</f>
        <v>Aged</v>
      </c>
    </row>
    <row r="52" customFormat="false" ht="15" hidden="false" customHeight="false" outlineLevel="0" collapsed="false">
      <c r="A52" s="9" t="s">
        <v>149</v>
      </c>
      <c r="B52" s="9" t="s">
        <v>45</v>
      </c>
      <c r="C52" s="10" t="n">
        <v>46213</v>
      </c>
      <c r="D52" s="11" t="n">
        <f aca="false">$B$2-C52</f>
        <v>13</v>
      </c>
      <c r="E52" s="9" t="s">
        <v>122</v>
      </c>
      <c r="F52" s="9" t="s">
        <v>123</v>
      </c>
      <c r="G52" s="9" t="s">
        <v>47</v>
      </c>
      <c r="H52" s="9" t="s">
        <v>52</v>
      </c>
      <c r="I52" s="9" t="n">
        <v>356</v>
      </c>
      <c r="J52" s="12" t="n">
        <v>54531.06</v>
      </c>
      <c r="K52" s="12" t="n">
        <v>12496.56</v>
      </c>
      <c r="L52" s="13" t="n">
        <f aca="false">IFERROR((J52-K52)/J52,"")</f>
        <v>0.770835923600238</v>
      </c>
      <c r="M52" s="9" t="n">
        <v>1</v>
      </c>
      <c r="N52" s="11" t="str">
        <f aca="false">IF(M52=0,"Not started",IF(L52&gt;=0.9999,"Value complete","Partial"))</f>
        <v>Partial</v>
      </c>
      <c r="O52" s="11" t="str">
        <f aca="false">IF(AND(D52&gt;7,K52&gt;25000),"ESCALATE",IF(K52&gt;100000,"High value",IF(D52&gt;7,"Aged","Monitor")))</f>
        <v>Aged</v>
      </c>
    </row>
    <row r="53" customFormat="false" ht="15" hidden="false" customHeight="false" outlineLevel="0" collapsed="false">
      <c r="A53" s="9" t="s">
        <v>150</v>
      </c>
      <c r="B53" s="9" t="s">
        <v>45</v>
      </c>
      <c r="C53" s="10" t="n">
        <v>46213</v>
      </c>
      <c r="D53" s="11" t="n">
        <f aca="false">$B$2-C53</f>
        <v>13</v>
      </c>
      <c r="E53" s="9" t="s">
        <v>122</v>
      </c>
      <c r="F53" s="9" t="s">
        <v>123</v>
      </c>
      <c r="G53" s="9" t="s">
        <v>47</v>
      </c>
      <c r="H53" s="9" t="s">
        <v>52</v>
      </c>
      <c r="I53" s="9" t="n">
        <v>92</v>
      </c>
      <c r="J53" s="12" t="n">
        <v>95834.81</v>
      </c>
      <c r="K53" s="12" t="n">
        <v>12270.66</v>
      </c>
      <c r="L53" s="13" t="n">
        <f aca="false">IFERROR((J53-K53)/J53,"")</f>
        <v>0.8719603033595</v>
      </c>
      <c r="M53" s="9" t="n">
        <v>1</v>
      </c>
      <c r="N53" s="11" t="str">
        <f aca="false">IF(M53=0,"Not started",IF(L53&gt;=0.9999,"Value complete","Partial"))</f>
        <v>Partial</v>
      </c>
      <c r="O53" s="11" t="str">
        <f aca="false">IF(AND(D53&gt;7,K53&gt;25000),"ESCALATE",IF(K53&gt;100000,"High value",IF(D53&gt;7,"Aged","Monitor")))</f>
        <v>Aged</v>
      </c>
    </row>
    <row r="54" customFormat="false" ht="15" hidden="false" customHeight="false" outlineLevel="0" collapsed="false">
      <c r="A54" s="9" t="s">
        <v>151</v>
      </c>
      <c r="B54" s="9" t="s">
        <v>45</v>
      </c>
      <c r="C54" s="10" t="n">
        <v>46225</v>
      </c>
      <c r="D54" s="11" t="n">
        <f aca="false">$B$2-C54</f>
        <v>1</v>
      </c>
      <c r="E54" s="9" t="s">
        <v>152</v>
      </c>
      <c r="F54" s="9" t="s">
        <v>153</v>
      </c>
      <c r="G54" s="9" t="s">
        <v>61</v>
      </c>
      <c r="H54" s="9" t="s">
        <v>62</v>
      </c>
      <c r="I54" s="9" t="n">
        <v>42</v>
      </c>
      <c r="J54" s="12" t="n">
        <v>63000</v>
      </c>
      <c r="K54" s="12" t="n">
        <v>10500</v>
      </c>
      <c r="L54" s="13" t="n">
        <f aca="false">IFERROR((J54-K54)/J54,"")</f>
        <v>0.833333333333333</v>
      </c>
      <c r="M54" s="9" t="n">
        <v>1</v>
      </c>
      <c r="N54" s="11" t="str">
        <f aca="false">IF(M54=0,"Not started",IF(L54&gt;=0.9999,"Value complete","Partial"))</f>
        <v>Partial</v>
      </c>
      <c r="O54" s="11" t="str">
        <f aca="false">IF(AND(D54&gt;7,K54&gt;25000),"ESCALATE",IF(K54&gt;100000,"High value",IF(D54&gt;7,"Aged","Monitor")))</f>
        <v>Monitor</v>
      </c>
    </row>
    <row r="55" customFormat="false" ht="15" hidden="false" customHeight="false" outlineLevel="0" collapsed="false">
      <c r="A55" s="9" t="s">
        <v>154</v>
      </c>
      <c r="B55" s="9" t="s">
        <v>45</v>
      </c>
      <c r="C55" s="10" t="n">
        <v>46219</v>
      </c>
      <c r="D55" s="11" t="n">
        <f aca="false">$B$2-C55</f>
        <v>7</v>
      </c>
      <c r="E55" s="9" t="s">
        <v>155</v>
      </c>
      <c r="F55" s="9" t="s">
        <v>155</v>
      </c>
      <c r="G55" s="9" t="s">
        <v>61</v>
      </c>
      <c r="H55" s="9" t="s">
        <v>62</v>
      </c>
      <c r="I55" s="9" t="n">
        <v>7</v>
      </c>
      <c r="J55" s="12" t="n">
        <v>26767.46</v>
      </c>
      <c r="K55" s="12" t="n">
        <v>9310.56</v>
      </c>
      <c r="L55" s="13" t="n">
        <f aca="false">IFERROR((J55-K55)/J55,"")</f>
        <v>0.652168715298351</v>
      </c>
      <c r="M55" s="9" t="n">
        <v>1</v>
      </c>
      <c r="N55" s="11" t="str">
        <f aca="false">IF(M55=0,"Not started",IF(L55&gt;=0.9999,"Value complete","Partial"))</f>
        <v>Partial</v>
      </c>
      <c r="O55" s="11" t="str">
        <f aca="false">IF(AND(D55&gt;7,K55&gt;25000),"ESCALATE",IF(K55&gt;100000,"High value",IF(D55&gt;7,"Aged","Monitor")))</f>
        <v>Monitor</v>
      </c>
    </row>
    <row r="56" customFormat="false" ht="15" hidden="false" customHeight="false" outlineLevel="0" collapsed="false">
      <c r="A56" s="9" t="s">
        <v>156</v>
      </c>
      <c r="B56" s="9" t="s">
        <v>45</v>
      </c>
      <c r="C56" s="10" t="n">
        <v>46213</v>
      </c>
      <c r="D56" s="11" t="n">
        <f aca="false">$B$2-C56</f>
        <v>13</v>
      </c>
      <c r="E56" s="9" t="s">
        <v>122</v>
      </c>
      <c r="F56" s="9" t="s">
        <v>123</v>
      </c>
      <c r="G56" s="9" t="s">
        <v>47</v>
      </c>
      <c r="H56" s="9" t="s">
        <v>52</v>
      </c>
      <c r="I56" s="9" t="n">
        <v>227</v>
      </c>
      <c r="J56" s="12" t="n">
        <v>50723.34</v>
      </c>
      <c r="K56" s="12" t="n">
        <v>8952.83</v>
      </c>
      <c r="L56" s="13" t="n">
        <f aca="false">IFERROR((J56-K56)/J56,"")</f>
        <v>0.823496835973341</v>
      </c>
      <c r="M56" s="9" t="n">
        <v>1</v>
      </c>
      <c r="N56" s="11" t="str">
        <f aca="false">IF(M56=0,"Not started",IF(L56&gt;=0.9999,"Value complete","Partial"))</f>
        <v>Partial</v>
      </c>
      <c r="O56" s="11" t="str">
        <f aca="false">IF(AND(D56&gt;7,K56&gt;25000),"ESCALATE",IF(K56&gt;100000,"High value",IF(D56&gt;7,"Aged","Monitor")))</f>
        <v>Aged</v>
      </c>
    </row>
    <row r="57" customFormat="false" ht="15" hidden="false" customHeight="false" outlineLevel="0" collapsed="false">
      <c r="A57" s="9" t="s">
        <v>157</v>
      </c>
      <c r="B57" s="9" t="s">
        <v>45</v>
      </c>
      <c r="C57" s="10" t="n">
        <v>46213</v>
      </c>
      <c r="D57" s="11" t="n">
        <f aca="false">$B$2-C57</f>
        <v>13</v>
      </c>
      <c r="E57" s="9" t="s">
        <v>158</v>
      </c>
      <c r="F57" s="9" t="s">
        <v>123</v>
      </c>
      <c r="G57" s="9" t="s">
        <v>47</v>
      </c>
      <c r="H57" s="9" t="s">
        <v>52</v>
      </c>
      <c r="I57" s="9" t="n">
        <v>174</v>
      </c>
      <c r="J57" s="12" t="n">
        <v>31025.69</v>
      </c>
      <c r="K57" s="12" t="n">
        <v>8631.2</v>
      </c>
      <c r="L57" s="13" t="n">
        <f aca="false">IFERROR((J57-K57)/J57,"")</f>
        <v>0.721804736655333</v>
      </c>
      <c r="M57" s="9" t="n">
        <v>1</v>
      </c>
      <c r="N57" s="11" t="str">
        <f aca="false">IF(M57=0,"Not started",IF(L57&gt;=0.9999,"Value complete","Partial"))</f>
        <v>Partial</v>
      </c>
      <c r="O57" s="11" t="str">
        <f aca="false">IF(AND(D57&gt;7,K57&gt;25000),"ESCALATE",IF(K57&gt;100000,"High value",IF(D57&gt;7,"Aged","Monitor")))</f>
        <v>Aged</v>
      </c>
    </row>
    <row r="58" customFormat="false" ht="15" hidden="false" customHeight="false" outlineLevel="0" collapsed="false">
      <c r="A58" s="9" t="s">
        <v>159</v>
      </c>
      <c r="B58" s="9" t="s">
        <v>45</v>
      </c>
      <c r="C58" s="10" t="n">
        <v>46213</v>
      </c>
      <c r="D58" s="11" t="n">
        <f aca="false">$B$2-C58</f>
        <v>13</v>
      </c>
      <c r="E58" s="9" t="s">
        <v>125</v>
      </c>
      <c r="F58" s="9" t="s">
        <v>123</v>
      </c>
      <c r="G58" s="9" t="s">
        <v>47</v>
      </c>
      <c r="H58" s="9" t="s">
        <v>52</v>
      </c>
      <c r="I58" s="9" t="n">
        <v>88</v>
      </c>
      <c r="J58" s="12" t="n">
        <v>93268.94</v>
      </c>
      <c r="K58" s="12" t="n">
        <v>6502.19</v>
      </c>
      <c r="L58" s="13" t="n">
        <f aca="false">IFERROR((J58-K58)/J58,"")</f>
        <v>0.930285580601645</v>
      </c>
      <c r="M58" s="9" t="n">
        <v>1</v>
      </c>
      <c r="N58" s="11" t="str">
        <f aca="false">IF(M58=0,"Not started",IF(L58&gt;=0.9999,"Value complete","Partial"))</f>
        <v>Partial</v>
      </c>
      <c r="O58" s="11" t="str">
        <f aca="false">IF(AND(D58&gt;7,K58&gt;25000),"ESCALATE",IF(K58&gt;100000,"High value",IF(D58&gt;7,"Aged","Monitor")))</f>
        <v>Aged</v>
      </c>
    </row>
    <row r="59" customFormat="false" ht="15" hidden="false" customHeight="false" outlineLevel="0" collapsed="false">
      <c r="A59" s="9" t="s">
        <v>160</v>
      </c>
      <c r="B59" s="9" t="s">
        <v>45</v>
      </c>
      <c r="C59" s="10" t="n">
        <v>46210</v>
      </c>
      <c r="D59" s="11" t="n">
        <f aca="false">$B$2-C59</f>
        <v>16</v>
      </c>
      <c r="E59" s="9" t="s">
        <v>161</v>
      </c>
      <c r="F59" s="9" t="s">
        <v>161</v>
      </c>
      <c r="G59" s="9" t="s">
        <v>61</v>
      </c>
      <c r="H59" s="9" t="s">
        <v>62</v>
      </c>
      <c r="I59" s="9" t="n">
        <v>32</v>
      </c>
      <c r="J59" s="12" t="n">
        <v>68124.84</v>
      </c>
      <c r="K59" s="12" t="n">
        <v>6350</v>
      </c>
      <c r="L59" s="13" t="n">
        <f aca="false">IFERROR((J59-K59)/J59,"")</f>
        <v>0.906788771907574</v>
      </c>
      <c r="M59" s="9" t="n">
        <v>1</v>
      </c>
      <c r="N59" s="11" t="str">
        <f aca="false">IF(M59=0,"Not started",IF(L59&gt;=0.9999,"Value complete","Partial"))</f>
        <v>Partial</v>
      </c>
      <c r="O59" s="11" t="str">
        <f aca="false">IF(AND(D59&gt;7,K59&gt;25000),"ESCALATE",IF(K59&gt;100000,"High value",IF(D59&gt;7,"Aged","Monitor")))</f>
        <v>Aged</v>
      </c>
    </row>
    <row r="60" customFormat="false" ht="15" hidden="false" customHeight="false" outlineLevel="0" collapsed="false">
      <c r="A60" s="9" t="s">
        <v>162</v>
      </c>
      <c r="B60" s="9" t="s">
        <v>45</v>
      </c>
      <c r="C60" s="10" t="n">
        <v>46213</v>
      </c>
      <c r="D60" s="11" t="n">
        <f aca="false">$B$2-C60</f>
        <v>13</v>
      </c>
      <c r="E60" s="9" t="s">
        <v>125</v>
      </c>
      <c r="F60" s="9" t="s">
        <v>123</v>
      </c>
      <c r="G60" s="9" t="s">
        <v>47</v>
      </c>
      <c r="H60" s="9" t="s">
        <v>52</v>
      </c>
      <c r="I60" s="9" t="n">
        <v>180</v>
      </c>
      <c r="J60" s="12" t="n">
        <v>44449.65</v>
      </c>
      <c r="K60" s="12" t="n">
        <v>6234.82</v>
      </c>
      <c r="L60" s="13" t="n">
        <f aca="false">IFERROR((J60-K60)/J60,"")</f>
        <v>0.859732978774861</v>
      </c>
      <c r="M60" s="9" t="n">
        <v>1</v>
      </c>
      <c r="N60" s="11" t="str">
        <f aca="false">IF(M60=0,"Not started",IF(L60&gt;=0.9999,"Value complete","Partial"))</f>
        <v>Partial</v>
      </c>
      <c r="O60" s="11" t="str">
        <f aca="false">IF(AND(D60&gt;7,K60&gt;25000),"ESCALATE",IF(K60&gt;100000,"High value",IF(D60&gt;7,"Aged","Monitor")))</f>
        <v>Aged</v>
      </c>
    </row>
    <row r="61" customFormat="false" ht="15" hidden="false" customHeight="false" outlineLevel="0" collapsed="false">
      <c r="A61" s="9" t="s">
        <v>163</v>
      </c>
      <c r="B61" s="9" t="s">
        <v>45</v>
      </c>
      <c r="C61" s="10" t="n">
        <v>46213</v>
      </c>
      <c r="D61" s="11" t="n">
        <f aca="false">$B$2-C61</f>
        <v>13</v>
      </c>
      <c r="E61" s="9" t="s">
        <v>164</v>
      </c>
      <c r="F61" s="9" t="s">
        <v>123</v>
      </c>
      <c r="G61" s="9" t="s">
        <v>47</v>
      </c>
      <c r="H61" s="9" t="s">
        <v>52</v>
      </c>
      <c r="I61" s="9" t="n">
        <v>57</v>
      </c>
      <c r="J61" s="12" t="n">
        <v>10741.31</v>
      </c>
      <c r="K61" s="12" t="n">
        <v>6054.58</v>
      </c>
      <c r="L61" s="13" t="n">
        <f aca="false">IFERROR((J61-K61)/J61,"")</f>
        <v>0.436327598775196</v>
      </c>
      <c r="M61" s="9" t="n">
        <v>1</v>
      </c>
      <c r="N61" s="11" t="str">
        <f aca="false">IF(M61=0,"Not started",IF(L61&gt;=0.9999,"Value complete","Partial"))</f>
        <v>Partial</v>
      </c>
      <c r="O61" s="11" t="str">
        <f aca="false">IF(AND(D61&gt;7,K61&gt;25000),"ESCALATE",IF(K61&gt;100000,"High value",IF(D61&gt;7,"Aged","Monitor")))</f>
        <v>Aged</v>
      </c>
    </row>
    <row r="62" customFormat="false" ht="15" hidden="false" customHeight="false" outlineLevel="0" collapsed="false">
      <c r="A62" s="9" t="s">
        <v>165</v>
      </c>
      <c r="B62" s="9" t="s">
        <v>45</v>
      </c>
      <c r="C62" s="10" t="n">
        <v>46225</v>
      </c>
      <c r="D62" s="11" t="n">
        <f aca="false">$B$2-C62</f>
        <v>1</v>
      </c>
      <c r="E62" s="9" t="s">
        <v>166</v>
      </c>
      <c r="F62" s="9" t="s">
        <v>166</v>
      </c>
      <c r="G62" s="9" t="s">
        <v>61</v>
      </c>
      <c r="H62" s="9" t="s">
        <v>62</v>
      </c>
      <c r="I62" s="9" t="n">
        <v>25</v>
      </c>
      <c r="J62" s="12" t="n">
        <v>41857.31</v>
      </c>
      <c r="K62" s="12" t="n">
        <v>5131.5</v>
      </c>
      <c r="L62" s="13" t="n">
        <f aca="false">IFERROR((J62-K62)/J62,"")</f>
        <v>0.877404926403536</v>
      </c>
      <c r="M62" s="9" t="n">
        <v>1</v>
      </c>
      <c r="N62" s="11" t="str">
        <f aca="false">IF(M62=0,"Not started",IF(L62&gt;=0.9999,"Value complete","Partial"))</f>
        <v>Partial</v>
      </c>
      <c r="O62" s="11" t="str">
        <f aca="false">IF(AND(D62&gt;7,K62&gt;25000),"ESCALATE",IF(K62&gt;100000,"High value",IF(D62&gt;7,"Aged","Monitor")))</f>
        <v>Monitor</v>
      </c>
    </row>
    <row r="63" customFormat="false" ht="15" hidden="false" customHeight="false" outlineLevel="0" collapsed="false">
      <c r="A63" s="9" t="s">
        <v>167</v>
      </c>
      <c r="B63" s="9" t="s">
        <v>45</v>
      </c>
      <c r="C63" s="10" t="n">
        <v>46220</v>
      </c>
      <c r="D63" s="11" t="n">
        <f aca="false">$B$2-C63</f>
        <v>6</v>
      </c>
      <c r="E63" s="9" t="s">
        <v>168</v>
      </c>
      <c r="F63" s="9" t="s">
        <v>168</v>
      </c>
      <c r="G63" s="9" t="s">
        <v>61</v>
      </c>
      <c r="H63" s="9" t="s">
        <v>62</v>
      </c>
      <c r="I63" s="9" t="n">
        <v>3</v>
      </c>
      <c r="J63" s="12" t="n">
        <v>11120.8</v>
      </c>
      <c r="K63" s="12" t="n">
        <v>4655.28</v>
      </c>
      <c r="L63" s="13" t="n">
        <f aca="false">IFERROR((J63-K63)/J63,"")</f>
        <v>0.581389828069923</v>
      </c>
      <c r="M63" s="9" t="n">
        <v>1</v>
      </c>
      <c r="N63" s="11" t="str">
        <f aca="false">IF(M63=0,"Not started",IF(L63&gt;=0.9999,"Value complete","Partial"))</f>
        <v>Partial</v>
      </c>
      <c r="O63" s="11" t="str">
        <f aca="false">IF(AND(D63&gt;7,K63&gt;25000),"ESCALATE",IF(K63&gt;100000,"High value",IF(D63&gt;7,"Aged","Monitor")))</f>
        <v>Monitor</v>
      </c>
    </row>
    <row r="64" customFormat="false" ht="15" hidden="false" customHeight="false" outlineLevel="0" collapsed="false">
      <c r="A64" s="9" t="s">
        <v>169</v>
      </c>
      <c r="B64" s="9" t="s">
        <v>45</v>
      </c>
      <c r="C64" s="10" t="n">
        <v>46224</v>
      </c>
      <c r="D64" s="11" t="n">
        <f aca="false">$B$2-C64</f>
        <v>2</v>
      </c>
      <c r="E64" s="9" t="s">
        <v>161</v>
      </c>
      <c r="F64" s="9" t="s">
        <v>161</v>
      </c>
      <c r="G64" s="9" t="s">
        <v>61</v>
      </c>
      <c r="H64" s="9" t="s">
        <v>62</v>
      </c>
      <c r="I64" s="9" t="n">
        <v>32</v>
      </c>
      <c r="J64" s="12" t="n">
        <v>70230.3</v>
      </c>
      <c r="K64" s="12" t="n">
        <v>3175</v>
      </c>
      <c r="L64" s="13" t="n">
        <f aca="false">IFERROR((J64-K64)/J64,"")</f>
        <v>0.954791592802537</v>
      </c>
      <c r="M64" s="9" t="n">
        <v>1</v>
      </c>
      <c r="N64" s="11" t="str">
        <f aca="false">IF(M64=0,"Not started",IF(L64&gt;=0.9999,"Value complete","Partial"))</f>
        <v>Partial</v>
      </c>
      <c r="O64" s="11" t="str">
        <f aca="false">IF(AND(D64&gt;7,K64&gt;25000),"ESCALATE",IF(K64&gt;100000,"High value",IF(D64&gt;7,"Aged","Monitor")))</f>
        <v>Monitor</v>
      </c>
    </row>
    <row r="65" customFormat="false" ht="15" hidden="false" customHeight="false" outlineLevel="0" collapsed="false">
      <c r="A65" s="9" t="s">
        <v>170</v>
      </c>
      <c r="B65" s="9" t="s">
        <v>45</v>
      </c>
      <c r="C65" s="10" t="n">
        <v>46224</v>
      </c>
      <c r="D65" s="11" t="n">
        <f aca="false">$B$2-C65</f>
        <v>2</v>
      </c>
      <c r="E65" s="9" t="s">
        <v>171</v>
      </c>
      <c r="F65" s="9" t="s">
        <v>171</v>
      </c>
      <c r="G65" s="9" t="s">
        <v>61</v>
      </c>
      <c r="H65" s="9" t="s">
        <v>62</v>
      </c>
      <c r="I65" s="9" t="n">
        <v>1</v>
      </c>
      <c r="J65" s="12" t="n">
        <v>2935</v>
      </c>
      <c r="K65" s="12" t="n">
        <v>2935</v>
      </c>
      <c r="L65" s="13" t="n">
        <f aca="false">IFERROR((J65-K65)/J65,"")</f>
        <v>0</v>
      </c>
      <c r="M65" s="9" t="n">
        <v>0</v>
      </c>
      <c r="N65" s="11" t="str">
        <f aca="false">IF(M65=0,"Not started",IF(L65&gt;=0.9999,"Value complete","Partial"))</f>
        <v>Not started</v>
      </c>
      <c r="O65" s="11" t="str">
        <f aca="false">IF(AND(D65&gt;7,K65&gt;25000),"ESCALATE",IF(K65&gt;100000,"High value",IF(D65&gt;7,"Aged","Monitor")))</f>
        <v>Monitor</v>
      </c>
    </row>
    <row r="66" customFormat="false" ht="15" hidden="false" customHeight="false" outlineLevel="0" collapsed="false">
      <c r="A66" s="9" t="s">
        <v>172</v>
      </c>
      <c r="B66" s="9" t="s">
        <v>59</v>
      </c>
      <c r="C66" s="10" t="n">
        <v>46223</v>
      </c>
      <c r="D66" s="11" t="n">
        <f aca="false">$B$2-C66</f>
        <v>3</v>
      </c>
      <c r="E66" s="9" t="s">
        <v>173</v>
      </c>
      <c r="F66" s="9" t="s">
        <v>173</v>
      </c>
      <c r="G66" s="9" t="s">
        <v>47</v>
      </c>
      <c r="H66" s="9" t="s">
        <v>174</v>
      </c>
      <c r="I66" s="9" t="n">
        <v>2</v>
      </c>
      <c r="J66" s="12" t="n">
        <v>4921.83</v>
      </c>
      <c r="K66" s="12" t="n">
        <v>2470</v>
      </c>
      <c r="L66" s="13" t="n">
        <f aca="false">IFERROR((J66-K66)/J66,"")</f>
        <v>0.498154141853741</v>
      </c>
      <c r="M66" s="9" t="n">
        <v>1</v>
      </c>
      <c r="N66" s="11" t="str">
        <f aca="false">IF(M66=0,"Not started",IF(L66&gt;=0.9999,"Value complete","Partial"))</f>
        <v>Partial</v>
      </c>
      <c r="O66" s="11" t="str">
        <f aca="false">IF(AND(D66&gt;7,K66&gt;25000),"ESCALATE",IF(K66&gt;100000,"High value",IF(D66&gt;7,"Aged","Monitor")))</f>
        <v>Monitor</v>
      </c>
    </row>
    <row r="67" customFormat="false" ht="15" hidden="false" customHeight="false" outlineLevel="0" collapsed="false">
      <c r="A67" s="9" t="s">
        <v>175</v>
      </c>
      <c r="B67" s="9" t="s">
        <v>45</v>
      </c>
      <c r="C67" s="10" t="n">
        <v>46226</v>
      </c>
      <c r="D67" s="11" t="n">
        <f aca="false">$B$2-C67</f>
        <v>0</v>
      </c>
      <c r="E67" s="9" t="s">
        <v>176</v>
      </c>
      <c r="F67" s="9" t="s">
        <v>176</v>
      </c>
      <c r="G67" s="9" t="s">
        <v>61</v>
      </c>
      <c r="H67" s="9" t="s">
        <v>62</v>
      </c>
      <c r="I67" s="9" t="n">
        <v>1</v>
      </c>
      <c r="J67" s="12" t="n">
        <v>1826.77</v>
      </c>
      <c r="K67" s="12" t="n">
        <v>1826.77</v>
      </c>
      <c r="L67" s="13" t="n">
        <f aca="false">IFERROR((J67-K67)/J67,"")</f>
        <v>0</v>
      </c>
      <c r="M67" s="9" t="n">
        <v>0</v>
      </c>
      <c r="N67" s="11" t="str">
        <f aca="false">IF(M67=0,"Not started",IF(L67&gt;=0.9999,"Value complete","Partial"))</f>
        <v>Not started</v>
      </c>
      <c r="O67" s="11" t="str">
        <f aca="false">IF(AND(D67&gt;7,K67&gt;25000),"ESCALATE",IF(K67&gt;100000,"High value",IF(D67&gt;7,"Aged","Monitor")))</f>
        <v>Monitor</v>
      </c>
    </row>
    <row r="68" customFormat="false" ht="15" hidden="false" customHeight="false" outlineLevel="0" collapsed="false">
      <c r="A68" s="9" t="s">
        <v>177</v>
      </c>
      <c r="B68" s="9" t="s">
        <v>45</v>
      </c>
      <c r="C68" s="10" t="n">
        <v>46221</v>
      </c>
      <c r="D68" s="11" t="n">
        <f aca="false">$B$2-C68</f>
        <v>5</v>
      </c>
      <c r="E68" s="9" t="s">
        <v>178</v>
      </c>
      <c r="F68" s="9" t="s">
        <v>179</v>
      </c>
      <c r="G68" s="9" t="s">
        <v>180</v>
      </c>
      <c r="H68" s="9" t="s">
        <v>62</v>
      </c>
      <c r="I68" s="9" t="n">
        <v>3</v>
      </c>
      <c r="J68" s="12" t="n">
        <v>4293.58</v>
      </c>
      <c r="K68" s="12" t="n">
        <v>1481.79</v>
      </c>
      <c r="L68" s="13" t="n">
        <f aca="false">IFERROR((J68-K68)/J68,"")</f>
        <v>0.65488240582451</v>
      </c>
      <c r="M68" s="9" t="n">
        <v>1</v>
      </c>
      <c r="N68" s="11" t="str">
        <f aca="false">IF(M68=0,"Not started",IF(L68&gt;=0.9999,"Value complete","Partial"))</f>
        <v>Partial</v>
      </c>
      <c r="O68" s="11" t="str">
        <f aca="false">IF(AND(D68&gt;7,K68&gt;25000),"ESCALATE",IF(K68&gt;100000,"High value",IF(D68&gt;7,"Aged","Monitor")))</f>
        <v>Monitor</v>
      </c>
    </row>
    <row r="69" customFormat="false" ht="15" hidden="false" customHeight="false" outlineLevel="0" collapsed="false">
      <c r="A69" s="9" t="s">
        <v>181</v>
      </c>
      <c r="B69" s="9" t="s">
        <v>59</v>
      </c>
      <c r="C69" s="10" t="n">
        <v>46219</v>
      </c>
      <c r="D69" s="11" t="n">
        <f aca="false">$B$2-C69</f>
        <v>7</v>
      </c>
      <c r="E69" s="9" t="s">
        <v>182</v>
      </c>
      <c r="F69" s="9" t="s">
        <v>182</v>
      </c>
      <c r="G69" s="9" t="s">
        <v>47</v>
      </c>
      <c r="H69" s="9" t="s">
        <v>48</v>
      </c>
      <c r="I69" s="9" t="n">
        <v>23</v>
      </c>
      <c r="J69" s="12" t="n">
        <v>7433.1</v>
      </c>
      <c r="K69" s="12" t="n">
        <v>699.83</v>
      </c>
      <c r="L69" s="13" t="n">
        <f aca="false">IFERROR((J69-K69)/J69,"")</f>
        <v>0.905849510971196</v>
      </c>
      <c r="M69" s="9" t="n">
        <v>1</v>
      </c>
      <c r="N69" s="11" t="str">
        <f aca="false">IF(M69=0,"Not started",IF(L69&gt;=0.9999,"Value complete","Partial"))</f>
        <v>Partial</v>
      </c>
      <c r="O69" s="11" t="str">
        <f aca="false">IF(AND(D69&gt;7,K69&gt;25000),"ESCALATE",IF(K69&gt;100000,"High value",IF(D69&gt;7,"Aged","Monitor")))</f>
        <v>Monitor</v>
      </c>
    </row>
    <row r="70" customFormat="false" ht="15" hidden="false" customHeight="false" outlineLevel="0" collapsed="false">
      <c r="A70" s="9" t="s">
        <v>183</v>
      </c>
      <c r="B70" s="9" t="s">
        <v>59</v>
      </c>
      <c r="C70" s="10" t="n">
        <v>46214</v>
      </c>
      <c r="D70" s="11" t="n">
        <f aca="false">$B$2-C70</f>
        <v>12</v>
      </c>
      <c r="E70" s="9" t="s">
        <v>173</v>
      </c>
      <c r="F70" s="9" t="s">
        <v>173</v>
      </c>
      <c r="G70" s="9" t="s">
        <v>47</v>
      </c>
      <c r="H70" s="9" t="s">
        <v>174</v>
      </c>
      <c r="I70" s="9" t="n">
        <v>3</v>
      </c>
      <c r="J70" s="12" t="n">
        <v>601.29</v>
      </c>
      <c r="K70" s="12" t="n">
        <v>520.47</v>
      </c>
      <c r="L70" s="13" t="n">
        <f aca="false">IFERROR((J70-K70)/J70,"")</f>
        <v>0.134411016314923</v>
      </c>
      <c r="M70" s="9" t="n">
        <v>1</v>
      </c>
      <c r="N70" s="11" t="str">
        <f aca="false">IF(M70=0,"Not started",IF(L70&gt;=0.9999,"Value complete","Partial"))</f>
        <v>Partial</v>
      </c>
      <c r="O70" s="11" t="str">
        <f aca="false">IF(AND(D70&gt;7,K70&gt;25000),"ESCALATE",IF(K70&gt;100000,"High value",IF(D70&gt;7,"Aged","Monitor")))</f>
        <v>Aged</v>
      </c>
    </row>
    <row r="71" customFormat="false" ht="15" hidden="false" customHeight="false" outlineLevel="0" collapsed="false">
      <c r="A71" s="9" t="s">
        <v>184</v>
      </c>
      <c r="B71" s="9" t="s">
        <v>59</v>
      </c>
      <c r="C71" s="10" t="n">
        <v>46209</v>
      </c>
      <c r="D71" s="11" t="n">
        <f aca="false">$B$2-C71</f>
        <v>17</v>
      </c>
      <c r="E71" s="9" t="s">
        <v>182</v>
      </c>
      <c r="F71" s="9" t="s">
        <v>182</v>
      </c>
      <c r="G71" s="9" t="s">
        <v>47</v>
      </c>
      <c r="H71" s="9" t="s">
        <v>48</v>
      </c>
      <c r="I71" s="9" t="n">
        <v>11</v>
      </c>
      <c r="J71" s="12" t="n">
        <v>5329.15</v>
      </c>
      <c r="K71" s="12" t="n">
        <v>337.93</v>
      </c>
      <c r="L71" s="13" t="n">
        <f aca="false">IFERROR((J71-K71)/J71,"")</f>
        <v>0.936588386515673</v>
      </c>
      <c r="M71" s="9" t="n">
        <v>1</v>
      </c>
      <c r="N71" s="11" t="str">
        <f aca="false">IF(M71=0,"Not started",IF(L71&gt;=0.9999,"Value complete","Partial"))</f>
        <v>Partial</v>
      </c>
      <c r="O71" s="11" t="str">
        <f aca="false">IF(AND(D71&gt;7,K71&gt;25000),"ESCALATE",IF(K71&gt;100000,"High value",IF(D71&gt;7,"Aged","Monitor")))</f>
        <v>Aged</v>
      </c>
    </row>
    <row r="72" customFormat="false" ht="15" hidden="false" customHeight="false" outlineLevel="0" collapsed="false">
      <c r="A72" s="9" t="s">
        <v>185</v>
      </c>
      <c r="B72" s="9" t="s">
        <v>59</v>
      </c>
      <c r="C72" s="10" t="n">
        <v>46221</v>
      </c>
      <c r="D72" s="11" t="n">
        <f aca="false">$B$2-C72</f>
        <v>5</v>
      </c>
      <c r="E72" s="9" t="s">
        <v>173</v>
      </c>
      <c r="F72" s="9" t="s">
        <v>173</v>
      </c>
      <c r="G72" s="9" t="s">
        <v>47</v>
      </c>
      <c r="H72" s="9" t="s">
        <v>174</v>
      </c>
      <c r="I72" s="9" t="n">
        <v>14</v>
      </c>
      <c r="J72" s="12" t="n">
        <v>2375</v>
      </c>
      <c r="K72" s="12" t="n">
        <v>306.68</v>
      </c>
      <c r="L72" s="13" t="n">
        <f aca="false">IFERROR((J72-K72)/J72,"")</f>
        <v>0.870871578947368</v>
      </c>
      <c r="M72" s="9" t="n">
        <v>3</v>
      </c>
      <c r="N72" s="11" t="str">
        <f aca="false">IF(M72=0,"Not started",IF(L72&gt;=0.9999,"Value complete","Partial"))</f>
        <v>Partial</v>
      </c>
      <c r="O72" s="11" t="str">
        <f aca="false">IF(AND(D72&gt;7,K72&gt;25000),"ESCALATE",IF(K72&gt;100000,"High value",IF(D72&gt;7,"Aged","Monitor")))</f>
        <v>Monitor</v>
      </c>
    </row>
    <row r="73" customFormat="false" ht="15" hidden="false" customHeight="false" outlineLevel="0" collapsed="false">
      <c r="A73" s="9" t="s">
        <v>186</v>
      </c>
      <c r="B73" s="9" t="s">
        <v>59</v>
      </c>
      <c r="C73" s="10" t="n">
        <v>46226</v>
      </c>
      <c r="D73" s="11" t="n">
        <f aca="false">$B$2-C73</f>
        <v>0</v>
      </c>
      <c r="E73" s="9" t="s">
        <v>173</v>
      </c>
      <c r="F73" s="9" t="s">
        <v>173</v>
      </c>
      <c r="G73" s="9" t="s">
        <v>47</v>
      </c>
      <c r="H73" s="9" t="s">
        <v>174</v>
      </c>
      <c r="I73" s="9" t="n">
        <v>3</v>
      </c>
      <c r="J73" s="12" t="n">
        <v>845.21</v>
      </c>
      <c r="K73" s="12" t="n">
        <v>165.26</v>
      </c>
      <c r="L73" s="13" t="n">
        <f aca="false">IFERROR((J73-K73)/J73,"")</f>
        <v>0.80447462760734</v>
      </c>
      <c r="M73" s="9" t="n">
        <v>2</v>
      </c>
      <c r="N73" s="11" t="str">
        <f aca="false">IF(M73=0,"Not started",IF(L73&gt;=0.9999,"Value complete","Partial"))</f>
        <v>Partial</v>
      </c>
      <c r="O73" s="11" t="str">
        <f aca="false">IF(AND(D73&gt;7,K73&gt;25000),"ESCALATE",IF(K73&gt;100000,"High value",IF(D73&gt;7,"Aged","Monitor")))</f>
        <v>Monitor</v>
      </c>
    </row>
    <row r="74" customFormat="false" ht="15" hidden="false" customHeight="false" outlineLevel="0" collapsed="false">
      <c r="A74" s="9" t="s">
        <v>187</v>
      </c>
      <c r="B74" s="9" t="s">
        <v>59</v>
      </c>
      <c r="C74" s="10" t="n">
        <v>46220</v>
      </c>
      <c r="D74" s="11" t="n">
        <f aca="false">$B$2-C74</f>
        <v>6</v>
      </c>
      <c r="E74" s="9" t="s">
        <v>173</v>
      </c>
      <c r="F74" s="9" t="s">
        <v>173</v>
      </c>
      <c r="G74" s="9" t="s">
        <v>47</v>
      </c>
      <c r="H74" s="9" t="s">
        <v>174</v>
      </c>
      <c r="I74" s="9" t="n">
        <v>5</v>
      </c>
      <c r="J74" s="12" t="n">
        <v>1034.87</v>
      </c>
      <c r="K74" s="12" t="n">
        <v>165.25</v>
      </c>
      <c r="L74" s="13" t="n">
        <f aca="false">IFERROR((J74-K74)/J74,"")</f>
        <v>0.840318107588393</v>
      </c>
      <c r="M74" s="9" t="n">
        <v>1</v>
      </c>
      <c r="N74" s="11" t="str">
        <f aca="false">IF(M74=0,"Not started",IF(L74&gt;=0.9999,"Value complete","Partial"))</f>
        <v>Partial</v>
      </c>
      <c r="O74" s="11" t="str">
        <f aca="false">IF(AND(D74&gt;7,K74&gt;25000),"ESCALATE",IF(K74&gt;100000,"High value",IF(D74&gt;7,"Aged","Monitor")))</f>
        <v>Monitor</v>
      </c>
    </row>
    <row r="75" customFormat="false" ht="15" hidden="false" customHeight="false" outlineLevel="0" collapsed="false">
      <c r="A75" s="9" t="s">
        <v>188</v>
      </c>
      <c r="B75" s="9" t="s">
        <v>59</v>
      </c>
      <c r="C75" s="10" t="n">
        <v>46211</v>
      </c>
      <c r="D75" s="11" t="n">
        <f aca="false">$B$2-C75</f>
        <v>15</v>
      </c>
      <c r="E75" s="9" t="s">
        <v>173</v>
      </c>
      <c r="F75" s="9" t="s">
        <v>173</v>
      </c>
      <c r="G75" s="9" t="s">
        <v>47</v>
      </c>
      <c r="H75" s="9" t="s">
        <v>174</v>
      </c>
      <c r="I75" s="9" t="n">
        <v>4</v>
      </c>
      <c r="J75" s="12" t="n">
        <v>644.93</v>
      </c>
      <c r="K75" s="12" t="n">
        <v>79.2</v>
      </c>
      <c r="L75" s="13" t="n">
        <f aca="false">IFERROR((J75-K75)/J75,"")</f>
        <v>0.87719597475695</v>
      </c>
      <c r="M75" s="9" t="n">
        <v>1</v>
      </c>
      <c r="N75" s="11" t="str">
        <f aca="false">IF(M75=0,"Not started",IF(L75&gt;=0.9999,"Value complete","Partial"))</f>
        <v>Partial</v>
      </c>
      <c r="O75" s="11" t="str">
        <f aca="false">IF(AND(D75&gt;7,K75&gt;25000),"ESCALATE",IF(K75&gt;100000,"High value",IF(D75&gt;7,"Aged","Monitor")))</f>
        <v>Aged</v>
      </c>
    </row>
    <row r="76" customFormat="false" ht="15" hidden="false" customHeight="false" outlineLevel="0" collapsed="false">
      <c r="A76" s="9" t="s">
        <v>189</v>
      </c>
      <c r="B76" s="9" t="s">
        <v>45</v>
      </c>
      <c r="C76" s="10" t="n">
        <v>46204</v>
      </c>
      <c r="D76" s="11" t="n">
        <f aca="false">$B$2-C76</f>
        <v>22</v>
      </c>
      <c r="E76" s="9" t="s">
        <v>190</v>
      </c>
      <c r="F76" s="9" t="s">
        <v>190</v>
      </c>
      <c r="G76" s="9" t="s">
        <v>61</v>
      </c>
      <c r="H76" s="9" t="s">
        <v>62</v>
      </c>
      <c r="I76" s="9" t="n">
        <v>150</v>
      </c>
      <c r="J76" s="12" t="n">
        <v>15</v>
      </c>
      <c r="K76" s="12" t="n">
        <v>3.6</v>
      </c>
      <c r="L76" s="13" t="n">
        <f aca="false">IFERROR((J76-K76)/J76,"")</f>
        <v>0.76</v>
      </c>
      <c r="M76" s="9" t="n">
        <v>4</v>
      </c>
      <c r="N76" s="11" t="str">
        <f aca="false">IF(M76=0,"Not started",IF(L76&gt;=0.9999,"Value complete","Partial"))</f>
        <v>Partial</v>
      </c>
      <c r="O76" s="11" t="str">
        <f aca="false">IF(AND(D76&gt;7,K76&gt;25000),"ESCALATE",IF(K76&gt;100000,"High value",IF(D76&gt;7,"Aged","Monitor")))</f>
        <v>Aged</v>
      </c>
    </row>
    <row r="77" customFormat="false" ht="15" hidden="false" customHeight="false" outlineLevel="0" collapsed="false">
      <c r="A77" s="9" t="s">
        <v>191</v>
      </c>
      <c r="B77" s="9" t="s">
        <v>45</v>
      </c>
      <c r="C77" s="10" t="n">
        <v>46224</v>
      </c>
      <c r="D77" s="11" t="n">
        <f aca="false">$B$2-C77</f>
        <v>2</v>
      </c>
      <c r="E77" s="9" t="s">
        <v>192</v>
      </c>
      <c r="F77" s="9" t="s">
        <v>192</v>
      </c>
      <c r="G77" s="9" t="s">
        <v>61</v>
      </c>
      <c r="H77" s="9" t="s">
        <v>62</v>
      </c>
      <c r="I77" s="9" t="n">
        <v>26</v>
      </c>
      <c r="J77" s="12" t="n">
        <v>2.6</v>
      </c>
      <c r="K77" s="12" t="n">
        <v>2.6</v>
      </c>
      <c r="L77" s="13" t="n">
        <f aca="false">IFERROR((J77-K77)/J77,"")</f>
        <v>0</v>
      </c>
      <c r="M77" s="9" t="n">
        <v>0</v>
      </c>
      <c r="N77" s="11" t="str">
        <f aca="false">IF(M77=0,"Not started",IF(L77&gt;=0.9999,"Value complete","Partial"))</f>
        <v>Not started</v>
      </c>
      <c r="O77" s="11" t="str">
        <f aca="false">IF(AND(D77&gt;7,K77&gt;25000),"ESCALATE",IF(K77&gt;100000,"High value",IF(D77&gt;7,"Aged","Monitor")))</f>
        <v>Monitor</v>
      </c>
    </row>
    <row r="78" customFormat="false" ht="15" hidden="false" customHeight="false" outlineLevel="0" collapsed="false">
      <c r="A78" s="9" t="s">
        <v>193</v>
      </c>
      <c r="B78" s="9" t="s">
        <v>45</v>
      </c>
      <c r="C78" s="10" t="n">
        <v>46224</v>
      </c>
      <c r="D78" s="11" t="n">
        <f aca="false">$B$2-C78</f>
        <v>2</v>
      </c>
      <c r="E78" s="9" t="s">
        <v>194</v>
      </c>
      <c r="F78" s="9" t="s">
        <v>194</v>
      </c>
      <c r="G78" s="9" t="s">
        <v>47</v>
      </c>
      <c r="H78" s="9" t="s">
        <v>55</v>
      </c>
      <c r="I78" s="9" t="n">
        <v>235</v>
      </c>
      <c r="J78" s="12" t="n">
        <v>186122.54</v>
      </c>
      <c r="K78" s="12" t="n">
        <v>0</v>
      </c>
      <c r="L78" s="13" t="n">
        <f aca="false">IFERROR((J78-K78)/J78,"")</f>
        <v>1</v>
      </c>
      <c r="M78" s="9" t="n">
        <v>2</v>
      </c>
      <c r="N78" s="11" t="str">
        <f aca="false">IF(M78=0,"Not started",IF(L78&gt;=0.9999,"Value complete","Partial"))</f>
        <v>Value complete</v>
      </c>
      <c r="O78" s="11" t="str">
        <f aca="false">IF(AND(D78&gt;7,K78&gt;25000),"ESCALATE",IF(K78&gt;100000,"High value",IF(D78&gt;7,"Aged","Monitor")))</f>
        <v>Monitor</v>
      </c>
    </row>
    <row r="79" customFormat="false" ht="15" hidden="false" customHeight="false" outlineLevel="0" collapsed="false">
      <c r="A79" s="14" t="s">
        <v>195</v>
      </c>
      <c r="B79" s="15"/>
      <c r="C79" s="15"/>
      <c r="D79" s="15"/>
      <c r="E79" s="15"/>
      <c r="F79" s="15"/>
      <c r="G79" s="15"/>
      <c r="H79" s="15"/>
      <c r="I79" s="16" t="n">
        <f aca="false">SUM(I5:I78)</f>
        <v>20366</v>
      </c>
      <c r="J79" s="16" t="n">
        <f aca="false">SUM(J5:J78)</f>
        <v>8436410.51</v>
      </c>
      <c r="K79" s="16" t="n">
        <f aca="false">SUM(K5:K78)</f>
        <v>3861890.51</v>
      </c>
      <c r="L79" s="17" t="n">
        <f aca="false">IFERROR((J79-K79)/J79,"")</f>
        <v>0.542235349332236</v>
      </c>
      <c r="M79" s="15"/>
      <c r="N79" s="15"/>
      <c r="O79" s="15"/>
    </row>
  </sheetData>
  <autoFilter ref="A4:O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4" min="3" style="0" width="2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5" customFormat="false" ht="30" hidden="false" customHeight="true" outlineLevel="0" collapsed="false">
      <c r="A5" s="3" t="s">
        <v>198</v>
      </c>
      <c r="B5" s="3" t="s">
        <v>199</v>
      </c>
    </row>
    <row r="6" customFormat="false" ht="15" hidden="false" customHeight="false" outlineLevel="0" collapsed="false">
      <c r="A6" s="9" t="s">
        <v>200</v>
      </c>
      <c r="B6" s="18" t="n">
        <f aca="false">COUNTA('Order Detail'!$A$5:$A$78)</f>
        <v>74</v>
      </c>
    </row>
    <row r="7" customFormat="false" ht="15" hidden="false" customHeight="false" outlineLevel="0" collapsed="false">
      <c r="A7" s="9" t="s">
        <v>201</v>
      </c>
      <c r="B7" s="19" t="n">
        <f aca="false">SUM('Order Detail'!$J$5:$J$78)</f>
        <v>8436410.51</v>
      </c>
    </row>
    <row r="8" customFormat="false" ht="15" hidden="false" customHeight="false" outlineLevel="0" collapsed="false">
      <c r="A8" s="9" t="s">
        <v>202</v>
      </c>
      <c r="B8" s="19" t="n">
        <f aca="false">SUM('Order Detail'!$K$5:$K$78)</f>
        <v>3861890.51</v>
      </c>
    </row>
    <row r="9" customFormat="false" ht="15" hidden="false" customHeight="false" outlineLevel="0" collapsed="false">
      <c r="A9" s="9" t="s">
        <v>203</v>
      </c>
      <c r="B9" s="19" t="n">
        <f aca="false">B7-B8</f>
        <v>4574520</v>
      </c>
    </row>
    <row r="10" customFormat="false" ht="15" hidden="false" customHeight="false" outlineLevel="0" collapsed="false">
      <c r="A10" s="9" t="s">
        <v>204</v>
      </c>
      <c r="B10" s="20" t="n">
        <f aca="false">IFERROR(B9/B7,"")</f>
        <v>0.542235349332236</v>
      </c>
    </row>
    <row r="11" customFormat="false" ht="15" hidden="false" customHeight="false" outlineLevel="0" collapsed="false">
      <c r="A11" s="9" t="s">
        <v>205</v>
      </c>
      <c r="B11" s="18" t="n">
        <f aca="false">COUNTIF('Order Detail'!$M$5:$M$78,0)</f>
        <v>15</v>
      </c>
    </row>
    <row r="12" customFormat="false" ht="15" hidden="false" customHeight="false" outlineLevel="0" collapsed="false">
      <c r="A12" s="9" t="s">
        <v>206</v>
      </c>
      <c r="B12" s="19" t="n">
        <f aca="false">SUMIF('Order Detail'!$M$5:$M$78,0,'Order Detail'!$K$5:$K$78)</f>
        <v>2267947.81</v>
      </c>
    </row>
    <row r="13" customFormat="false" ht="15" hidden="false" customHeight="false" outlineLevel="0" collapsed="false">
      <c r="A13" s="9" t="s">
        <v>207</v>
      </c>
      <c r="B13" s="18" t="n">
        <f aca="false">COUNTIF('Order Detail'!$D$5:$D$78,"&gt;7")</f>
        <v>41</v>
      </c>
    </row>
    <row r="14" customFormat="false" ht="15" hidden="false" customHeight="false" outlineLevel="0" collapsed="false">
      <c r="A14" s="9" t="s">
        <v>208</v>
      </c>
      <c r="B14" s="19" t="n">
        <f aca="false">SUMIF('Order Detail'!$D$5:$D$78,"&gt;7",'Order Detail'!$K$5:$K$78)</f>
        <v>1281680.67</v>
      </c>
    </row>
    <row r="15" customFormat="false" ht="15" hidden="false" customHeight="false" outlineLevel="0" collapsed="false">
      <c r="A15" s="9" t="s">
        <v>209</v>
      </c>
      <c r="B15" s="18" t="n">
        <f aca="false">COUNTIF('Order Detail'!$O$5:$O$78,"ESCALATE")</f>
        <v>23</v>
      </c>
    </row>
    <row r="18" customFormat="false" ht="15" hidden="false" customHeight="false" outlineLevel="0" collapsed="false">
      <c r="A18" s="21" t="s">
        <v>210</v>
      </c>
    </row>
    <row r="19" customFormat="false" ht="30" hidden="false" customHeight="true" outlineLevel="0" collapsed="false">
      <c r="A19" s="3" t="s">
        <v>37</v>
      </c>
      <c r="B19" s="3" t="s">
        <v>211</v>
      </c>
      <c r="C19" s="3" t="s">
        <v>212</v>
      </c>
      <c r="D19" s="3" t="s">
        <v>213</v>
      </c>
      <c r="E19" s="3" t="s">
        <v>214</v>
      </c>
    </row>
    <row r="20" customFormat="false" ht="15" hidden="false" customHeight="false" outlineLevel="0" collapsed="false">
      <c r="A20" s="9" t="s">
        <v>52</v>
      </c>
      <c r="B20" s="22" t="n">
        <f aca="false">COUNTIF('Order Detail'!$H$5:$H$78,$A20)</f>
        <v>32</v>
      </c>
      <c r="C20" s="23" t="n">
        <f aca="false">SUMIF('Order Detail'!$H$5:$H$78,$A20,'Order Detail'!$J$5:$J$78)</f>
        <v>2875397.14</v>
      </c>
      <c r="D20" s="23" t="n">
        <f aca="false">SUMIF('Order Detail'!$H$5:$H$78,$A20,'Order Detail'!$K$5:$K$78)</f>
        <v>1196456.71</v>
      </c>
      <c r="E20" s="24" t="n">
        <f aca="false">IFERROR((C20-D20)/C20,"")</f>
        <v>0.583898622782939</v>
      </c>
    </row>
    <row r="21" customFormat="false" ht="15" hidden="false" customHeight="false" outlineLevel="0" collapsed="false">
      <c r="A21" s="9" t="s">
        <v>62</v>
      </c>
      <c r="B21" s="22" t="n">
        <f aca="false">COUNTIF('Order Detail'!$H$5:$H$78,$A21)</f>
        <v>17</v>
      </c>
      <c r="C21" s="23" t="n">
        <f aca="false">SUMIF('Order Detail'!$H$5:$H$78,$A21,'Order Detail'!$J$5:$J$78)</f>
        <v>756792.37</v>
      </c>
      <c r="D21" s="23" t="n">
        <f aca="false">SUMIF('Order Detail'!$H$5:$H$78,$A21,'Order Detail'!$K$5:$K$78)</f>
        <v>244762.14</v>
      </c>
      <c r="E21" s="24" t="n">
        <f aca="false">IFERROR((C21-D21)/C21,"")</f>
        <v>0.676579535282577</v>
      </c>
    </row>
    <row r="22" customFormat="false" ht="15" hidden="false" customHeight="false" outlineLevel="0" collapsed="false">
      <c r="A22" s="9" t="s">
        <v>78</v>
      </c>
      <c r="B22" s="22" t="n">
        <f aca="false">COUNTIF('Order Detail'!$H$5:$H$78,$A22)</f>
        <v>10</v>
      </c>
      <c r="C22" s="23" t="n">
        <f aca="false">SUMIF('Order Detail'!$H$5:$H$78,$A22,'Order Detail'!$J$5:$J$78)</f>
        <v>286527.41</v>
      </c>
      <c r="D22" s="23" t="n">
        <f aca="false">SUMIF('Order Detail'!$H$5:$H$78,$A22,'Order Detail'!$K$5:$K$78)</f>
        <v>273213.62</v>
      </c>
      <c r="E22" s="24" t="n">
        <f aca="false">IFERROR((C22-D22)/C22,"")</f>
        <v>0.046466025711118</v>
      </c>
    </row>
    <row r="23" customFormat="false" ht="15" hidden="false" customHeight="false" outlineLevel="0" collapsed="false">
      <c r="A23" s="9" t="s">
        <v>48</v>
      </c>
      <c r="B23" s="22" t="n">
        <f aca="false">COUNTIF('Order Detail'!$H$5:$H$78,$A23)</f>
        <v>6</v>
      </c>
      <c r="C23" s="23" t="n">
        <f aca="false">SUMIF('Order Detail'!$H$5:$H$78,$A23,'Order Detail'!$J$5:$J$78)</f>
        <v>2033740.82</v>
      </c>
      <c r="D23" s="23" t="n">
        <f aca="false">SUMIF('Order Detail'!$H$5:$H$78,$A23,'Order Detail'!$K$5:$K$78)</f>
        <v>1988880.46</v>
      </c>
      <c r="E23" s="24" t="n">
        <f aca="false">IFERROR((C23-D23)/C23,"")</f>
        <v>0.0220580516252803</v>
      </c>
    </row>
    <row r="24" customFormat="false" ht="15" hidden="false" customHeight="false" outlineLevel="0" collapsed="false">
      <c r="A24" s="9" t="s">
        <v>174</v>
      </c>
      <c r="B24" s="22" t="n">
        <f aca="false">COUNTIF('Order Detail'!$H$5:$H$78,$A24)</f>
        <v>6</v>
      </c>
      <c r="C24" s="23" t="n">
        <f aca="false">SUMIF('Order Detail'!$H$5:$H$78,$A24,'Order Detail'!$J$5:$J$78)</f>
        <v>10423.13</v>
      </c>
      <c r="D24" s="23" t="n">
        <f aca="false">SUMIF('Order Detail'!$H$5:$H$78,$A24,'Order Detail'!$K$5:$K$78)</f>
        <v>3706.86</v>
      </c>
      <c r="E24" s="24" t="n">
        <f aca="false">IFERROR((C24-D24)/C24,"")</f>
        <v>0.644362106200345</v>
      </c>
    </row>
    <row r="25" customFormat="false" ht="15" hidden="false" customHeight="false" outlineLevel="0" collapsed="false">
      <c r="A25" s="9" t="s">
        <v>55</v>
      </c>
      <c r="B25" s="22" t="n">
        <f aca="false">COUNTIF('Order Detail'!$H$5:$H$78,$A25)</f>
        <v>3</v>
      </c>
      <c r="C25" s="23" t="n">
        <f aca="false">SUMIF('Order Detail'!$H$5:$H$78,$A25,'Order Detail'!$J$5:$J$78)</f>
        <v>2473529.64</v>
      </c>
      <c r="D25" s="23" t="n">
        <f aca="false">SUMIF('Order Detail'!$H$5:$H$78,$A25,'Order Detail'!$K$5:$K$78)</f>
        <v>154870.72</v>
      </c>
      <c r="E25" s="24" t="n">
        <f aca="false">IFERROR((C25-D25)/C25,"")</f>
        <v>0.937388775337254</v>
      </c>
    </row>
    <row r="26" customFormat="false" ht="15" hidden="false" customHeight="false" outlineLevel="0" collapsed="false">
      <c r="A26" s="14" t="s">
        <v>215</v>
      </c>
      <c r="B26" s="25" t="n">
        <f aca="false">SUM(B20:B25)</f>
        <v>74</v>
      </c>
      <c r="C26" s="16" t="n">
        <f aca="false">SUM(C20:C25)</f>
        <v>8436410.51</v>
      </c>
      <c r="D26" s="16" t="n">
        <f aca="false">SUM(D20:D25)</f>
        <v>3861890.51</v>
      </c>
      <c r="E26" s="26" t="n">
        <f aca="false">IFERROR((C26-D26)/C26,"")</f>
        <v>0.542235349332236</v>
      </c>
    </row>
    <row r="29" customFormat="false" ht="15" hidden="false" customHeight="false" outlineLevel="0" collapsed="false">
      <c r="A29" s="21" t="s">
        <v>216</v>
      </c>
    </row>
    <row r="30" customFormat="false" ht="30" hidden="false" customHeight="true" outlineLevel="0" collapsed="false">
      <c r="A30" s="3" t="s">
        <v>217</v>
      </c>
      <c r="B30" s="3" t="s">
        <v>218</v>
      </c>
      <c r="C30" s="3" t="s">
        <v>219</v>
      </c>
      <c r="D30" s="3" t="s">
        <v>211</v>
      </c>
      <c r="E30" s="3" t="s">
        <v>213</v>
      </c>
    </row>
    <row r="31" customFormat="false" ht="15" hidden="false" customHeight="false" outlineLevel="0" collapsed="false">
      <c r="A31" s="9" t="s">
        <v>220</v>
      </c>
      <c r="B31" s="27" t="n">
        <v>0</v>
      </c>
      <c r="C31" s="27" t="n">
        <v>0</v>
      </c>
      <c r="D31" s="22" t="n">
        <f aca="false">COUNTIFS('Order Detail'!$D$5:$D$78,"&gt;="&amp;$B31,'Order Detail'!$D$5:$D$78,"&lt;="&amp;$C31)</f>
        <v>10</v>
      </c>
      <c r="E31" s="23" t="n">
        <f aca="false">SUMIFS('Order Detail'!$K$5:$K$78,'Order Detail'!$D$5:$D$78,"&gt;="&amp;$B31,'Order Detail'!$D$5:$D$78,"&lt;="&amp;$C31)</f>
        <v>2208360.02</v>
      </c>
    </row>
    <row r="32" customFormat="false" ht="15" hidden="false" customHeight="false" outlineLevel="0" collapsed="false">
      <c r="A32" s="9" t="s">
        <v>221</v>
      </c>
      <c r="B32" s="27" t="n">
        <v>1</v>
      </c>
      <c r="C32" s="27" t="n">
        <v>3</v>
      </c>
      <c r="D32" s="22" t="n">
        <f aca="false">COUNTIFS('Order Detail'!$D$5:$D$78,"&gt;="&amp;$B32,'Order Detail'!$D$5:$D$78,"&lt;="&amp;$C32)</f>
        <v>14</v>
      </c>
      <c r="E32" s="23" t="n">
        <f aca="false">SUMIFS('Order Detail'!$K$5:$K$78,'Order Detail'!$D$5:$D$78,"&gt;="&amp;$B32,'Order Detail'!$D$5:$D$78,"&lt;="&amp;$C32)</f>
        <v>266825.29</v>
      </c>
    </row>
    <row r="33" customFormat="false" ht="15" hidden="false" customHeight="false" outlineLevel="0" collapsed="false">
      <c r="A33" s="9" t="s">
        <v>222</v>
      </c>
      <c r="B33" s="27" t="n">
        <v>4</v>
      </c>
      <c r="C33" s="27" t="n">
        <v>7</v>
      </c>
      <c r="D33" s="22" t="n">
        <f aca="false">COUNTIFS('Order Detail'!$D$5:$D$78,"&gt;="&amp;$B33,'Order Detail'!$D$5:$D$78,"&lt;="&amp;$C33)</f>
        <v>9</v>
      </c>
      <c r="E33" s="23" t="n">
        <f aca="false">SUMIFS('Order Detail'!$K$5:$K$78,'Order Detail'!$D$5:$D$78,"&gt;="&amp;$B33,'Order Detail'!$D$5:$D$78,"&lt;="&amp;$C33)</f>
        <v>105024.53</v>
      </c>
    </row>
    <row r="34" customFormat="false" ht="15" hidden="false" customHeight="false" outlineLevel="0" collapsed="false">
      <c r="A34" s="9" t="s">
        <v>223</v>
      </c>
      <c r="B34" s="27" t="n">
        <v>8</v>
      </c>
      <c r="C34" s="27" t="n">
        <v>14</v>
      </c>
      <c r="D34" s="22" t="n">
        <f aca="false">COUNTIFS('Order Detail'!$D$5:$D$78,"&gt;="&amp;$B34,'Order Detail'!$D$5:$D$78,"&lt;="&amp;$C34)</f>
        <v>35</v>
      </c>
      <c r="E34" s="23" t="n">
        <f aca="false">SUMIFS('Order Detail'!$K$5:$K$78,'Order Detail'!$D$5:$D$78,"&gt;="&amp;$B34,'Order Detail'!$D$5:$D$78,"&lt;="&amp;$C34)</f>
        <v>1230059.94</v>
      </c>
    </row>
    <row r="35" customFormat="false" ht="15" hidden="false" customHeight="false" outlineLevel="0" collapsed="false">
      <c r="A35" s="9" t="s">
        <v>224</v>
      </c>
      <c r="B35" s="27" t="n">
        <v>15</v>
      </c>
      <c r="C35" s="27" t="n">
        <v>999</v>
      </c>
      <c r="D35" s="22" t="n">
        <f aca="false">COUNTIFS('Order Detail'!$D$5:$D$78,"&gt;="&amp;$B35,'Order Detail'!$D$5:$D$78,"&lt;="&amp;$C35)</f>
        <v>6</v>
      </c>
      <c r="E35" s="23" t="n">
        <f aca="false">SUMIFS('Order Detail'!$K$5:$K$78,'Order Detail'!$D$5:$D$78,"&gt;="&amp;$B35,'Order Detail'!$D$5:$D$78,"&lt;="&amp;$C35)</f>
        <v>51620.73</v>
      </c>
    </row>
    <row r="36" customFormat="false" ht="15" hidden="false" customHeight="false" outlineLevel="0" collapsed="false">
      <c r="A36" s="14" t="s">
        <v>215</v>
      </c>
      <c r="B36" s="14"/>
      <c r="C36" s="14"/>
      <c r="D36" s="25" t="n">
        <f aca="false">SUM(D31:D35)</f>
        <v>74</v>
      </c>
      <c r="E36" s="16" t="n">
        <f aca="false">SUM(E31:E35)</f>
        <v>3861890.51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20"/>
    <col collapsed="false" customWidth="true" hidden="false" outlineLevel="0" max="5" min="5" style="0" width="12"/>
    <col collapsed="false" customWidth="true" hidden="false" outlineLevel="0" max="7" min="6" style="0" width="18"/>
  </cols>
  <sheetData>
    <row r="1" customFormat="false" ht="17.3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4" customFormat="false" ht="30" hidden="false" customHeight="true" outlineLevel="0" collapsed="false">
      <c r="A4" s="3" t="s">
        <v>227</v>
      </c>
      <c r="B4" s="3" t="s">
        <v>211</v>
      </c>
      <c r="C4" s="3" t="s">
        <v>212</v>
      </c>
      <c r="D4" s="3" t="s">
        <v>213</v>
      </c>
      <c r="E4" s="3" t="s">
        <v>214</v>
      </c>
      <c r="F4" s="3" t="s">
        <v>228</v>
      </c>
      <c r="G4" s="3" t="s">
        <v>229</v>
      </c>
    </row>
    <row r="5" customFormat="false" ht="15" hidden="false" customHeight="false" outlineLevel="0" collapsed="false">
      <c r="A5" s="9" t="s">
        <v>51</v>
      </c>
      <c r="B5" s="22" t="n">
        <f aca="false">COUNTIF('Order Detail'!$F$5:$F$78,$A5)</f>
        <v>21</v>
      </c>
      <c r="C5" s="23" t="n">
        <f aca="false">SUMIF('Order Detail'!$F$5:$F$78,$A5,'Order Detail'!$J$5:$J$78)</f>
        <v>2110591.85</v>
      </c>
      <c r="D5" s="23" t="n">
        <f aca="false">SUMIF('Order Detail'!$F$5:$F$78,$A5,'Order Detail'!$K$5:$K$78)</f>
        <v>1055252.12</v>
      </c>
      <c r="E5" s="24" t="n">
        <f aca="false">IFERROR((C5-D5)/C5,"")</f>
        <v>0.500020754841823</v>
      </c>
      <c r="F5" s="22" t="n">
        <f aca="false">SUMPRODUCT(MAX(('Order Detail'!$F$5:$F$78=$A5)*'Order Detail'!$D$5:$D$78))</f>
        <v>13</v>
      </c>
      <c r="G5" s="22" t="n">
        <f aca="false">COUNTIFS('Order Detail'!$F$5:$F$78,$A5,'Order Detail'!$M$5:$M$78,0)</f>
        <v>0</v>
      </c>
    </row>
    <row r="6" customFormat="false" ht="15" hidden="false" customHeight="false" outlineLevel="0" collapsed="false">
      <c r="A6" s="9" t="s">
        <v>123</v>
      </c>
      <c r="B6" s="22" t="n">
        <f aca="false">COUNTIF('Order Detail'!$F$5:$F$78,$A6)</f>
        <v>10</v>
      </c>
      <c r="C6" s="23" t="n">
        <f aca="false">SUMIF('Order Detail'!$F$5:$F$78,$A6,'Order Detail'!$J$5:$J$78)</f>
        <v>590994.73</v>
      </c>
      <c r="D6" s="23" t="n">
        <f aca="false">SUMIF('Order Detail'!$F$5:$F$78,$A6,'Order Detail'!$K$5:$K$78)</f>
        <v>124369.4</v>
      </c>
      <c r="E6" s="24" t="n">
        <f aca="false">IFERROR((C6-D6)/C6,"")</f>
        <v>0.789559206390893</v>
      </c>
      <c r="F6" s="22" t="n">
        <f aca="false">SUMPRODUCT(MAX(('Order Detail'!$F$5:$F$78=$A6)*'Order Detail'!$D$5:$D$78))</f>
        <v>13</v>
      </c>
      <c r="G6" s="22" t="n">
        <f aca="false">COUNTIFS('Order Detail'!$F$5:$F$78,$A6,'Order Detail'!$M$5:$M$78,0)</f>
        <v>0</v>
      </c>
    </row>
    <row r="7" customFormat="false" ht="15" hidden="false" customHeight="false" outlineLevel="0" collapsed="false">
      <c r="A7" s="9" t="s">
        <v>173</v>
      </c>
      <c r="B7" s="22" t="n">
        <f aca="false">COUNTIF('Order Detail'!$F$5:$F$78,$A7)</f>
        <v>6</v>
      </c>
      <c r="C7" s="23" t="n">
        <f aca="false">SUMIF('Order Detail'!$F$5:$F$78,$A7,'Order Detail'!$J$5:$J$78)</f>
        <v>10423.13</v>
      </c>
      <c r="D7" s="23" t="n">
        <f aca="false">SUMIF('Order Detail'!$F$5:$F$78,$A7,'Order Detail'!$K$5:$K$78)</f>
        <v>3706.86</v>
      </c>
      <c r="E7" s="24" t="n">
        <f aca="false">IFERROR((C7-D7)/C7,"")</f>
        <v>0.644362106200345</v>
      </c>
      <c r="F7" s="22" t="n">
        <f aca="false">SUMPRODUCT(MAX(('Order Detail'!$F$5:$F$78=$A7)*'Order Detail'!$D$5:$D$78))</f>
        <v>15</v>
      </c>
      <c r="G7" s="22" t="n">
        <f aca="false">COUNTIFS('Order Detail'!$F$5:$F$78,$A7,'Order Detail'!$M$5:$M$78,0)</f>
        <v>0</v>
      </c>
    </row>
    <row r="8" customFormat="false" ht="15" hidden="false" customHeight="false" outlineLevel="0" collapsed="false">
      <c r="A8" s="9" t="s">
        <v>77</v>
      </c>
      <c r="B8" s="22" t="n">
        <f aca="false">COUNTIF('Order Detail'!$F$5:$F$78,$A8)</f>
        <v>5</v>
      </c>
      <c r="C8" s="23" t="n">
        <f aca="false">SUMIF('Order Detail'!$F$5:$F$78,$A8,'Order Detail'!$J$5:$J$78)</f>
        <v>151725.72</v>
      </c>
      <c r="D8" s="23" t="n">
        <f aca="false">SUMIF('Order Detail'!$F$5:$F$78,$A8,'Order Detail'!$K$5:$K$78)</f>
        <v>151725.72</v>
      </c>
      <c r="E8" s="24" t="n">
        <f aca="false">IFERROR((C8-D8)/C8,"")</f>
        <v>0</v>
      </c>
      <c r="F8" s="22" t="n">
        <f aca="false">SUMPRODUCT(MAX(('Order Detail'!$F$5:$F$78=$A8)*'Order Detail'!$D$5:$D$78))</f>
        <v>3</v>
      </c>
      <c r="G8" s="22" t="n">
        <f aca="false">COUNTIFS('Order Detail'!$F$5:$F$78,$A8,'Order Detail'!$M$5:$M$78,0)</f>
        <v>5</v>
      </c>
    </row>
    <row r="9" customFormat="false" ht="15" hidden="false" customHeight="false" outlineLevel="0" collapsed="false">
      <c r="A9" s="9" t="s">
        <v>103</v>
      </c>
      <c r="B9" s="22" t="n">
        <f aca="false">COUNTIF('Order Detail'!$F$5:$F$78,$A9)</f>
        <v>5</v>
      </c>
      <c r="C9" s="23" t="n">
        <f aca="false">SUMIF('Order Detail'!$F$5:$F$78,$A9,'Order Detail'!$J$5:$J$78)</f>
        <v>134801.69</v>
      </c>
      <c r="D9" s="23" t="n">
        <f aca="false">SUMIF('Order Detail'!$F$5:$F$78,$A9,'Order Detail'!$K$5:$K$78)</f>
        <v>121487.9</v>
      </c>
      <c r="E9" s="24" t="n">
        <f aca="false">IFERROR((C9-D9)/C9,"")</f>
        <v>0.098765749895272</v>
      </c>
      <c r="F9" s="22" t="n">
        <f aca="false">SUMPRODUCT(MAX(('Order Detail'!$F$5:$F$78=$A9)*'Order Detail'!$D$5:$D$78))</f>
        <v>8</v>
      </c>
      <c r="G9" s="22" t="n">
        <f aca="false">COUNTIFS('Order Detail'!$F$5:$F$78,$A9,'Order Detail'!$M$5:$M$78,0)</f>
        <v>4</v>
      </c>
    </row>
    <row r="10" customFormat="false" ht="15" hidden="false" customHeight="false" outlineLevel="0" collapsed="false">
      <c r="A10" s="9" t="s">
        <v>182</v>
      </c>
      <c r="B10" s="22" t="n">
        <f aca="false">COUNTIF('Order Detail'!$F$5:$F$78,$A10)</f>
        <v>2</v>
      </c>
      <c r="C10" s="23" t="n">
        <f aca="false">SUMIF('Order Detail'!$F$5:$F$78,$A10,'Order Detail'!$J$5:$J$78)</f>
        <v>12762.25</v>
      </c>
      <c r="D10" s="23" t="n">
        <f aca="false">SUMIF('Order Detail'!$F$5:$F$78,$A10,'Order Detail'!$K$5:$K$78)</f>
        <v>1037.76</v>
      </c>
      <c r="E10" s="24" t="n">
        <f aca="false">IFERROR((C10-D10)/C10,"")</f>
        <v>0.918685184822425</v>
      </c>
      <c r="F10" s="22" t="n">
        <f aca="false">SUMPRODUCT(MAX(('Order Detail'!$F$5:$F$78=$A10)*'Order Detail'!$D$5:$D$78))</f>
        <v>17</v>
      </c>
      <c r="G10" s="22" t="n">
        <f aca="false">COUNTIFS('Order Detail'!$F$5:$F$78,$A10,'Order Detail'!$M$5:$M$78,0)</f>
        <v>0</v>
      </c>
    </row>
    <row r="11" customFormat="false" ht="15" hidden="false" customHeight="false" outlineLevel="0" collapsed="false">
      <c r="A11" s="9" t="s">
        <v>120</v>
      </c>
      <c r="B11" s="22" t="n">
        <f aca="false">COUNTIF('Order Detail'!$F$5:$F$78,$A11)</f>
        <v>2</v>
      </c>
      <c r="C11" s="23" t="n">
        <f aca="false">SUMIF('Order Detail'!$F$5:$F$78,$A11,'Order Detail'!$J$5:$J$78)</f>
        <v>102408.71</v>
      </c>
      <c r="D11" s="23" t="n">
        <f aca="false">SUMIF('Order Detail'!$F$5:$F$78,$A11,'Order Detail'!$K$5:$K$78)</f>
        <v>44850</v>
      </c>
      <c r="E11" s="24" t="n">
        <f aca="false">IFERROR((C11-D11)/C11,"")</f>
        <v>0.562048970248722</v>
      </c>
      <c r="F11" s="22" t="n">
        <f aca="false">SUMPRODUCT(MAX(('Order Detail'!$F$5:$F$78=$A11)*'Order Detail'!$D$5:$D$78))</f>
        <v>21</v>
      </c>
      <c r="G11" s="22" t="n">
        <f aca="false">COUNTIFS('Order Detail'!$F$5:$F$78,$A11,'Order Detail'!$M$5:$M$78,0)</f>
        <v>0</v>
      </c>
    </row>
    <row r="12" customFormat="false" ht="15" hidden="false" customHeight="false" outlineLevel="0" collapsed="false">
      <c r="A12" s="9" t="s">
        <v>161</v>
      </c>
      <c r="B12" s="22" t="n">
        <f aca="false">COUNTIF('Order Detail'!$F$5:$F$78,$A12)</f>
        <v>2</v>
      </c>
      <c r="C12" s="23" t="n">
        <f aca="false">SUMIF('Order Detail'!$F$5:$F$78,$A12,'Order Detail'!$J$5:$J$78)</f>
        <v>138355.14</v>
      </c>
      <c r="D12" s="23" t="n">
        <f aca="false">SUMIF('Order Detail'!$F$5:$F$78,$A12,'Order Detail'!$K$5:$K$78)</f>
        <v>9525</v>
      </c>
      <c r="E12" s="24" t="n">
        <f aca="false">IFERROR((C12-D12)/C12,"")</f>
        <v>0.931155430871596</v>
      </c>
      <c r="F12" s="22" t="n">
        <f aca="false">SUMPRODUCT(MAX(('Order Detail'!$F$5:$F$78=$A12)*'Order Detail'!$D$5:$D$78))</f>
        <v>16</v>
      </c>
      <c r="G12" s="22" t="n">
        <f aca="false">COUNTIFS('Order Detail'!$F$5:$F$78,$A12,'Order Detail'!$M$5:$M$78,0)</f>
        <v>0</v>
      </c>
    </row>
    <row r="13" customFormat="false" ht="15" hidden="false" customHeight="false" outlineLevel="0" collapsed="false">
      <c r="A13" s="9" t="s">
        <v>168</v>
      </c>
      <c r="B13" s="22" t="n">
        <f aca="false">COUNTIF('Order Detail'!$F$5:$F$78,$A13)</f>
        <v>1</v>
      </c>
      <c r="C13" s="23" t="n">
        <f aca="false">SUMIF('Order Detail'!$F$5:$F$78,$A13,'Order Detail'!$J$5:$J$78)</f>
        <v>11120.8</v>
      </c>
      <c r="D13" s="23" t="n">
        <f aca="false">SUMIF('Order Detail'!$F$5:$F$78,$A13,'Order Detail'!$K$5:$K$78)</f>
        <v>4655.28</v>
      </c>
      <c r="E13" s="24" t="n">
        <f aca="false">IFERROR((C13-D13)/C13,"")</f>
        <v>0.581389828069923</v>
      </c>
      <c r="F13" s="22" t="n">
        <f aca="false">SUMPRODUCT(MAX(('Order Detail'!$F$5:$F$78=$A13)*'Order Detail'!$D$5:$D$78))</f>
        <v>6</v>
      </c>
      <c r="G13" s="22" t="n">
        <f aca="false">COUNTIFS('Order Detail'!$F$5:$F$78,$A13,'Order Detail'!$M$5:$M$78,0)</f>
        <v>0</v>
      </c>
    </row>
    <row r="14" customFormat="false" ht="15" hidden="false" customHeight="false" outlineLevel="0" collapsed="false">
      <c r="A14" s="9" t="s">
        <v>153</v>
      </c>
      <c r="B14" s="22" t="n">
        <f aca="false">COUNTIF('Order Detail'!$F$5:$F$78,$A14)</f>
        <v>1</v>
      </c>
      <c r="C14" s="23" t="n">
        <f aca="false">SUMIF('Order Detail'!$F$5:$F$78,$A14,'Order Detail'!$J$5:$J$78)</f>
        <v>63000</v>
      </c>
      <c r="D14" s="23" t="n">
        <f aca="false">SUMIF('Order Detail'!$F$5:$F$78,$A14,'Order Detail'!$K$5:$K$78)</f>
        <v>10500</v>
      </c>
      <c r="E14" s="24" t="n">
        <f aca="false">IFERROR((C14-D14)/C14,"")</f>
        <v>0.833333333333333</v>
      </c>
      <c r="F14" s="22" t="n">
        <f aca="false">SUMPRODUCT(MAX(('Order Detail'!$F$5:$F$78=$A14)*'Order Detail'!$D$5:$D$78))</f>
        <v>1</v>
      </c>
      <c r="G14" s="22" t="n">
        <f aca="false">COUNTIFS('Order Detail'!$F$5:$F$78,$A14,'Order Detail'!$M$5:$M$78,0)</f>
        <v>0</v>
      </c>
    </row>
    <row r="15" customFormat="false" ht="15" hidden="false" customHeight="false" outlineLevel="0" collapsed="false">
      <c r="A15" s="9" t="s">
        <v>176</v>
      </c>
      <c r="B15" s="22" t="n">
        <f aca="false">COUNTIF('Order Detail'!$F$5:$F$78,$A15)</f>
        <v>1</v>
      </c>
      <c r="C15" s="23" t="n">
        <f aca="false">SUMIF('Order Detail'!$F$5:$F$78,$A15,'Order Detail'!$J$5:$J$78)</f>
        <v>1826.77</v>
      </c>
      <c r="D15" s="23" t="n">
        <f aca="false">SUMIF('Order Detail'!$F$5:$F$78,$A15,'Order Detail'!$K$5:$K$78)</f>
        <v>1826.77</v>
      </c>
      <c r="E15" s="24" t="n">
        <f aca="false">IFERROR((C15-D15)/C15,"")</f>
        <v>0</v>
      </c>
      <c r="F15" s="22" t="n">
        <f aca="false">SUMPRODUCT(MAX(('Order Detail'!$F$5:$F$78=$A15)*'Order Detail'!$D$5:$D$78))</f>
        <v>0</v>
      </c>
      <c r="G15" s="22" t="n">
        <f aca="false">COUNTIFS('Order Detail'!$F$5:$F$78,$A15,'Order Detail'!$M$5:$M$78,0)</f>
        <v>1</v>
      </c>
    </row>
    <row r="16" customFormat="false" ht="15" hidden="false" customHeight="false" outlineLevel="0" collapsed="false">
      <c r="A16" s="9" t="s">
        <v>84</v>
      </c>
      <c r="B16" s="22" t="n">
        <f aca="false">COUNTIF('Order Detail'!$F$5:$F$78,$A16)</f>
        <v>1</v>
      </c>
      <c r="C16" s="23" t="n">
        <f aca="false">SUMIF('Order Detail'!$F$5:$F$78,$A16,'Order Detail'!$J$5:$J$78)</f>
        <v>44871.21</v>
      </c>
      <c r="D16" s="23" t="n">
        <f aca="false">SUMIF('Order Detail'!$F$5:$F$78,$A16,'Order Detail'!$K$5:$K$78)</f>
        <v>44871.21</v>
      </c>
      <c r="E16" s="24" t="n">
        <f aca="false">IFERROR((C16-D16)/C16,"")</f>
        <v>0</v>
      </c>
      <c r="F16" s="22" t="n">
        <f aca="false">SUMPRODUCT(MAX(('Order Detail'!$F$5:$F$78=$A16)*'Order Detail'!$D$5:$D$78))</f>
        <v>0</v>
      </c>
      <c r="G16" s="22" t="n">
        <f aca="false">COUNTIFS('Order Detail'!$F$5:$F$78,$A16,'Order Detail'!$M$5:$M$78,0)</f>
        <v>1</v>
      </c>
    </row>
    <row r="17" customFormat="false" ht="15" hidden="false" customHeight="false" outlineLevel="0" collapsed="false">
      <c r="A17" s="9" t="s">
        <v>60</v>
      </c>
      <c r="B17" s="22" t="n">
        <f aca="false">COUNTIF('Order Detail'!$F$5:$F$78,$A17)</f>
        <v>1</v>
      </c>
      <c r="C17" s="23" t="n">
        <f aca="false">SUMIF('Order Detail'!$F$5:$F$78,$A17,'Order Detail'!$J$5:$J$78)</f>
        <v>85655.17</v>
      </c>
      <c r="D17" s="23" t="n">
        <f aca="false">SUMIF('Order Detail'!$F$5:$F$78,$A17,'Order Detail'!$K$5:$K$78)</f>
        <v>85655.17</v>
      </c>
      <c r="E17" s="24" t="n">
        <f aca="false">IFERROR((C17-D17)/C17,"")</f>
        <v>0</v>
      </c>
      <c r="F17" s="22" t="n">
        <f aca="false">SUMPRODUCT(MAX(('Order Detail'!$F$5:$F$78=$A17)*'Order Detail'!$D$5:$D$78))</f>
        <v>0</v>
      </c>
      <c r="G17" s="22" t="n">
        <f aca="false">COUNTIFS('Order Detail'!$F$5:$F$78,$A17,'Order Detail'!$M$5:$M$78,0)</f>
        <v>1</v>
      </c>
    </row>
    <row r="18" customFormat="false" ht="15" hidden="false" customHeight="false" outlineLevel="0" collapsed="false">
      <c r="A18" s="9" t="s">
        <v>137</v>
      </c>
      <c r="B18" s="22" t="n">
        <f aca="false">COUNTIF('Order Detail'!$F$5:$F$78,$A18)</f>
        <v>1</v>
      </c>
      <c r="C18" s="23" t="n">
        <f aca="false">SUMIF('Order Detail'!$F$5:$F$78,$A18,'Order Detail'!$J$5:$J$78)</f>
        <v>173810.56</v>
      </c>
      <c r="D18" s="23" t="n">
        <f aca="false">SUMIF('Order Detail'!$F$5:$F$78,$A18,'Order Detail'!$K$5:$K$78)</f>
        <v>16835.19</v>
      </c>
      <c r="E18" s="24" t="n">
        <f aca="false">IFERROR((C18-D18)/C18,"")</f>
        <v>0.903140580181089</v>
      </c>
      <c r="F18" s="22" t="n">
        <f aca="false">SUMPRODUCT(MAX(('Order Detail'!$F$5:$F$78=$A18)*'Order Detail'!$D$5:$D$78))</f>
        <v>13</v>
      </c>
      <c r="G18" s="22" t="n">
        <f aca="false">COUNTIFS('Order Detail'!$F$5:$F$78,$A18,'Order Detail'!$M$5:$M$78,0)</f>
        <v>0</v>
      </c>
    </row>
    <row r="19" customFormat="false" ht="15" hidden="false" customHeight="false" outlineLevel="0" collapsed="false">
      <c r="A19" s="9" t="s">
        <v>46</v>
      </c>
      <c r="B19" s="22" t="n">
        <f aca="false">COUNTIF('Order Detail'!$F$5:$F$78,$A19)</f>
        <v>1</v>
      </c>
      <c r="C19" s="23" t="n">
        <f aca="false">SUMIF('Order Detail'!$F$5:$F$78,$A19,'Order Detail'!$J$5:$J$78)</f>
        <v>1892526.2</v>
      </c>
      <c r="D19" s="23" t="n">
        <f aca="false">SUMIF('Order Detail'!$F$5:$F$78,$A19,'Order Detail'!$K$5:$K$78)</f>
        <v>1892526.2</v>
      </c>
      <c r="E19" s="24" t="n">
        <f aca="false">IFERROR((C19-D19)/C19,"")</f>
        <v>0</v>
      </c>
      <c r="F19" s="22" t="n">
        <f aca="false">SUMPRODUCT(MAX(('Order Detail'!$F$5:$F$78=$A19)*'Order Detail'!$D$5:$D$78))</f>
        <v>0</v>
      </c>
      <c r="G19" s="22" t="n">
        <f aca="false">COUNTIFS('Order Detail'!$F$5:$F$78,$A19,'Order Detail'!$M$5:$M$78,0)</f>
        <v>1</v>
      </c>
    </row>
    <row r="20" customFormat="false" ht="15" hidden="false" customHeight="false" outlineLevel="0" collapsed="false">
      <c r="A20" s="9" t="s">
        <v>98</v>
      </c>
      <c r="B20" s="22" t="n">
        <f aca="false">COUNTIF('Order Detail'!$F$5:$F$78,$A20)</f>
        <v>1</v>
      </c>
      <c r="C20" s="23" t="n">
        <f aca="false">SUMIF('Order Detail'!$F$5:$F$78,$A20,'Order Detail'!$J$5:$J$78)</f>
        <v>148320.64</v>
      </c>
      <c r="D20" s="23" t="n">
        <f aca="false">SUMIF('Order Detail'!$F$5:$F$78,$A20,'Order Detail'!$K$5:$K$78)</f>
        <v>35319.36</v>
      </c>
      <c r="E20" s="24" t="n">
        <f aca="false">IFERROR((C20-D20)/C20,"")</f>
        <v>0.76187157768467</v>
      </c>
      <c r="F20" s="22" t="n">
        <f aca="false">SUMPRODUCT(MAX(('Order Detail'!$F$5:$F$78=$A20)*'Order Detail'!$D$5:$D$78))</f>
        <v>1</v>
      </c>
      <c r="G20" s="22" t="n">
        <f aca="false">COUNTIFS('Order Detail'!$F$5:$F$78,$A20,'Order Detail'!$M$5:$M$78,0)</f>
        <v>0</v>
      </c>
    </row>
    <row r="21" customFormat="false" ht="15" hidden="false" customHeight="false" outlineLevel="0" collapsed="false">
      <c r="A21" s="9" t="s">
        <v>147</v>
      </c>
      <c r="B21" s="22" t="n">
        <f aca="false">COUNTIF('Order Detail'!$F$5:$F$78,$A21)</f>
        <v>1</v>
      </c>
      <c r="C21" s="23" t="n">
        <f aca="false">SUMIF('Order Detail'!$F$5:$F$78,$A21,'Order Detail'!$J$5:$J$78)</f>
        <v>74210.05</v>
      </c>
      <c r="D21" s="23" t="n">
        <f aca="false">SUMIF('Order Detail'!$F$5:$F$78,$A21,'Order Detail'!$K$5:$K$78)</f>
        <v>13965.51</v>
      </c>
      <c r="E21" s="24" t="n">
        <f aca="false">IFERROR((C21-D21)/C21,"")</f>
        <v>0.811811068716434</v>
      </c>
      <c r="F21" s="22" t="n">
        <f aca="false">SUMPRODUCT(MAX(('Order Detail'!$F$5:$F$78=$A21)*'Order Detail'!$D$5:$D$78))</f>
        <v>2</v>
      </c>
      <c r="G21" s="22" t="n">
        <f aca="false">COUNTIFS('Order Detail'!$F$5:$F$78,$A21,'Order Detail'!$M$5:$M$78,0)</f>
        <v>0</v>
      </c>
    </row>
    <row r="22" customFormat="false" ht="15" hidden="false" customHeight="false" outlineLevel="0" collapsed="false">
      <c r="A22" s="9" t="s">
        <v>194</v>
      </c>
      <c r="B22" s="22" t="n">
        <f aca="false">COUNTIF('Order Detail'!$F$5:$F$78,$A22)</f>
        <v>1</v>
      </c>
      <c r="C22" s="23" t="n">
        <f aca="false">SUMIF('Order Detail'!$F$5:$F$78,$A22,'Order Detail'!$J$5:$J$78)</f>
        <v>186122.54</v>
      </c>
      <c r="D22" s="23" t="n">
        <f aca="false">SUMIF('Order Detail'!$F$5:$F$78,$A22,'Order Detail'!$K$5:$K$78)</f>
        <v>0</v>
      </c>
      <c r="E22" s="24" t="n">
        <f aca="false">IFERROR((C22-D22)/C22,"")</f>
        <v>1</v>
      </c>
      <c r="F22" s="22" t="n">
        <f aca="false">SUMPRODUCT(MAX(('Order Detail'!$F$5:$F$78=$A22)*'Order Detail'!$D$5:$D$78))</f>
        <v>2</v>
      </c>
      <c r="G22" s="22" t="n">
        <f aca="false">COUNTIFS('Order Detail'!$F$5:$F$78,$A22,'Order Detail'!$M$5:$M$78,0)</f>
        <v>0</v>
      </c>
    </row>
    <row r="23" customFormat="false" ht="15" hidden="false" customHeight="false" outlineLevel="0" collapsed="false">
      <c r="A23" s="9" t="s">
        <v>114</v>
      </c>
      <c r="B23" s="22" t="n">
        <f aca="false">COUNTIF('Order Detail'!$F$5:$F$78,$A23)</f>
        <v>1</v>
      </c>
      <c r="C23" s="23" t="n">
        <f aca="false">SUMIF('Order Detail'!$F$5:$F$78,$A23,'Order Detail'!$J$5:$J$78)</f>
        <v>43279.14</v>
      </c>
      <c r="D23" s="23" t="n">
        <f aca="false">SUMIF('Order Detail'!$F$5:$F$78,$A23,'Order Detail'!$K$5:$K$78)</f>
        <v>29914.14</v>
      </c>
      <c r="E23" s="24" t="n">
        <f aca="false">IFERROR((C23-D23)/C23,"")</f>
        <v>0.308809278557753</v>
      </c>
      <c r="F23" s="22" t="n">
        <f aca="false">SUMPRODUCT(MAX(('Order Detail'!$F$5:$F$78=$A23)*'Order Detail'!$D$5:$D$78))</f>
        <v>1</v>
      </c>
      <c r="G23" s="22" t="n">
        <f aca="false">COUNTIFS('Order Detail'!$F$5:$F$78,$A23,'Order Detail'!$M$5:$M$78,0)</f>
        <v>0</v>
      </c>
    </row>
    <row r="24" customFormat="false" ht="15" hidden="false" customHeight="false" outlineLevel="0" collapsed="false">
      <c r="A24" s="9" t="s">
        <v>190</v>
      </c>
      <c r="B24" s="22" t="n">
        <f aca="false">COUNTIF('Order Detail'!$F$5:$F$78,$A24)</f>
        <v>1</v>
      </c>
      <c r="C24" s="23" t="n">
        <f aca="false">SUMIF('Order Detail'!$F$5:$F$78,$A24,'Order Detail'!$J$5:$J$78)</f>
        <v>15</v>
      </c>
      <c r="D24" s="23" t="n">
        <f aca="false">SUMIF('Order Detail'!$F$5:$F$78,$A24,'Order Detail'!$K$5:$K$78)</f>
        <v>3.6</v>
      </c>
      <c r="E24" s="24" t="n">
        <f aca="false">IFERROR((C24-D24)/C24,"")</f>
        <v>0.76</v>
      </c>
      <c r="F24" s="22" t="n">
        <f aca="false">SUMPRODUCT(MAX(('Order Detail'!$F$5:$F$78=$A24)*'Order Detail'!$D$5:$D$78))</f>
        <v>22</v>
      </c>
      <c r="G24" s="22" t="n">
        <f aca="false">COUNTIFS('Order Detail'!$F$5:$F$78,$A24,'Order Detail'!$M$5:$M$78,0)</f>
        <v>0</v>
      </c>
    </row>
    <row r="25" customFormat="false" ht="15" hidden="false" customHeight="false" outlineLevel="0" collapsed="false">
      <c r="A25" s="9" t="s">
        <v>179</v>
      </c>
      <c r="B25" s="22" t="n">
        <f aca="false">COUNTIF('Order Detail'!$F$5:$F$78,$A25)</f>
        <v>1</v>
      </c>
      <c r="C25" s="23" t="n">
        <f aca="false">SUMIF('Order Detail'!$F$5:$F$78,$A25,'Order Detail'!$J$5:$J$78)</f>
        <v>4293.58</v>
      </c>
      <c r="D25" s="23" t="n">
        <f aca="false">SUMIF('Order Detail'!$F$5:$F$78,$A25,'Order Detail'!$K$5:$K$78)</f>
        <v>1481.79</v>
      </c>
      <c r="E25" s="24" t="n">
        <f aca="false">IFERROR((C25-D25)/C25,"")</f>
        <v>0.65488240582451</v>
      </c>
      <c r="F25" s="22" t="n">
        <f aca="false">SUMPRODUCT(MAX(('Order Detail'!$F$5:$F$78=$A25)*'Order Detail'!$D$5:$D$78))</f>
        <v>5</v>
      </c>
      <c r="G25" s="22" t="n">
        <f aca="false">COUNTIFS('Order Detail'!$F$5:$F$78,$A25,'Order Detail'!$M$5:$M$78,0)</f>
        <v>0</v>
      </c>
    </row>
    <row r="26" customFormat="false" ht="15" hidden="false" customHeight="false" outlineLevel="0" collapsed="false">
      <c r="A26" s="9" t="s">
        <v>54</v>
      </c>
      <c r="B26" s="22" t="n">
        <f aca="false">COUNTIF('Order Detail'!$F$5:$F$78,$A26)</f>
        <v>1</v>
      </c>
      <c r="C26" s="23" t="n">
        <f aca="false">SUMIF('Order Detail'!$F$5:$F$78,$A26,'Order Detail'!$J$5:$J$78)</f>
        <v>842970.73</v>
      </c>
      <c r="D26" s="23" t="n">
        <f aca="false">SUMIF('Order Detail'!$F$5:$F$78,$A26,'Order Detail'!$K$5:$K$78)</f>
        <v>92770.72</v>
      </c>
      <c r="E26" s="24" t="n">
        <f aca="false">IFERROR((C26-D26)/C26,"")</f>
        <v>0.889947875177113</v>
      </c>
      <c r="F26" s="22" t="n">
        <f aca="false">SUMPRODUCT(MAX(('Order Detail'!$F$5:$F$78=$A26)*'Order Detail'!$D$5:$D$78))</f>
        <v>3</v>
      </c>
      <c r="G26" s="22" t="n">
        <f aca="false">COUNTIFS('Order Detail'!$F$5:$F$78,$A26,'Order Detail'!$M$5:$M$78,0)</f>
        <v>0</v>
      </c>
    </row>
    <row r="27" customFormat="false" ht="15" hidden="false" customHeight="false" outlineLevel="0" collapsed="false">
      <c r="A27" s="9" t="s">
        <v>155</v>
      </c>
      <c r="B27" s="22" t="n">
        <f aca="false">COUNTIF('Order Detail'!$F$5:$F$78,$A27)</f>
        <v>1</v>
      </c>
      <c r="C27" s="23" t="n">
        <f aca="false">SUMIF('Order Detail'!$F$5:$F$78,$A27,'Order Detail'!$J$5:$J$78)</f>
        <v>26767.46</v>
      </c>
      <c r="D27" s="23" t="n">
        <f aca="false">SUMIF('Order Detail'!$F$5:$F$78,$A27,'Order Detail'!$K$5:$K$78)</f>
        <v>9310.56</v>
      </c>
      <c r="E27" s="24" t="n">
        <f aca="false">IFERROR((C27-D27)/C27,"")</f>
        <v>0.652168715298351</v>
      </c>
      <c r="F27" s="22" t="n">
        <f aca="false">SUMPRODUCT(MAX(('Order Detail'!$F$5:$F$78=$A27)*'Order Detail'!$D$5:$D$78))</f>
        <v>7</v>
      </c>
      <c r="G27" s="22" t="n">
        <f aca="false">COUNTIFS('Order Detail'!$F$5:$F$78,$A27,'Order Detail'!$M$5:$M$78,0)</f>
        <v>0</v>
      </c>
    </row>
    <row r="28" customFormat="false" ht="15" hidden="false" customHeight="false" outlineLevel="0" collapsed="false">
      <c r="A28" s="9" t="s">
        <v>134</v>
      </c>
      <c r="B28" s="22" t="n">
        <f aca="false">COUNTIF('Order Detail'!$F$5:$F$78,$A28)</f>
        <v>1</v>
      </c>
      <c r="C28" s="23" t="n">
        <f aca="false">SUMIF('Order Detail'!$F$5:$F$78,$A28,'Order Detail'!$J$5:$J$78)</f>
        <v>56024.14</v>
      </c>
      <c r="D28" s="23" t="n">
        <f aca="false">SUMIF('Order Detail'!$F$5:$F$78,$A28,'Order Detail'!$K$5:$K$78)</f>
        <v>19600</v>
      </c>
      <c r="E28" s="24" t="n">
        <f aca="false">IFERROR((C28-D28)/C28,"")</f>
        <v>0.650150809990122</v>
      </c>
      <c r="F28" s="22" t="n">
        <f aca="false">SUMPRODUCT(MAX(('Order Detail'!$F$5:$F$78=$A28)*'Order Detail'!$D$5:$D$78))</f>
        <v>1</v>
      </c>
      <c r="G28" s="22" t="n">
        <f aca="false">COUNTIFS('Order Detail'!$F$5:$F$78,$A28,'Order Detail'!$M$5:$M$78,0)</f>
        <v>0</v>
      </c>
    </row>
    <row r="29" customFormat="false" ht="15" hidden="false" customHeight="false" outlineLevel="0" collapsed="false">
      <c r="A29" s="9" t="s">
        <v>171</v>
      </c>
      <c r="B29" s="22" t="n">
        <f aca="false">COUNTIF('Order Detail'!$F$5:$F$78,$A29)</f>
        <v>1</v>
      </c>
      <c r="C29" s="23" t="n">
        <f aca="false">SUMIF('Order Detail'!$F$5:$F$78,$A29,'Order Detail'!$J$5:$J$78)</f>
        <v>2935</v>
      </c>
      <c r="D29" s="23" t="n">
        <f aca="false">SUMIF('Order Detail'!$F$5:$F$78,$A29,'Order Detail'!$K$5:$K$78)</f>
        <v>2935</v>
      </c>
      <c r="E29" s="24" t="n">
        <f aca="false">IFERROR((C29-D29)/C29,"")</f>
        <v>0</v>
      </c>
      <c r="F29" s="22" t="n">
        <f aca="false">SUMPRODUCT(MAX(('Order Detail'!$F$5:$F$78=$A29)*'Order Detail'!$D$5:$D$78))</f>
        <v>2</v>
      </c>
      <c r="G29" s="22" t="n">
        <f aca="false">COUNTIFS('Order Detail'!$F$5:$F$78,$A29,'Order Detail'!$M$5:$M$78,0)</f>
        <v>1</v>
      </c>
    </row>
    <row r="30" customFormat="false" ht="15" hidden="false" customHeight="false" outlineLevel="0" collapsed="false">
      <c r="A30" s="9" t="s">
        <v>74</v>
      </c>
      <c r="B30" s="22" t="n">
        <f aca="false">COUNTIF('Order Detail'!$F$5:$F$78,$A30)</f>
        <v>1</v>
      </c>
      <c r="C30" s="23" t="n">
        <f aca="false">SUMIF('Order Detail'!$F$5:$F$78,$A30,'Order Detail'!$J$5:$J$78)</f>
        <v>1444436.37</v>
      </c>
      <c r="D30" s="23" t="n">
        <f aca="false">SUMIF('Order Detail'!$F$5:$F$78,$A30,'Order Detail'!$K$5:$K$78)</f>
        <v>62100</v>
      </c>
      <c r="E30" s="24" t="n">
        <f aca="false">IFERROR((C30-D30)/C30,"")</f>
        <v>0.957007451979349</v>
      </c>
      <c r="F30" s="22" t="n">
        <f aca="false">SUMPRODUCT(MAX(('Order Detail'!$F$5:$F$78=$A30)*'Order Detail'!$D$5:$D$78))</f>
        <v>0</v>
      </c>
      <c r="G30" s="22" t="n">
        <f aca="false">COUNTIFS('Order Detail'!$F$5:$F$78,$A30,'Order Detail'!$M$5:$M$78,0)</f>
        <v>0</v>
      </c>
    </row>
    <row r="31" customFormat="false" ht="15" hidden="false" customHeight="false" outlineLevel="0" collapsed="false">
      <c r="A31" s="9" t="s">
        <v>166</v>
      </c>
      <c r="B31" s="22" t="n">
        <f aca="false">COUNTIF('Order Detail'!$F$5:$F$78,$A31)</f>
        <v>1</v>
      </c>
      <c r="C31" s="23" t="n">
        <f aca="false">SUMIF('Order Detail'!$F$5:$F$78,$A31,'Order Detail'!$J$5:$J$78)</f>
        <v>41857.31</v>
      </c>
      <c r="D31" s="23" t="n">
        <f aca="false">SUMIF('Order Detail'!$F$5:$F$78,$A31,'Order Detail'!$K$5:$K$78)</f>
        <v>5131.5</v>
      </c>
      <c r="E31" s="24" t="n">
        <f aca="false">IFERROR((C31-D31)/C31,"")</f>
        <v>0.877404926403536</v>
      </c>
      <c r="F31" s="22" t="n">
        <f aca="false">SUMPRODUCT(MAX(('Order Detail'!$F$5:$F$78=$A31)*'Order Detail'!$D$5:$D$78))</f>
        <v>1</v>
      </c>
      <c r="G31" s="22" t="n">
        <f aca="false">COUNTIFS('Order Detail'!$F$5:$F$78,$A31,'Order Detail'!$M$5:$M$78,0)</f>
        <v>0</v>
      </c>
    </row>
    <row r="32" customFormat="false" ht="15" hidden="false" customHeight="false" outlineLevel="0" collapsed="false">
      <c r="A32" s="9" t="s">
        <v>132</v>
      </c>
      <c r="B32" s="22" t="n">
        <f aca="false">COUNTIF('Order Detail'!$F$5:$F$78,$A32)</f>
        <v>1</v>
      </c>
      <c r="C32" s="23" t="n">
        <f aca="false">SUMIF('Order Detail'!$F$5:$F$78,$A32,'Order Detail'!$J$5:$J$78)</f>
        <v>40302.02</v>
      </c>
      <c r="D32" s="23" t="n">
        <f aca="false">SUMIF('Order Detail'!$F$5:$F$78,$A32,'Order Detail'!$K$5:$K$78)</f>
        <v>20531.15</v>
      </c>
      <c r="E32" s="24" t="n">
        <f aca="false">IFERROR((C32-D32)/C32,"")</f>
        <v>0.490567718441904</v>
      </c>
      <c r="F32" s="22" t="n">
        <f aca="false">SUMPRODUCT(MAX(('Order Detail'!$F$5:$F$78=$A32)*'Order Detail'!$D$5:$D$78))</f>
        <v>1</v>
      </c>
      <c r="G32" s="22" t="n">
        <f aca="false">COUNTIFS('Order Detail'!$F$5:$F$78,$A32,'Order Detail'!$M$5:$M$78,0)</f>
        <v>0</v>
      </c>
    </row>
    <row r="33" customFormat="false" ht="15" hidden="false" customHeight="false" outlineLevel="0" collapsed="false">
      <c r="A33" s="9" t="s">
        <v>192</v>
      </c>
      <c r="B33" s="22" t="n">
        <f aca="false">COUNTIF('Order Detail'!$F$5:$F$78,$A33)</f>
        <v>1</v>
      </c>
      <c r="C33" s="23" t="n">
        <f aca="false">SUMIF('Order Detail'!$F$5:$F$78,$A33,'Order Detail'!$J$5:$J$78)</f>
        <v>2.6</v>
      </c>
      <c r="D33" s="23" t="n">
        <f aca="false">SUMIF('Order Detail'!$F$5:$F$78,$A33,'Order Detail'!$K$5:$K$78)</f>
        <v>2.6</v>
      </c>
      <c r="E33" s="24" t="n">
        <f aca="false">IFERROR((C33-D33)/C33,"")</f>
        <v>0</v>
      </c>
      <c r="F33" s="22" t="n">
        <f aca="false">SUMPRODUCT(MAX(('Order Detail'!$F$5:$F$78=$A33)*'Order Detail'!$D$5:$D$78))</f>
        <v>2</v>
      </c>
      <c r="G33" s="22" t="n">
        <f aca="false">COUNTIFS('Order Detail'!$F$5:$F$78,$A33,'Order Detail'!$M$5:$M$78,0)</f>
        <v>1</v>
      </c>
    </row>
    <row r="34" customFormat="false" ht="15" hidden="false" customHeight="false" outlineLevel="0" collapsed="false">
      <c r="A34" s="14" t="s">
        <v>215</v>
      </c>
      <c r="B34" s="25" t="n">
        <f aca="false">SUM(B5:B33)</f>
        <v>74</v>
      </c>
      <c r="C34" s="16" t="n">
        <f aca="false">SUM(C5:C33)</f>
        <v>8436410.51</v>
      </c>
      <c r="D34" s="16" t="n">
        <f aca="false">SUM(D5:D33)</f>
        <v>3861890.51</v>
      </c>
      <c r="E34" s="26" t="n">
        <f aca="false">IFERROR((C34-D34)/C34,"")</f>
        <v>0.542235349332236</v>
      </c>
      <c r="F34" s="15"/>
      <c r="G34" s="25" t="n">
        <f aca="false">SUM(G5:G33)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230</v>
      </c>
    </row>
    <row r="2" customFormat="false" ht="15" hidden="false" customHeight="false" outlineLevel="0" collapsed="false">
      <c r="A2" s="2" t="s">
        <v>231</v>
      </c>
    </row>
    <row r="4" customFormat="false" ht="30" hidden="false" customHeight="true" outlineLevel="0" collapsed="false">
      <c r="A4" s="3" t="s">
        <v>232</v>
      </c>
      <c r="B4" s="3" t="s">
        <v>211</v>
      </c>
      <c r="C4" s="3" t="s">
        <v>233</v>
      </c>
      <c r="D4" s="3" t="s">
        <v>234</v>
      </c>
      <c r="E4" s="3" t="s">
        <v>235</v>
      </c>
    </row>
    <row r="5" customFormat="false" ht="15" hidden="false" customHeight="false" outlineLevel="0" collapsed="false">
      <c r="A5" s="9" t="s">
        <v>236</v>
      </c>
      <c r="B5" s="22" t="n">
        <v>238</v>
      </c>
      <c r="C5" s="24" t="n">
        <f aca="false">IFERROR(B5/$B$12,"")</f>
        <v>0.81786941580756</v>
      </c>
      <c r="D5" s="23" t="n">
        <v>30811443.41</v>
      </c>
      <c r="E5" s="24" t="n">
        <f aca="false">IFERROR(D5/$D$12,"")</f>
        <v>0.67089529785729</v>
      </c>
    </row>
    <row r="6" customFormat="false" ht="15" hidden="false" customHeight="false" outlineLevel="0" collapsed="false">
      <c r="A6" s="9" t="s">
        <v>237</v>
      </c>
      <c r="B6" s="22" t="n">
        <v>24</v>
      </c>
      <c r="C6" s="24" t="n">
        <f aca="false">IFERROR(B6/$B$12,"")</f>
        <v>0.0824742268041237</v>
      </c>
      <c r="D6" s="23" t="n">
        <v>9647807.55</v>
      </c>
      <c r="E6" s="24" t="n">
        <f aca="false">IFERROR(D6/$D$12,"")</f>
        <v>0.210073531246067</v>
      </c>
    </row>
    <row r="7" customFormat="false" ht="15" hidden="false" customHeight="false" outlineLevel="0" collapsed="false">
      <c r="A7" s="9" t="s">
        <v>238</v>
      </c>
      <c r="B7" s="22" t="n">
        <v>8</v>
      </c>
      <c r="C7" s="24" t="n">
        <f aca="false">IFERROR(B7/$B$12,"")</f>
        <v>0.0274914089347079</v>
      </c>
      <c r="D7" s="23" t="n">
        <v>3504875.96</v>
      </c>
      <c r="E7" s="24" t="n">
        <f aca="false">IFERROR(D7/$D$12,"")</f>
        <v>0.076315957348947</v>
      </c>
    </row>
    <row r="8" customFormat="false" ht="15" hidden="false" customHeight="false" outlineLevel="0" collapsed="false">
      <c r="A8" s="9" t="s">
        <v>239</v>
      </c>
      <c r="B8" s="22" t="n">
        <v>10</v>
      </c>
      <c r="C8" s="24" t="n">
        <f aca="false">IFERROR(B8/$B$12,"")</f>
        <v>0.0343642611683849</v>
      </c>
      <c r="D8" s="23" t="n">
        <v>1076504.91</v>
      </c>
      <c r="E8" s="24" t="n">
        <f aca="false">IFERROR(D8/$D$12,"")</f>
        <v>0.0234400600007231</v>
      </c>
    </row>
    <row r="9" customFormat="false" ht="15" hidden="false" customHeight="false" outlineLevel="0" collapsed="false">
      <c r="A9" s="9" t="s">
        <v>240</v>
      </c>
      <c r="B9" s="22" t="n">
        <v>7</v>
      </c>
      <c r="C9" s="24" t="n">
        <f aca="false">IFERROR(B9/$B$12,"")</f>
        <v>0.0240549828178694</v>
      </c>
      <c r="D9" s="23" t="n">
        <v>857334.25</v>
      </c>
      <c r="E9" s="24" t="n">
        <f aca="false">IFERROR(D9/$D$12,"")</f>
        <v>0.0186677887615719</v>
      </c>
    </row>
    <row r="10" customFormat="false" ht="15" hidden="false" customHeight="false" outlineLevel="0" collapsed="false">
      <c r="A10" s="9" t="s">
        <v>241</v>
      </c>
      <c r="B10" s="22" t="n">
        <v>3</v>
      </c>
      <c r="C10" s="24" t="n">
        <f aca="false">IFERROR(B10/$B$12,"")</f>
        <v>0.0103092783505155</v>
      </c>
      <c r="D10" s="23" t="n">
        <v>27893.75</v>
      </c>
      <c r="E10" s="24" t="n">
        <f aca="false">IFERROR(D10/$D$12,"")</f>
        <v>0.000607364785400905</v>
      </c>
    </row>
    <row r="11" customFormat="false" ht="15" hidden="false" customHeight="false" outlineLevel="0" collapsed="false">
      <c r="A11" s="9" t="s">
        <v>242</v>
      </c>
      <c r="B11" s="22" t="n">
        <v>1</v>
      </c>
      <c r="C11" s="24" t="n">
        <f aca="false">IFERROR(B11/$B$12,"")</f>
        <v>0.00343642611683849</v>
      </c>
      <c r="D11" s="23" t="n">
        <v>0</v>
      </c>
      <c r="E11" s="24" t="n">
        <f aca="false">IFERROR(D11/$D$12,"")</f>
        <v>0</v>
      </c>
    </row>
    <row r="12" customFormat="false" ht="15" hidden="false" customHeight="false" outlineLevel="0" collapsed="false">
      <c r="A12" s="14" t="s">
        <v>215</v>
      </c>
      <c r="B12" s="25" t="n">
        <f aca="false">SUM(B5:B11)</f>
        <v>291</v>
      </c>
      <c r="C12" s="17" t="n">
        <v>1</v>
      </c>
      <c r="D12" s="16" t="n">
        <f aca="false">SUM(D5:D11)</f>
        <v>45925859.83</v>
      </c>
      <c r="E12" s="17" t="n">
        <v>1</v>
      </c>
    </row>
    <row r="15" customFormat="false" ht="15" hidden="false" customHeight="false" outlineLevel="0" collapsed="false">
      <c r="A15" s="21" t="s">
        <v>243</v>
      </c>
    </row>
    <row r="16" customFormat="false" ht="30" hidden="false" customHeight="true" outlineLevel="0" collapsed="false">
      <c r="A16" s="3" t="s">
        <v>31</v>
      </c>
      <c r="B16" s="3" t="s">
        <v>244</v>
      </c>
      <c r="C16" s="3" t="s">
        <v>234</v>
      </c>
      <c r="D16" s="3" t="s">
        <v>245</v>
      </c>
    </row>
    <row r="17" customFormat="false" ht="15" hidden="false" customHeight="false" outlineLevel="0" collapsed="false">
      <c r="A17" s="9" t="s">
        <v>246</v>
      </c>
      <c r="B17" s="9" t="s">
        <v>247</v>
      </c>
      <c r="C17" s="23" t="n">
        <v>439448.28</v>
      </c>
      <c r="D17" s="9" t="s">
        <v>248</v>
      </c>
    </row>
    <row r="18" customFormat="false" ht="15" hidden="false" customHeight="false" outlineLevel="0" collapsed="false">
      <c r="A18" s="9" t="s">
        <v>249</v>
      </c>
      <c r="B18" s="9" t="s">
        <v>250</v>
      </c>
      <c r="C18" s="23" t="n">
        <v>239980.5</v>
      </c>
      <c r="D18" s="9" t="s">
        <v>248</v>
      </c>
    </row>
    <row r="19" customFormat="false" ht="15" hidden="false" customHeight="false" outlineLevel="0" collapsed="false">
      <c r="A19" s="9" t="s">
        <v>251</v>
      </c>
      <c r="B19" s="9" t="s">
        <v>250</v>
      </c>
      <c r="C19" s="23" t="n">
        <v>154411</v>
      </c>
      <c r="D19" s="9" t="s">
        <v>248</v>
      </c>
    </row>
    <row r="20" customFormat="false" ht="15" hidden="false" customHeight="false" outlineLevel="0" collapsed="false">
      <c r="A20" s="9" t="s">
        <v>252</v>
      </c>
      <c r="B20" s="9" t="s">
        <v>253</v>
      </c>
      <c r="C20" s="23" t="n">
        <v>79914</v>
      </c>
      <c r="D20" s="9" t="s">
        <v>248</v>
      </c>
    </row>
    <row r="21" customFormat="false" ht="15" hidden="false" customHeight="false" outlineLevel="0" collapsed="false">
      <c r="A21" s="9" t="s">
        <v>254</v>
      </c>
      <c r="B21" s="9" t="s">
        <v>255</v>
      </c>
      <c r="C21" s="23" t="n">
        <v>73340.01</v>
      </c>
      <c r="D21" s="9" t="s">
        <v>248</v>
      </c>
    </row>
    <row r="22" customFormat="false" ht="15" hidden="false" customHeight="false" outlineLevel="0" collapsed="false">
      <c r="A22" s="9" t="s">
        <v>256</v>
      </c>
      <c r="B22" s="9" t="s">
        <v>255</v>
      </c>
      <c r="C22" s="23" t="n">
        <v>37128</v>
      </c>
      <c r="D22" s="9" t="s">
        <v>248</v>
      </c>
    </row>
    <row r="23" customFormat="false" ht="15" hidden="false" customHeight="false" outlineLevel="0" collapsed="false">
      <c r="A23" s="9" t="s">
        <v>257</v>
      </c>
      <c r="B23" s="9" t="s">
        <v>255</v>
      </c>
      <c r="C23" s="23" t="n">
        <v>23329.38</v>
      </c>
      <c r="D23" s="9" t="s">
        <v>248</v>
      </c>
    </row>
    <row r="24" customFormat="false" ht="15" hidden="false" customHeight="false" outlineLevel="0" collapsed="false">
      <c r="A24" s="9" t="s">
        <v>258</v>
      </c>
      <c r="B24" s="9" t="s">
        <v>259</v>
      </c>
      <c r="C24" s="23" t="n">
        <v>20605.17</v>
      </c>
      <c r="D24" s="9" t="s">
        <v>248</v>
      </c>
    </row>
    <row r="25" customFormat="false" ht="15" hidden="false" customHeight="false" outlineLevel="0" collapsed="false">
      <c r="A25" s="9" t="s">
        <v>260</v>
      </c>
      <c r="B25" s="9" t="s">
        <v>261</v>
      </c>
      <c r="C25" s="23" t="n">
        <v>5000</v>
      </c>
      <c r="D25" s="9" t="s">
        <v>262</v>
      </c>
    </row>
    <row r="26" customFormat="false" ht="15" hidden="false" customHeight="false" outlineLevel="0" collapsed="false">
      <c r="A26" s="9" t="s">
        <v>263</v>
      </c>
      <c r="B26" s="9" t="s">
        <v>264</v>
      </c>
      <c r="C26" s="23" t="n">
        <v>3348.57</v>
      </c>
      <c r="D26" s="9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265</v>
      </c>
    </row>
    <row r="2" customFormat="false" ht="15" hidden="false" customHeight="false" outlineLevel="0" collapsed="false">
      <c r="A2" s="2" t="s">
        <v>266</v>
      </c>
    </row>
    <row r="4" customFormat="false" ht="30" hidden="false" customHeight="true" outlineLevel="0" collapsed="false">
      <c r="A4" s="3" t="s">
        <v>267</v>
      </c>
      <c r="B4" s="3" t="s">
        <v>268</v>
      </c>
      <c r="C4" s="3" t="s">
        <v>269</v>
      </c>
      <c r="D4" s="3" t="s">
        <v>270</v>
      </c>
      <c r="E4" s="3" t="s">
        <v>271</v>
      </c>
    </row>
    <row r="5" customFormat="false" ht="90" hidden="false" customHeight="true" outlineLevel="0" collapsed="false">
      <c r="A5" s="4" t="s">
        <v>272</v>
      </c>
      <c r="B5" s="4" t="s">
        <v>273</v>
      </c>
      <c r="C5" s="4" t="s">
        <v>274</v>
      </c>
      <c r="D5" s="4" t="s">
        <v>275</v>
      </c>
      <c r="E5" s="4" t="s">
        <v>276</v>
      </c>
    </row>
    <row r="6" customFormat="false" ht="90" hidden="false" customHeight="true" outlineLevel="0" collapsed="false">
      <c r="A6" s="4" t="s">
        <v>277</v>
      </c>
      <c r="B6" s="4" t="s">
        <v>278</v>
      </c>
      <c r="C6" s="4" t="s">
        <v>279</v>
      </c>
      <c r="D6" s="4" t="s">
        <v>280</v>
      </c>
      <c r="E6" s="4" t="s">
        <v>281</v>
      </c>
    </row>
    <row r="7" customFormat="false" ht="90" hidden="false" customHeight="true" outlineLevel="0" collapsed="false">
      <c r="A7" s="4" t="s">
        <v>282</v>
      </c>
      <c r="B7" s="4" t="s">
        <v>283</v>
      </c>
      <c r="C7" s="4" t="s">
        <v>284</v>
      </c>
      <c r="D7" s="4" t="s">
        <v>285</v>
      </c>
      <c r="E7" s="4" t="s">
        <v>286</v>
      </c>
    </row>
    <row r="8" customFormat="false" ht="90" hidden="false" customHeight="true" outlineLevel="0" collapsed="false">
      <c r="A8" s="4" t="s">
        <v>287</v>
      </c>
      <c r="B8" s="4" t="s">
        <v>288</v>
      </c>
      <c r="C8" s="4" t="s">
        <v>289</v>
      </c>
      <c r="D8" s="4" t="s">
        <v>290</v>
      </c>
      <c r="E8" s="4" t="s">
        <v>291</v>
      </c>
    </row>
    <row r="9" customFormat="false" ht="90" hidden="false" customHeight="true" outlineLevel="0" collapsed="false">
      <c r="A9" s="4" t="s">
        <v>292</v>
      </c>
      <c r="B9" s="4" t="s">
        <v>293</v>
      </c>
      <c r="C9" s="4" t="s">
        <v>294</v>
      </c>
      <c r="D9" s="4" t="s">
        <v>295</v>
      </c>
      <c r="E9" s="4" t="s">
        <v>296</v>
      </c>
    </row>
    <row r="10" customFormat="false" ht="90" hidden="false" customHeight="true" outlineLevel="0" collapsed="false">
      <c r="A10" s="4" t="s">
        <v>297</v>
      </c>
      <c r="B10" s="4" t="s">
        <v>298</v>
      </c>
      <c r="C10" s="4" t="s">
        <v>299</v>
      </c>
      <c r="D10" s="4" t="s">
        <v>300</v>
      </c>
      <c r="E10" s="4" t="s">
        <v>301</v>
      </c>
    </row>
    <row r="11" customFormat="false" ht="90" hidden="false" customHeight="true" outlineLevel="0" collapsed="false">
      <c r="A11" s="4" t="s">
        <v>302</v>
      </c>
      <c r="B11" s="4" t="s">
        <v>303</v>
      </c>
      <c r="C11" s="4" t="s">
        <v>304</v>
      </c>
      <c r="D11" s="4" t="s">
        <v>300</v>
      </c>
      <c r="E11" s="4" t="s">
        <v>305</v>
      </c>
    </row>
    <row r="12" customFormat="false" ht="90" hidden="false" customHeight="true" outlineLevel="0" collapsed="false">
      <c r="A12" s="28" t="s">
        <v>306</v>
      </c>
      <c r="B12" s="29" t="s">
        <v>307</v>
      </c>
      <c r="C12" s="29" t="s">
        <v>308</v>
      </c>
      <c r="D12" s="29" t="s">
        <v>309</v>
      </c>
      <c r="E12" s="29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2026-07-26T08:52:54Z</dcterms:created>
  <dc:creator>openpyxl</dc:creator>
  <dc:description/>
  <dc:language>en-US</dc:language>
  <cp:lastModifiedBy/>
  <dcterms:modified xsi:type="dcterms:W3CDTF">2026-07-26T08:52:54Z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