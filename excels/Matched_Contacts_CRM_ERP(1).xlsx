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\Downloads\"/>
    </mc:Choice>
  </mc:AlternateContent>
  <xr:revisionPtr revIDLastSave="0" documentId="13_ncr:1_{BF5FAB22-099A-4218-8407-7E440E8E961D}" xr6:coauthVersionLast="47" xr6:coauthVersionMax="47" xr10:uidLastSave="{00000000-0000-0000-0000-000000000000}"/>
  <bookViews>
    <workbookView xWindow="-108" yWindow="-108" windowWidth="23256" windowHeight="14856" tabRatio="500" activeTab="1" xr2:uid="{00000000-000D-0000-FFFF-FFFF00000000}"/>
  </bookViews>
  <sheets>
    <sheet name="Summary" sheetId="1" r:id="rId1"/>
    <sheet name="Matched Contacts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96" i="2" l="1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</calcChain>
</file>

<file path=xl/sharedStrings.xml><?xml version="1.0" encoding="utf-8"?>
<sst xmlns="http://schemas.openxmlformats.org/spreadsheetml/2006/main" count="10371" uniqueCount="4193">
  <si>
    <t>CRM × ERP Matched Contacts Summary</t>
  </si>
  <si>
    <t>Contacts present in both the CRM contact list and the active ERP customer list, matched by account/customer name.</t>
  </si>
  <si>
    <t>Metric</t>
  </si>
  <si>
    <t>Count</t>
  </si>
  <si>
    <t>% of matched</t>
  </si>
  <si>
    <t>Matched contacts (this sheet)</t>
  </si>
  <si>
    <t>Unique accounts represented</t>
  </si>
  <si>
    <t>Match (owner &amp; email align)</t>
  </si>
  <si>
    <t>Different owner only</t>
  </si>
  <si>
    <t>Different contact only</t>
  </si>
  <si>
    <t>Different owner &amp; contact</t>
  </si>
  <si>
    <t>Contact Name</t>
  </si>
  <si>
    <t>Account Name</t>
  </si>
  <si>
    <t>Contact Email</t>
  </si>
  <si>
    <t>Contact Phone</t>
  </si>
  <si>
    <t>CRM Contact Owner</t>
  </si>
  <si>
    <t>Customer ID</t>
  </si>
  <si>
    <t>Customer Class</t>
  </si>
  <si>
    <t>Customer Region</t>
  </si>
  <si>
    <t>Route Name</t>
  </si>
  <si>
    <t>ERP Sales Rep</t>
  </si>
  <si>
    <t>ERP Account Email</t>
  </si>
  <si>
    <t>Owner Match</t>
  </si>
  <si>
    <t>Faith Aganda</t>
  </si>
  <si>
    <t>254 Brewing Company</t>
  </si>
  <si>
    <t>procurement@global-slacker.com</t>
  </si>
  <si>
    <t>0726150112</t>
  </si>
  <si>
    <t>Susan Ngina</t>
  </si>
  <si>
    <t>CUST102400</t>
  </si>
  <si>
    <t>KPSERVICE</t>
  </si>
  <si>
    <t>Nairobi Central</t>
  </si>
  <si>
    <t>Kikuyu Town</t>
  </si>
  <si>
    <t>Diana Wendy</t>
  </si>
  <si>
    <t>Lilian</t>
  </si>
  <si>
    <t>Berna Piwang</t>
  </si>
  <si>
    <t>Samantha</t>
  </si>
  <si>
    <t>Mercy Wamboi</t>
  </si>
  <si>
    <t>5Th Avenue Management Office</t>
  </si>
  <si>
    <t>0708017933</t>
  </si>
  <si>
    <t>CUST100003</t>
  </si>
  <si>
    <t>KPPMGR</t>
  </si>
  <si>
    <t>Nairobi West</t>
  </si>
  <si>
    <t>Ngong Road</t>
  </si>
  <si>
    <t>5thavenuemgmt@gmail.com</t>
  </si>
  <si>
    <t>Mirriam Waithera</t>
  </si>
  <si>
    <t>A.I.C Cure International Hospital</t>
  </si>
  <si>
    <t>mirriam.waithera@cureinternational.org</t>
  </si>
  <si>
    <t>Maureen</t>
  </si>
  <si>
    <t>CUST101927</t>
  </si>
  <si>
    <t>KPHEALTH</t>
  </si>
  <si>
    <t>South Rift</t>
  </si>
  <si>
    <t>Kijabe</t>
  </si>
  <si>
    <t>June Chesire</t>
  </si>
  <si>
    <t>Kevin Wasike</t>
  </si>
  <si>
    <t>AACC Guest House</t>
  </si>
  <si>
    <t>kevin@aacc-ceta.org</t>
  </si>
  <si>
    <t>Mercy Irungu</t>
  </si>
  <si>
    <t>CUST100007</t>
  </si>
  <si>
    <t>KPHOTEL</t>
  </si>
  <si>
    <t>Waiyaki Way</t>
  </si>
  <si>
    <t>Mercyline Kemunto</t>
  </si>
  <si>
    <t>stores@aacc-ceta.org</t>
  </si>
  <si>
    <t>Allan Were</t>
  </si>
  <si>
    <t>AAR Hospital Limited</t>
  </si>
  <si>
    <t>allan.were@aarhospital.com</t>
  </si>
  <si>
    <t>0725880147</t>
  </si>
  <si>
    <t>Doreen Mugwika</t>
  </si>
  <si>
    <t>CUST101857</t>
  </si>
  <si>
    <t>Nairobi East</t>
  </si>
  <si>
    <t>Kiambu</t>
  </si>
  <si>
    <t>james.mwaura@aarhospital.com</t>
  </si>
  <si>
    <t>Chris Otieno</t>
  </si>
  <si>
    <t>chris.otieno@aarhospital.com</t>
  </si>
  <si>
    <t>Christine muema</t>
  </si>
  <si>
    <t>Christine.muema@aarhospital.com</t>
  </si>
  <si>
    <t>0793 410 850</t>
  </si>
  <si>
    <t>Sylvia Njeru</t>
  </si>
  <si>
    <t>sylvia.njeru@aarhospital.com</t>
  </si>
  <si>
    <t>0723346023</t>
  </si>
  <si>
    <t>Teresa Maina</t>
  </si>
  <si>
    <t>AAR Insurance Kenya Limited</t>
  </si>
  <si>
    <t>teresa.maina@aar.co.ke</t>
  </si>
  <si>
    <t>0736691196</t>
  </si>
  <si>
    <t>CUST100008</t>
  </si>
  <si>
    <t>KPINDUSTRY</t>
  </si>
  <si>
    <t>Upper Hill</t>
  </si>
  <si>
    <t>rkisese@aar.co.ke</t>
  </si>
  <si>
    <t>Benard Kambutu</t>
  </si>
  <si>
    <t>AHN Kenya Limited</t>
  </si>
  <si>
    <t>benard@africahealthcarenetwork.com</t>
  </si>
  <si>
    <t>0796258271</t>
  </si>
  <si>
    <t>Yvonne Otieno</t>
  </si>
  <si>
    <t>CUST100043</t>
  </si>
  <si>
    <t>Mombasa Road</t>
  </si>
  <si>
    <t>Yvonne Achieng</t>
  </si>
  <si>
    <t>donie@africahealthcarenetwork.com</t>
  </si>
  <si>
    <t>Gillian Kibugi</t>
  </si>
  <si>
    <t>AIG Kenya Insurance Company Ltd</t>
  </si>
  <si>
    <t>gillian.kibugi@aig.com</t>
  </si>
  <si>
    <t>CUST100045</t>
  </si>
  <si>
    <t>KPBANK</t>
  </si>
  <si>
    <t>Westlands</t>
  </si>
  <si>
    <t>Shirleen Chebet</t>
  </si>
  <si>
    <t>Patrick Angoiya</t>
  </si>
  <si>
    <t>AMREF Health Africa</t>
  </si>
  <si>
    <t>patrick.angoiya@amref.org</t>
  </si>
  <si>
    <t>Irene Luketelo</t>
  </si>
  <si>
    <t>CUST100067</t>
  </si>
  <si>
    <t>Langata Road</t>
  </si>
  <si>
    <t>samuel.amwata@amref.org</t>
  </si>
  <si>
    <t>Kennedy .</t>
  </si>
  <si>
    <t>Abai Lodges Limited</t>
  </si>
  <si>
    <t>info@abailodges.com</t>
  </si>
  <si>
    <t>0707222555</t>
  </si>
  <si>
    <t>John Kaguai</t>
  </si>
  <si>
    <t>CUST102706</t>
  </si>
  <si>
    <t>Lower Mountain</t>
  </si>
  <si>
    <t>Kerugoya</t>
  </si>
  <si>
    <t>accounts@abailodges.com</t>
  </si>
  <si>
    <t>Winnie Mwangi</t>
  </si>
  <si>
    <t>Abgai Hygiene Ltd</t>
  </si>
  <si>
    <t>waynmuhia@gmail.com</t>
  </si>
  <si>
    <t>0712636287</t>
  </si>
  <si>
    <t>CUST103185</t>
  </si>
  <si>
    <t>KPCCLNRS</t>
  </si>
  <si>
    <t>CBD</t>
  </si>
  <si>
    <t>Tabitha Tabitha</t>
  </si>
  <si>
    <t>Academy Of Dance And Arts Ltd</t>
  </si>
  <si>
    <t>origins@academyonline.me</t>
  </si>
  <si>
    <t>CUST100010</t>
  </si>
  <si>
    <t>KPEDU</t>
  </si>
  <si>
    <t>Karen</t>
  </si>
  <si>
    <t>dance@academyonline.me</t>
  </si>
  <si>
    <t>Jane Awuor</t>
  </si>
  <si>
    <t>Adamji Multi Supplies Limited</t>
  </si>
  <si>
    <t>finance@adamji.co.ke</t>
  </si>
  <si>
    <t>0732673200</t>
  </si>
  <si>
    <t>CUST100012</t>
  </si>
  <si>
    <t>KPDIST</t>
  </si>
  <si>
    <t>Jane Jane</t>
  </si>
  <si>
    <t>stockcontrol@adamji.co.ke</t>
  </si>
  <si>
    <t>Winnie</t>
  </si>
  <si>
    <t>Adams Brown &amp; Company Ltd</t>
  </si>
  <si>
    <t>info@abc-place.com</t>
  </si>
  <si>
    <t>0721619018</t>
  </si>
  <si>
    <t>CUST100013</t>
  </si>
  <si>
    <t>Emma and Tyrus</t>
  </si>
  <si>
    <t>Adlife Management Company Ltd</t>
  </si>
  <si>
    <t>CUST100014</t>
  </si>
  <si>
    <t>Hurlingham</t>
  </si>
  <si>
    <t>wenceslaus@adlifeplaza.com</t>
  </si>
  <si>
    <t>Ann Wanjira</t>
  </si>
  <si>
    <t>Adrian Kenya Ltd</t>
  </si>
  <si>
    <t>ann.wanjira@adriankenya.com</t>
  </si>
  <si>
    <t>0726339919</t>
  </si>
  <si>
    <t>CUST100015</t>
  </si>
  <si>
    <t>adrianpayables@adriankenya.com</t>
  </si>
  <si>
    <t>Veronica Wanjema</t>
  </si>
  <si>
    <t>v.wanjema@adriankenya.com</t>
  </si>
  <si>
    <t>Mercy Njane</t>
  </si>
  <si>
    <t>Aero Club East Africa Ltd</t>
  </si>
  <si>
    <t>admin@aeroclubea.com</t>
  </si>
  <si>
    <t>CUST100017</t>
  </si>
  <si>
    <t>KPAIRLINE</t>
  </si>
  <si>
    <t>Wilson Airport</t>
  </si>
  <si>
    <t>purchasing@aeroclubea.com</t>
  </si>
  <si>
    <t>Ruth Ndege</t>
  </si>
  <si>
    <t>Afex Kenya Ltd</t>
  </si>
  <si>
    <t>ruth.ndege@afexgroup.com</t>
  </si>
  <si>
    <t>CUST100018</t>
  </si>
  <si>
    <t>Joseph Leorso</t>
  </si>
  <si>
    <t>Afri-Sine Limited T/A Nyali Golf View Residence</t>
  </si>
  <si>
    <t>Lucy Gakii</t>
  </si>
  <si>
    <t>CUST101487</t>
  </si>
  <si>
    <t>Coast</t>
  </si>
  <si>
    <t>Mombasa</t>
  </si>
  <si>
    <t>Lucy Rimberia</t>
  </si>
  <si>
    <t>afrisineltd@gmail.com</t>
  </si>
  <si>
    <t>Laban Zewe</t>
  </si>
  <si>
    <t>laban@afrisine.co.ke</t>
  </si>
  <si>
    <t>0714423826</t>
  </si>
  <si>
    <t>Grace A</t>
  </si>
  <si>
    <t>Afri-Trail Ventures Ltd</t>
  </si>
  <si>
    <t>gracem@gmail.com</t>
  </si>
  <si>
    <t>0722773443</t>
  </si>
  <si>
    <t>CUST100030</t>
  </si>
  <si>
    <t>afritrail@gmail.com</t>
  </si>
  <si>
    <t>Davina Ngina</t>
  </si>
  <si>
    <t>Africa Reit</t>
  </si>
  <si>
    <t>info@africareit.com</t>
  </si>
  <si>
    <t>CUST100019</t>
  </si>
  <si>
    <t>accounts@africareit.com</t>
  </si>
  <si>
    <t>Eric Njenga</t>
  </si>
  <si>
    <t>African Forest Lodges Ltd</t>
  </si>
  <si>
    <t>procurement@theforest.co.ke</t>
  </si>
  <si>
    <t>CUST100023</t>
  </si>
  <si>
    <t>Naivasha</t>
  </si>
  <si>
    <t>njengaeric1@gmail.com</t>
  </si>
  <si>
    <t>Christine</t>
  </si>
  <si>
    <t>African Fund For Endagered Wildlife Afew</t>
  </si>
  <si>
    <t>admin@giraffecentre.org</t>
  </si>
  <si>
    <t>0723934980</t>
  </si>
  <si>
    <t>CUST100024</t>
  </si>
  <si>
    <t>solomon@giraffecentre.org</t>
  </si>
  <si>
    <t>Bethsheba Getanda</t>
  </si>
  <si>
    <t>African Population &amp; Health Research Centre</t>
  </si>
  <si>
    <t>bgetanda@aphrc.org</t>
  </si>
  <si>
    <t>0720359978</t>
  </si>
  <si>
    <t>CUST100026</t>
  </si>
  <si>
    <t>KPNGO</t>
  </si>
  <si>
    <t>Lower Kabete</t>
  </si>
  <si>
    <t>guest234@aphrc.org</t>
  </si>
  <si>
    <t>Sophie Muoni</t>
  </si>
  <si>
    <t>African Tulip Ltd C/O Knight Frank</t>
  </si>
  <si>
    <t>Sophie.Muoni@ke.knightfrank.com</t>
  </si>
  <si>
    <t>CUST100028</t>
  </si>
  <si>
    <t>Peter Belo</t>
  </si>
  <si>
    <t>Aga Khan Academy Mombasa</t>
  </si>
  <si>
    <t>belo@agakhanacademies.org</t>
  </si>
  <si>
    <t>0780505044</t>
  </si>
  <si>
    <t>CUST100032</t>
  </si>
  <si>
    <t>sameer.hanif@agakhanacademies.org; vincent.kwendo@oshwalacademy.sc.ke</t>
  </si>
  <si>
    <t>Sameer Hanif</t>
  </si>
  <si>
    <t>sameer.hanif@agakhanacademies.org</t>
  </si>
  <si>
    <t>shamim damji</t>
  </si>
  <si>
    <t>Aga Khan Academy Senior School Nairobi</t>
  </si>
  <si>
    <t>shamim.damji@akesk.org</t>
  </si>
  <si>
    <t>CUST100033</t>
  </si>
  <si>
    <t>Parklands</t>
  </si>
  <si>
    <t>sismail@akesk.org</t>
  </si>
  <si>
    <t>Gulzar Suleiman</t>
  </si>
  <si>
    <t>Aga Khan Development Network - Kenya</t>
  </si>
  <si>
    <t>gulzar.suleman@akdn.org</t>
  </si>
  <si>
    <t>CUST100034</t>
  </si>
  <si>
    <t>gulzar.suleman@akdnkenya.org</t>
  </si>
  <si>
    <t>Gulzar Suleman</t>
  </si>
  <si>
    <t>Alice Kariuki</t>
  </si>
  <si>
    <t>Aga Khan Health Service Kenya</t>
  </si>
  <si>
    <t>alice.kariuki@aku.edu</t>
  </si>
  <si>
    <t>CUST100035</t>
  </si>
  <si>
    <t>anne.nyambura@aku.edu</t>
  </si>
  <si>
    <t>Anne Nyambura</t>
  </si>
  <si>
    <t>Gady Onyango</t>
  </si>
  <si>
    <t>gady.onyango@aku.edu</t>
  </si>
  <si>
    <t>0711092611</t>
  </si>
  <si>
    <t>Mr Keval</t>
  </si>
  <si>
    <t>Aga Khan Sports Centre</t>
  </si>
  <si>
    <t>kp@aksc.co.ke</t>
  </si>
  <si>
    <t>0724710486</t>
  </si>
  <si>
    <t>CUST100038</t>
  </si>
  <si>
    <t>info@aksc.co.ke</t>
  </si>
  <si>
    <t>salome mirenja</t>
  </si>
  <si>
    <t>Agra</t>
  </si>
  <si>
    <t>smirenja@agra.org</t>
  </si>
  <si>
    <t>CUST100040</t>
  </si>
  <si>
    <t>sgaitho@agra.org</t>
  </si>
  <si>
    <t>Estherke Kimonyi</t>
  </si>
  <si>
    <t>Airkenya Express Ltd</t>
  </si>
  <si>
    <t>catering@airkenya.com</t>
  </si>
  <si>
    <t>CUST100046</t>
  </si>
  <si>
    <t>judith.mwaka@airkenya.com</t>
  </si>
  <si>
    <t>Boston</t>
  </si>
  <si>
    <t>Airmarc Ltd T/A Fourpoints By Sheraton</t>
  </si>
  <si>
    <t>CUST100047</t>
  </si>
  <si>
    <t>JKIA</t>
  </si>
  <si>
    <t>finance@fourpointsnairobiairport.co.ke</t>
  </si>
  <si>
    <t>Boston Ouna</t>
  </si>
  <si>
    <t>accounts@fourpointsnairobiairport.co.ke</t>
  </si>
  <si>
    <t>0715897067</t>
  </si>
  <si>
    <t>David Opar</t>
  </si>
  <si>
    <t>stores@fourpointsnairobiairport.co.ke</t>
  </si>
  <si>
    <t>0709760000</t>
  </si>
  <si>
    <t>Kevin Omondi</t>
  </si>
  <si>
    <t>purchase@fourpointsnairobiairport.co.ke</t>
  </si>
  <si>
    <t>0740031202</t>
  </si>
  <si>
    <t>Mr. Joseph</t>
  </si>
  <si>
    <t>Airport Landing Hotel</t>
  </si>
  <si>
    <t>accounts@airportlandinghotel.com</t>
  </si>
  <si>
    <t>0703887777</t>
  </si>
  <si>
    <t>CUST100048</t>
  </si>
  <si>
    <t>Embakasi</t>
  </si>
  <si>
    <t>Ms. Wambui</t>
  </si>
  <si>
    <t>airportlanding254@gmail.com</t>
  </si>
  <si>
    <t>0722960407</t>
  </si>
  <si>
    <t>Bessy Muthuri</t>
  </si>
  <si>
    <t>Al Jazeera Kiswahili Limited</t>
  </si>
  <si>
    <t>bessy.muthuri@aljazeera.net</t>
  </si>
  <si>
    <t>CUST100052</t>
  </si>
  <si>
    <t>Raphael Kigo</t>
  </si>
  <si>
    <t>All Africa Conference Of Churches</t>
  </si>
  <si>
    <t>raphael@aacc-ceta.org</t>
  </si>
  <si>
    <t>0724253354</t>
  </si>
  <si>
    <t>CUST100056</t>
  </si>
  <si>
    <t>KPRELGS</t>
  </si>
  <si>
    <t>Naomi Wangare</t>
  </si>
  <si>
    <t>All And Sundry Services</t>
  </si>
  <si>
    <t>allandsundriesservices@gmail.com</t>
  </si>
  <si>
    <t>0721534305</t>
  </si>
  <si>
    <t>CUST100057</t>
  </si>
  <si>
    <t>Thika Road</t>
  </si>
  <si>
    <t>allandsundryservices@gmail.com</t>
  </si>
  <si>
    <t>Wilfred Thiong'o</t>
  </si>
  <si>
    <t>All Saints Cathedral Church.</t>
  </si>
  <si>
    <t>wthiongo@allsaintsnairobi.org</t>
  </si>
  <si>
    <t>0702645062</t>
  </si>
  <si>
    <t>CUST100058</t>
  </si>
  <si>
    <t>Jeremiah Katonde</t>
  </si>
  <si>
    <t>Allterrain Services Kenya Ltd</t>
  </si>
  <si>
    <t>jkatonde@tsebo.com</t>
  </si>
  <si>
    <t>0723557914</t>
  </si>
  <si>
    <t>CUST100059</t>
  </si>
  <si>
    <t>Ruiru</t>
  </si>
  <si>
    <t>akungu@tsebo.com; bogaga@tsebo.com</t>
  </si>
  <si>
    <t>James Macharia</t>
  </si>
  <si>
    <t>Althaus Services Ltd</t>
  </si>
  <si>
    <t>james@althaus.co.ke</t>
  </si>
  <si>
    <t>0724437445</t>
  </si>
  <si>
    <t>CUST100061</t>
  </si>
  <si>
    <t>stephen@althaus.co.ke; mike.kimathi@althaus.co.ke; margaret@althaus.co.ke</t>
  </si>
  <si>
    <t>Peris Mureithi</t>
  </si>
  <si>
    <t>Amadeus GTD Ltd</t>
  </si>
  <si>
    <t>pmureithi@amadeus.co.ke</t>
  </si>
  <si>
    <t>0717704826</t>
  </si>
  <si>
    <t>CUST100063</t>
  </si>
  <si>
    <t>peris.mureithi@amadeus.com</t>
  </si>
  <si>
    <t>Rueben Gitonga</t>
  </si>
  <si>
    <t>Amani Ya Juu Foundation</t>
  </si>
  <si>
    <t>cafe.assistant@amaniafrica.org</t>
  </si>
  <si>
    <t>0710572892</t>
  </si>
  <si>
    <t>CUST101436</t>
  </si>
  <si>
    <t>gardencafe@amaniafrica.org</t>
  </si>
  <si>
    <t>Chris Rwamwejo</t>
  </si>
  <si>
    <t>Amtoll Rwanda</t>
  </si>
  <si>
    <t>chris@byudagroup.com</t>
  </si>
  <si>
    <t>+250 783 202 777</t>
  </si>
  <si>
    <t>Florence Karaya</t>
  </si>
  <si>
    <t>CUST100069</t>
  </si>
  <si>
    <t>KPEXP</t>
  </si>
  <si>
    <t>Rwanda</t>
  </si>
  <si>
    <t>jacky.amtoll.rw@gmail.com</t>
  </si>
  <si>
    <t>Alvin Mutama</t>
  </si>
  <si>
    <t>And Beyond Kenya Limited</t>
  </si>
  <si>
    <t>alvin.mutama@andbeyond.com</t>
  </si>
  <si>
    <t>VQL</t>
  </si>
  <si>
    <t>CUST100071</t>
  </si>
  <si>
    <t>triza.njeri@andBeyond.com</t>
  </si>
  <si>
    <t>Peterson Muraya</t>
  </si>
  <si>
    <t>peterson.muraya@andbeyond.com</t>
  </si>
  <si>
    <t>Hellen Kaberere</t>
  </si>
  <si>
    <t>Andela Kenya Ltd</t>
  </si>
  <si>
    <t>hellen.kaberere@andela.com</t>
  </si>
  <si>
    <t>CUST100072</t>
  </si>
  <si>
    <t>Israel wachira</t>
  </si>
  <si>
    <t>Androse Enterprises Ltd</t>
  </si>
  <si>
    <t>israel.wachira05@gmail.com</t>
  </si>
  <si>
    <t>0727903059</t>
  </si>
  <si>
    <t>CUST100073</t>
  </si>
  <si>
    <t>androsenterprisesltd@gmail.com</t>
  </si>
  <si>
    <t>Angela procurement</t>
  </si>
  <si>
    <t>Ankole Grill Limited</t>
  </si>
  <si>
    <t>CUST100077</t>
  </si>
  <si>
    <t>KPREST</t>
  </si>
  <si>
    <t>accounts@ankole.co.ke</t>
  </si>
  <si>
    <t>Mercy Birech</t>
  </si>
  <si>
    <t>procurement@ankole.co.ke</t>
  </si>
  <si>
    <t>0748465776</t>
  </si>
  <si>
    <t>Vincent Odhiambo Oyugi</t>
  </si>
  <si>
    <t>stores.kitisuru@ankole.co.ke</t>
  </si>
  <si>
    <t>0723335043</t>
  </si>
  <si>
    <t>Careena Careena</t>
  </si>
  <si>
    <t>Aquadrom Restaurant</t>
  </si>
  <si>
    <t>0702436500</t>
  </si>
  <si>
    <t>CUST100079</t>
  </si>
  <si>
    <t>aquadromlimited@gmail.com</t>
  </si>
  <si>
    <t>Vivian Vivian</t>
  </si>
  <si>
    <t>yulspurchasing@gmail.com</t>
  </si>
  <si>
    <t>mufaddal mufaddal</t>
  </si>
  <si>
    <t>0722566336</t>
  </si>
  <si>
    <t>Elizabeth Kamene</t>
  </si>
  <si>
    <t>Arichem Ltd</t>
  </si>
  <si>
    <t>elizabeth@arichem.co.ke</t>
  </si>
  <si>
    <t>CUST100081</t>
  </si>
  <si>
    <t>fkirimi@arichem.co.ke</t>
  </si>
  <si>
    <t>Lydia</t>
  </si>
  <si>
    <t>Art Investments Ltd C/O Knight Frank Kenya Ltd</t>
  </si>
  <si>
    <t>Collins Kazee</t>
  </si>
  <si>
    <t>CUST100083</t>
  </si>
  <si>
    <t>lydia-ndichu@ke.knightfrank.com</t>
  </si>
  <si>
    <t>Lydia Ndichu</t>
  </si>
  <si>
    <t>Cosmas Munene</t>
  </si>
  <si>
    <t>Artcafe Coffee &amp; Bakery Ltd</t>
  </si>
  <si>
    <t>cosmas.munene@artcaffe.co.ke</t>
  </si>
  <si>
    <t>0727735356</t>
  </si>
  <si>
    <t>CUST100084</t>
  </si>
  <si>
    <t>Susan Mwathi</t>
  </si>
  <si>
    <t>grace@artcaffe.co.ke</t>
  </si>
  <si>
    <t>Francis Mutuku</t>
  </si>
  <si>
    <t>francis.mutuku@artcaffe.co.ke</t>
  </si>
  <si>
    <t>Grace Njeru</t>
  </si>
  <si>
    <t>0727545962</t>
  </si>
  <si>
    <t>Anne</t>
  </si>
  <si>
    <t>Asefah Ltd</t>
  </si>
  <si>
    <t>0722-727390</t>
  </si>
  <si>
    <t>CUST100085</t>
  </si>
  <si>
    <t>South C</t>
  </si>
  <si>
    <t>stores@ngonghillshotel.com</t>
  </si>
  <si>
    <t>Anne Kiragu</t>
  </si>
  <si>
    <t>annek@asefah.com</t>
  </si>
  <si>
    <t>Mike Mike</t>
  </si>
  <si>
    <t>Ashnil Hotels Ltd</t>
  </si>
  <si>
    <t>mike@ashnilhotels.com</t>
  </si>
  <si>
    <t>0733713713</t>
  </si>
  <si>
    <t>CUST100086</t>
  </si>
  <si>
    <t>accounts@ashnilhotels.com</t>
  </si>
  <si>
    <t>Mike Mutuku</t>
  </si>
  <si>
    <t>Nixon</t>
  </si>
  <si>
    <t>Julie</t>
  </si>
  <si>
    <t>August 7Th Memorial Trust</t>
  </si>
  <si>
    <t>admin@memorialparkkenya.org</t>
  </si>
  <si>
    <t>0722323302</t>
  </si>
  <si>
    <t>CUST100088</t>
  </si>
  <si>
    <t>Nick Nyoike</t>
  </si>
  <si>
    <t>Australian High Commission - Nairobi</t>
  </si>
  <si>
    <t>nick.nyoike@dfat.gov.au</t>
  </si>
  <si>
    <t>020 4277100</t>
  </si>
  <si>
    <t>CUST100089</t>
  </si>
  <si>
    <t>nairobi.property@dfat.gov.au</t>
  </si>
  <si>
    <t>Caroline Manyinsa</t>
  </si>
  <si>
    <t>Avenue Healthcare Ltd</t>
  </si>
  <si>
    <t>foodservice@avenuehealthcare.com</t>
  </si>
  <si>
    <t>0723932855</t>
  </si>
  <si>
    <t>CUST100091</t>
  </si>
  <si>
    <t>Kisumu</t>
  </si>
  <si>
    <t>okeyo@avenuehealthcare.com</t>
  </si>
  <si>
    <t>Catherine Mbugua</t>
  </si>
  <si>
    <t>kmbugua@avenueahealthcare.com</t>
  </si>
  <si>
    <t>0110088083</t>
  </si>
  <si>
    <t>kmbugua@avenuehealthcare.com</t>
  </si>
  <si>
    <t>110088083</t>
  </si>
  <si>
    <t>Catherine Olande</t>
  </si>
  <si>
    <t>admin.kisumu@avenuehealthcare.com</t>
  </si>
  <si>
    <t>0718860200</t>
  </si>
  <si>
    <t>Collins Omondi</t>
  </si>
  <si>
    <t>collins.omondi@avenuehealthcare.com</t>
  </si>
  <si>
    <t>Felx Osano</t>
  </si>
  <si>
    <t>felix.osano@evercaregroup.com</t>
  </si>
  <si>
    <t>0722727560</t>
  </si>
  <si>
    <t>Fred Mutisya</t>
  </si>
  <si>
    <t>fredrick@avenuehealthcare.com</t>
  </si>
  <si>
    <t>0724642222</t>
  </si>
  <si>
    <t>Hezron Okeyo</t>
  </si>
  <si>
    <t>0732175000</t>
  </si>
  <si>
    <t>Judy Omondi</t>
  </si>
  <si>
    <t>0711060720</t>
  </si>
  <si>
    <t>Lucy Macharia</t>
  </si>
  <si>
    <t>0707569328</t>
  </si>
  <si>
    <t>CAROL CAROL</t>
  </si>
  <si>
    <t>Avenue Healthcare Ltd - Mombasa</t>
  </si>
  <si>
    <t>reception@avenuehealthcare.com</t>
  </si>
  <si>
    <t>0714831195</t>
  </si>
  <si>
    <t>CUST101132</t>
  </si>
  <si>
    <t>Carol Carol</t>
  </si>
  <si>
    <t>reception.mombasa@avenuehealthcare.com</t>
  </si>
  <si>
    <t>Dr. Esther Ajowi</t>
  </si>
  <si>
    <t>esther.ajowi@avenuehealthcare.com</t>
  </si>
  <si>
    <t>+254 732 175 230</t>
  </si>
  <si>
    <t>Jackline Mumbi</t>
  </si>
  <si>
    <t>jackline.mumbi@avenuehealthcare.com</t>
  </si>
  <si>
    <t>0726681314</t>
  </si>
  <si>
    <t>Niral Haria</t>
  </si>
  <si>
    <t>Bahati Ventures Ltd</t>
  </si>
  <si>
    <t>niralharia@hotmail.com</t>
  </si>
  <si>
    <t>0735584325</t>
  </si>
  <si>
    <t>CUST100096</t>
  </si>
  <si>
    <t>info@bahati.co.ke</t>
  </si>
  <si>
    <t>Pankaj Haria</t>
  </si>
  <si>
    <t>pankajharia@yahoo.com</t>
  </si>
  <si>
    <t>0722349972</t>
  </si>
  <si>
    <t>James oballa</t>
  </si>
  <si>
    <t>Baobab Beach Resort</t>
  </si>
  <si>
    <t>purchasing@baobab-beach-resort.com</t>
  </si>
  <si>
    <t>0722524160</t>
  </si>
  <si>
    <t>CUST101131</t>
  </si>
  <si>
    <t>payables@baobab-beach-resort.com</t>
  </si>
  <si>
    <t>Jeff Mukolwe</t>
  </si>
  <si>
    <t>gm@baobabbeachresort.com</t>
  </si>
  <si>
    <t>0725777025</t>
  </si>
  <si>
    <t>Linet Linet</t>
  </si>
  <si>
    <t>hk@baobabbeachresort.com</t>
  </si>
  <si>
    <t>0722439306</t>
  </si>
  <si>
    <t>Gladstone Muchira</t>
  </si>
  <si>
    <t>Baraka Lodges Ltd T/A JW Marriot Maasai Mara Lodge</t>
  </si>
  <si>
    <t>gladstone.muchira@jwmarriottmasaimara.com</t>
  </si>
  <si>
    <t>0798-645-848</t>
  </si>
  <si>
    <t>CUST102804</t>
  </si>
  <si>
    <t>anne.vengi@crownplazanairobiairport.com</t>
  </si>
  <si>
    <t>Eric Kinaka</t>
  </si>
  <si>
    <t>Becky's Cafe</t>
  </si>
  <si>
    <t>bekysuites@gmail.com</t>
  </si>
  <si>
    <t>CUST101823</t>
  </si>
  <si>
    <t>Eastern</t>
  </si>
  <si>
    <t>Machakos</t>
  </si>
  <si>
    <t>Erick Kinaka</t>
  </si>
  <si>
    <t>beckyssuites@gmail.com</t>
  </si>
  <si>
    <t>+254 720 709926</t>
  </si>
  <si>
    <t>Sharone Gakii</t>
  </si>
  <si>
    <t>Berra Lounge Hotel Ltd</t>
  </si>
  <si>
    <t>info@berraloungehotel.co.ke</t>
  </si>
  <si>
    <t>CUST100108</t>
  </si>
  <si>
    <t>Ngong</t>
  </si>
  <si>
    <t>Maurice Makau</t>
  </si>
  <si>
    <t>Bethel Corner</t>
  </si>
  <si>
    <t>thebethelcorner@gmail.com</t>
  </si>
  <si>
    <t>0114 033371</t>
  </si>
  <si>
    <t>CUST103223</t>
  </si>
  <si>
    <t>KPWHSALE</t>
  </si>
  <si>
    <t>Ruaka</t>
  </si>
  <si>
    <t>Rajan Mote</t>
  </si>
  <si>
    <t>Bilashaka Flowers Ltd</t>
  </si>
  <si>
    <t>stores.bilashaka@zuurbier.com</t>
  </si>
  <si>
    <t>CUST100117</t>
  </si>
  <si>
    <t>KPAGRI</t>
  </si>
  <si>
    <t>Josh Ochieng</t>
  </si>
  <si>
    <t>Blixen Court</t>
  </si>
  <si>
    <t>blixencourt@gmail.com</t>
  </si>
  <si>
    <t>0723814503</t>
  </si>
  <si>
    <t>CUST100122</t>
  </si>
  <si>
    <t>oscar@propertylinkafrica.com</t>
  </si>
  <si>
    <t>Nancy Admin</t>
  </si>
  <si>
    <t>Bluesky Outsourcing Ltd</t>
  </si>
  <si>
    <t>blueskyoutsourcinglimited@gmail.com</t>
  </si>
  <si>
    <t>0726865471</t>
  </si>
  <si>
    <t>CUST100123</t>
  </si>
  <si>
    <t>Kilimani</t>
  </si>
  <si>
    <t>Everlyn Awour</t>
  </si>
  <si>
    <t>Boc Kenya Plc</t>
  </si>
  <si>
    <t>everlyne.awuor@boc.com</t>
  </si>
  <si>
    <t>CUST100124</t>
  </si>
  <si>
    <t>Industrial Area</t>
  </si>
  <si>
    <t>nnale@monarchinsurance.co.ke</t>
  </si>
  <si>
    <t>Neema Adam</t>
  </si>
  <si>
    <t>Bomu Hospital</t>
  </si>
  <si>
    <t>info@bomuhospital.org</t>
  </si>
  <si>
    <t>0724332200</t>
  </si>
  <si>
    <t>CUST100126</t>
  </si>
  <si>
    <t>Becky Rebbeca</t>
  </si>
  <si>
    <t>Boresha Africa Ltd</t>
  </si>
  <si>
    <t>boreshaafrica@gmail.com</t>
  </si>
  <si>
    <t>0722211046</t>
  </si>
  <si>
    <t>CUST101425</t>
  </si>
  <si>
    <t>sales@boreshafrica.com</t>
  </si>
  <si>
    <t>Phylis Kiggima</t>
  </si>
  <si>
    <t>Bosphorous Company Ltd</t>
  </si>
  <si>
    <t>ltdbosphorus@yahoo.com</t>
  </si>
  <si>
    <t>CUST100128</t>
  </si>
  <si>
    <t>Phyllis Bos</t>
  </si>
  <si>
    <t>0727803973</t>
  </si>
  <si>
    <t>Phyllis Kiggima</t>
  </si>
  <si>
    <t>ltdbosphorus@gmail.com</t>
  </si>
  <si>
    <t>0727 803973</t>
  </si>
  <si>
    <t>Rajesh Gudka</t>
  </si>
  <si>
    <t>Brandables E.A Limited</t>
  </si>
  <si>
    <t>raju@debenhamfear.com</t>
  </si>
  <si>
    <t>0722203319</t>
  </si>
  <si>
    <t>CUST100129</t>
  </si>
  <si>
    <t>info@brandables.co.ke</t>
  </si>
  <si>
    <t>Beatrice Karimi</t>
  </si>
  <si>
    <t>Brandworld Communications Ltd</t>
  </si>
  <si>
    <t>beatrice.karimi@brandworld.co.ke</t>
  </si>
  <si>
    <t>CUST100130</t>
  </si>
  <si>
    <t>South B</t>
  </si>
  <si>
    <t>beatrice.karimi@brandworld.co.ke; Faith.mutuku@brandworld.co.ke</t>
  </si>
  <si>
    <t>Edwin Ongeri</t>
  </si>
  <si>
    <t>Brico Chemicals Ltd</t>
  </si>
  <si>
    <t>bricochemicals@gmail.com</t>
  </si>
  <si>
    <t>0721538682</t>
  </si>
  <si>
    <t>CUST102526</t>
  </si>
  <si>
    <t>KPCASH</t>
  </si>
  <si>
    <t>Marvin Bridgeworld College</t>
  </si>
  <si>
    <t>Bridgeworld College</t>
  </si>
  <si>
    <t>CUST100132</t>
  </si>
  <si>
    <t>wambuikarongo@gmail.com</t>
  </si>
  <si>
    <t>Wambui Karongo</t>
  </si>
  <si>
    <t>Patience Kosgei</t>
  </si>
  <si>
    <t>Broncep Investment Company Ltd</t>
  </si>
  <si>
    <t>broncepinvestment@gmail.com</t>
  </si>
  <si>
    <t>0710631469</t>
  </si>
  <si>
    <t>CUST101803</t>
  </si>
  <si>
    <t>Ann Muriu</t>
  </si>
  <si>
    <t>Brookhouse School - Karen</t>
  </si>
  <si>
    <t>amuriu@brookhouse.ac.ke</t>
  </si>
  <si>
    <t>0724240908</t>
  </si>
  <si>
    <t>CUST100140</t>
  </si>
  <si>
    <t>accountsdept@brookhouse.ac.ke</t>
  </si>
  <si>
    <t>Carol Gacheru</t>
  </si>
  <si>
    <t>Buffalo Mall Naivasha Ltd</t>
  </si>
  <si>
    <t>carol.gacheru@buffalomallnaivasha.com</t>
  </si>
  <si>
    <t>0716328384</t>
  </si>
  <si>
    <t>CUST100145</t>
  </si>
  <si>
    <t>esther.kirigo@buffalomalldevelopments.com</t>
  </si>
  <si>
    <t>Esther Kirigo</t>
  </si>
  <si>
    <t>Juliana Nchebere</t>
  </si>
  <si>
    <t>juliana.nchebere@buffalomalldevelopments.com</t>
  </si>
  <si>
    <t>GEORGE NJENGA</t>
  </si>
  <si>
    <t>Bussem Ltd Trading -The Apartments</t>
  </si>
  <si>
    <t>accassistant5@yaya.co.ke</t>
  </si>
  <si>
    <t>0722200427</t>
  </si>
  <si>
    <t>CUST101464</t>
  </si>
  <si>
    <t>AccAssistant2@yaya.co.ke</t>
  </si>
  <si>
    <t>DENNIS OKONJI</t>
  </si>
  <si>
    <t>Bussem Ltd Trading -The Shopping Centre</t>
  </si>
  <si>
    <t>accassistant3@yaya.co.ke</t>
  </si>
  <si>
    <t>CUST101463</t>
  </si>
  <si>
    <t>Edna Fernandes</t>
  </si>
  <si>
    <t>Bussem Ltd Trading As Yaya Towers</t>
  </si>
  <si>
    <t>gm@yaya.co.ke</t>
  </si>
  <si>
    <t>0722520702</t>
  </si>
  <si>
    <t>CUST100148</t>
  </si>
  <si>
    <t>sanyal</t>
  </si>
  <si>
    <t>Buyline Industries Ltd</t>
  </si>
  <si>
    <t>sanyal@buylineindustries.com</t>
  </si>
  <si>
    <t>CUST100149</t>
  </si>
  <si>
    <t>buyline@kenyaweb.com</t>
  </si>
  <si>
    <t>Noel Ogot</t>
  </si>
  <si>
    <t>Cafesserie Ltd</t>
  </si>
  <si>
    <t>noelo@cafesserie.com</t>
  </si>
  <si>
    <t>0202609338</t>
  </si>
  <si>
    <t>CUST100154</t>
  </si>
  <si>
    <t>Christine Ngure</t>
  </si>
  <si>
    <t>Calltronix Kenya Ltd</t>
  </si>
  <si>
    <t>christine.ngure@calltronix.com</t>
  </si>
  <si>
    <t>0737294074</t>
  </si>
  <si>
    <t>CUST100155</t>
  </si>
  <si>
    <t>finance@calltronix.com</t>
  </si>
  <si>
    <t>Brenda Kiambi</t>
  </si>
  <si>
    <t>Canadian High Commission</t>
  </si>
  <si>
    <t>Brenda.Kiambi@international.gc.ca</t>
  </si>
  <si>
    <t>CUST100156</t>
  </si>
  <si>
    <t>Gigiri</t>
  </si>
  <si>
    <t>Hiral Shah</t>
  </si>
  <si>
    <t>Capital Square Limited</t>
  </si>
  <si>
    <t>hiral.shah@capitalsquare.co.ke</t>
  </si>
  <si>
    <t>CUST101393</t>
  </si>
  <si>
    <t>David Kilui</t>
  </si>
  <si>
    <t>Capital West Limited C/O Knight Frank Kenya</t>
  </si>
  <si>
    <t>DAVID.KILUI@KE.KNIGHTFRANK.COM</t>
  </si>
  <si>
    <t>CUST100159</t>
  </si>
  <si>
    <t>rita.ntara@ke.knightfrank.com</t>
  </si>
  <si>
    <t>Paul Abiud</t>
  </si>
  <si>
    <t>Capricon Group Ltd</t>
  </si>
  <si>
    <t>paulabiud@gmail.com</t>
  </si>
  <si>
    <t>CUST100160</t>
  </si>
  <si>
    <t>Simon Muya</t>
  </si>
  <si>
    <t>Caribbean Food Court</t>
  </si>
  <si>
    <t>muyasimon11@gmail.com</t>
  </si>
  <si>
    <t>CUST100161</t>
  </si>
  <si>
    <t>Carrosel Cleaning Services Carrosel Cleaning Services</t>
  </si>
  <si>
    <t>Carrosel Cleaning Services</t>
  </si>
  <si>
    <t>CUST100163</t>
  </si>
  <si>
    <t>ssakura@carrosel.co.ke</t>
  </si>
  <si>
    <t>John</t>
  </si>
  <si>
    <t>0705194125</t>
  </si>
  <si>
    <t>Susan Veronicah Gikonyo</t>
  </si>
  <si>
    <t>Cash and Carry Packaging</t>
  </si>
  <si>
    <t>cashandcarrypackaging@gmail.com</t>
  </si>
  <si>
    <t>0714219388</t>
  </si>
  <si>
    <t>CUST102336</t>
  </si>
  <si>
    <t>Dennis Mwitwari</t>
  </si>
  <si>
    <t>Cedar Mall Ltd C/O Knight Frank Kenya Ltd</t>
  </si>
  <si>
    <t>Dennis.NMwitwari@ke.knightfrank.com</t>
  </si>
  <si>
    <t>0725120340</t>
  </si>
  <si>
    <t>CUST100165</t>
  </si>
  <si>
    <t>Nanyuki</t>
  </si>
  <si>
    <t>joy.mugure@ke.knightfrank.com</t>
  </si>
  <si>
    <t>Joy Mugure</t>
  </si>
  <si>
    <t>Maureen Ndiba.</t>
  </si>
  <si>
    <t>Cellulant Kenya Ltd</t>
  </si>
  <si>
    <t>ndiba.maureen@cellulant.io</t>
  </si>
  <si>
    <t>0725295579</t>
  </si>
  <si>
    <t>CUST100166</t>
  </si>
  <si>
    <t>Uhuru Highway</t>
  </si>
  <si>
    <t>patricia.kioga@cellulant.io</t>
  </si>
  <si>
    <t>Samson Natembeya</t>
  </si>
  <si>
    <t>samson.natembeya@cellulant.io</t>
  </si>
  <si>
    <t>0720 996366</t>
  </si>
  <si>
    <t>Kenneth Amugune</t>
  </si>
  <si>
    <t>Central Bank Of Kenya</t>
  </si>
  <si>
    <t>Amugune@centralban.go.ke</t>
  </si>
  <si>
    <t>0722952491</t>
  </si>
  <si>
    <t>CUST100167</t>
  </si>
  <si>
    <t>KPGOVT</t>
  </si>
  <si>
    <t>kamurenjb@centralbank.go.ke</t>
  </si>
  <si>
    <t>Kihanya</t>
  </si>
  <si>
    <t>Edith Kainyu</t>
  </si>
  <si>
    <t>Centrale Humanitaire Medico Pharmaceutique</t>
  </si>
  <si>
    <t>reception@chmp-kenya.org</t>
  </si>
  <si>
    <t>07279241848</t>
  </si>
  <si>
    <t>CUST100168</t>
  </si>
  <si>
    <t>logistics.kenya@chmp.org</t>
  </si>
  <si>
    <t>Paul Mwangi</t>
  </si>
  <si>
    <t>Chaka Ranch Ltd</t>
  </si>
  <si>
    <t>paul.mwangi@chakaranch.com</t>
  </si>
  <si>
    <t>CUST100170</t>
  </si>
  <si>
    <t>Nyeri</t>
  </si>
  <si>
    <t>phenny.chiro@chakaranch.com</t>
  </si>
  <si>
    <t>Jenifer Njau</t>
  </si>
  <si>
    <t>Chania Cleaners Ltd</t>
  </si>
  <si>
    <t>info@chaniacleaners.com</t>
  </si>
  <si>
    <t>0721992106</t>
  </si>
  <si>
    <t>CUST100172</t>
  </si>
  <si>
    <t>Edward Mburu</t>
  </si>
  <si>
    <t>Chap Chap Ventures</t>
  </si>
  <si>
    <t>chapchapventures@gmail.com</t>
  </si>
  <si>
    <t>CUST100173</t>
  </si>
  <si>
    <t>Pangani</t>
  </si>
  <si>
    <t>Mo Verjee</t>
  </si>
  <si>
    <t>Cheli &amp; Peacock Management Ltd</t>
  </si>
  <si>
    <t>mo.verjee@elewana.com</t>
  </si>
  <si>
    <t>0731001174</t>
  </si>
  <si>
    <t>CUST100175</t>
  </si>
  <si>
    <t>winnie.mbithe@elewana.com</t>
  </si>
  <si>
    <t>Salim Bholla</t>
  </si>
  <si>
    <t>Salim.Bholla@sopalodges.com</t>
  </si>
  <si>
    <t>+254 793 305 015</t>
  </si>
  <si>
    <t>Doreen Ltd</t>
  </si>
  <si>
    <t>Chemserve Ltd.</t>
  </si>
  <si>
    <t>dateyu@chemserve.co.ke</t>
  </si>
  <si>
    <t>0799871027</t>
  </si>
  <si>
    <t>CUST100176</t>
  </si>
  <si>
    <t>rnjoroge@chemserve.co.ke</t>
  </si>
  <si>
    <t>Steve Omwenga</t>
  </si>
  <si>
    <t>China Zhong Tian Investment Ltd</t>
  </si>
  <si>
    <t>finance.lenana@swissinternationalhotels.com</t>
  </si>
  <si>
    <t>CUST100182</t>
  </si>
  <si>
    <t>Milimani</t>
  </si>
  <si>
    <t>Edith Ndichu</t>
  </si>
  <si>
    <t>Chiropractic &amp; Physiotherapy Health Centre</t>
  </si>
  <si>
    <t>edith@chirophysic.co.ke</t>
  </si>
  <si>
    <t>0735052653</t>
  </si>
  <si>
    <t>CUST100184</t>
  </si>
  <si>
    <t>info@chirophysic.co.ke</t>
  </si>
  <si>
    <t>Nazarite Chelamet</t>
  </si>
  <si>
    <t>Chirways Limited</t>
  </si>
  <si>
    <t>0725174914</t>
  </si>
  <si>
    <t>CUST103202</t>
  </si>
  <si>
    <t>South Nyanza</t>
  </si>
  <si>
    <t>Bomet</t>
  </si>
  <si>
    <t>hosea@gmail.com</t>
  </si>
  <si>
    <t>gaucho johnny</t>
  </si>
  <si>
    <t>Churrasco Gaucho Limited</t>
  </si>
  <si>
    <t>CUST100185</t>
  </si>
  <si>
    <t>fogogauchofinance@gmail.com</t>
  </si>
  <si>
    <t>mr Jonny</t>
  </si>
  <si>
    <t>churrascogauchoaccts@gmail.com</t>
  </si>
  <si>
    <t>0715414141</t>
  </si>
  <si>
    <t>Milton Shivashi</t>
  </si>
  <si>
    <t>City Lodge At Two Rivers</t>
  </si>
  <si>
    <t>cltworivers.plc@clhg.com</t>
  </si>
  <si>
    <t>CUST100186</t>
  </si>
  <si>
    <t>edgar.kahenzi@holidayinnnairobi.com</t>
  </si>
  <si>
    <t>jane lily jane</t>
  </si>
  <si>
    <t>City Professional Cleaners Ltd</t>
  </si>
  <si>
    <t>lily@cityprofessionalcleaners.com</t>
  </si>
  <si>
    <t>0724379003</t>
  </si>
  <si>
    <t>CUST100188</t>
  </si>
  <si>
    <t>Litigation Accounts</t>
  </si>
  <si>
    <t>Mr. Josphat</t>
  </si>
  <si>
    <t>Clarence House Apartments Ltd</t>
  </si>
  <si>
    <t>stores@clarencehousenairobi.com</t>
  </si>
  <si>
    <t>0729354919</t>
  </si>
  <si>
    <t>CUST100190</t>
  </si>
  <si>
    <t>accounts@clarencehousenairobi.com</t>
  </si>
  <si>
    <t>Joab Clarion</t>
  </si>
  <si>
    <t>Clarion Hotel</t>
  </si>
  <si>
    <t>0717619652</t>
  </si>
  <si>
    <t>CUST100191</t>
  </si>
  <si>
    <t>finance@theclarionhotel.co.ke</t>
  </si>
  <si>
    <t>Joab Ochieng</t>
  </si>
  <si>
    <t>procurement@theclarionhotel.co.ke</t>
  </si>
  <si>
    <t>Joan Ochieng</t>
  </si>
  <si>
    <t>Fatuma Noor</t>
  </si>
  <si>
    <t>Cleanco Investment Ltd</t>
  </si>
  <si>
    <t>cleancoinv@gmail.com</t>
  </si>
  <si>
    <t>0722281193</t>
  </si>
  <si>
    <t>CUST100193</t>
  </si>
  <si>
    <t>.</t>
  </si>
  <si>
    <t>Cleanmark Limited</t>
  </si>
  <si>
    <t>0711877877</t>
  </si>
  <si>
    <t>CUST102322</t>
  </si>
  <si>
    <t>cleanmarklimited@gmail.com</t>
  </si>
  <si>
    <t>Cleanmark</t>
  </si>
  <si>
    <t>Zack korir</t>
  </si>
  <si>
    <t>James Wambugu</t>
  </si>
  <si>
    <t>Clique Limited</t>
  </si>
  <si>
    <t>stores@clique.co.ke</t>
  </si>
  <si>
    <t>CUST100196</t>
  </si>
  <si>
    <t>info@clique.co.ke</t>
  </si>
  <si>
    <t>Abel Karanja</t>
  </si>
  <si>
    <t>Cold Springs Hotel</t>
  </si>
  <si>
    <t>abelkaranja6@gmail.com</t>
  </si>
  <si>
    <t>0712449429</t>
  </si>
  <si>
    <t>CUST100197</t>
  </si>
  <si>
    <t>info@coldspringshotels.com</t>
  </si>
  <si>
    <t>Mary Mwendwa</t>
  </si>
  <si>
    <t>College Of Human Resource Management</t>
  </si>
  <si>
    <t>mary.mwendwa@ihrm.or.ke</t>
  </si>
  <si>
    <t>CUST100198</t>
  </si>
  <si>
    <t>LOICE ACHIENG</t>
  </si>
  <si>
    <t>College Of Insurance</t>
  </si>
  <si>
    <t>lachieng@coi.ac.ke</t>
  </si>
  <si>
    <t>0726342331</t>
  </si>
  <si>
    <t>CUST100199</t>
  </si>
  <si>
    <t>Joan Imelda</t>
  </si>
  <si>
    <t>Colnet Limited</t>
  </si>
  <si>
    <t>payablesaccounts@colnet.co.ke</t>
  </si>
  <si>
    <t>0782555537</t>
  </si>
  <si>
    <t>CUST103187</t>
  </si>
  <si>
    <t>stores@colnet.co.ke</t>
  </si>
  <si>
    <t>Moureen N</t>
  </si>
  <si>
    <t>Columbia Africa Healthcare Ltd</t>
  </si>
  <si>
    <t>moureen.n@columbiaafrica.com</t>
  </si>
  <si>
    <t>254 709 496 000</t>
  </si>
  <si>
    <t>CUST100200</t>
  </si>
  <si>
    <t>Lavington</t>
  </si>
  <si>
    <t>irene Jabanda</t>
  </si>
  <si>
    <t>Compassion International INC</t>
  </si>
  <si>
    <t>IRmuri@ke.ci.org</t>
  </si>
  <si>
    <t>0720209079</t>
  </si>
  <si>
    <t>CUST100202</t>
  </si>
  <si>
    <t>rmuiru@ke.ci.org</t>
  </si>
  <si>
    <t>Miss Rahma</t>
  </si>
  <si>
    <t>Comprehensive Diabetes Centre</t>
  </si>
  <si>
    <t>cdiabetescentre@gmail.com</t>
  </si>
  <si>
    <t>+254 711 781299</t>
  </si>
  <si>
    <t>CUST103448</t>
  </si>
  <si>
    <t>cdiabetescentre@gmail.com; rahma@cdiabetescentre.com</t>
  </si>
  <si>
    <t>Jones Aranda</t>
  </si>
  <si>
    <t>Concern Worldwide</t>
  </si>
  <si>
    <t>jones.aranda@concern.net</t>
  </si>
  <si>
    <t>CUST100203</t>
  </si>
  <si>
    <t>rose.shaviya@concern.net</t>
  </si>
  <si>
    <t>Frank Muluma</t>
  </si>
  <si>
    <t>Connect Coffee</t>
  </si>
  <si>
    <t>orders@connectcoffee.net</t>
  </si>
  <si>
    <t>0748812404</t>
  </si>
  <si>
    <t>CUST101504</t>
  </si>
  <si>
    <t>accounts@connectcoffee.net</t>
  </si>
  <si>
    <t>Kevin None</t>
  </si>
  <si>
    <t>Back office</t>
  </si>
  <si>
    <t>Erick Kimuyu</t>
  </si>
  <si>
    <t>Convent International Hotel Ltd</t>
  </si>
  <si>
    <t>accounts@cigh.co.ke</t>
  </si>
  <si>
    <t>CUST100204</t>
  </si>
  <si>
    <t>info@cigh.co.ke</t>
  </si>
  <si>
    <t>Janet</t>
  </si>
  <si>
    <t>Salome Mwasi</t>
  </si>
  <si>
    <t>procurement@cigh.co.ke</t>
  </si>
  <si>
    <t>0723665525</t>
  </si>
  <si>
    <t>Goddie Goddy</t>
  </si>
  <si>
    <t>Coromandele Resort Limited</t>
  </si>
  <si>
    <t>stores@kinondo-kwetu.com</t>
  </si>
  <si>
    <t>0768184569</t>
  </si>
  <si>
    <t>CUST100207</t>
  </si>
  <si>
    <t>Diani</t>
  </si>
  <si>
    <t>accounting@kinundo-kwetu.com</t>
  </si>
  <si>
    <t>0717006899</t>
  </si>
  <si>
    <t>0724999293</t>
  </si>
  <si>
    <t>Muturi</t>
  </si>
  <si>
    <t>Cossta Caffee</t>
  </si>
  <si>
    <t>CUST100208</t>
  </si>
  <si>
    <t>cosstacaffe@gmail.com</t>
  </si>
  <si>
    <t>Sebastian</t>
  </si>
  <si>
    <t>Craft Silicon Ltd</t>
  </si>
  <si>
    <t>CUST100212</t>
  </si>
  <si>
    <t>finance@craftsilicon.com</t>
  </si>
  <si>
    <t>Tejash Joshi</t>
  </si>
  <si>
    <t>tejash.joshi@craftsilicon.com</t>
  </si>
  <si>
    <t>0737840343</t>
  </si>
  <si>
    <t>Fiona Mutheu</t>
  </si>
  <si>
    <t>Cranch Africa Ltd</t>
  </si>
  <si>
    <t>fionare@yahoo.com</t>
  </si>
  <si>
    <t>0720924233</t>
  </si>
  <si>
    <t>CUST102441</t>
  </si>
  <si>
    <t>Langata</t>
  </si>
  <si>
    <t>cranchafricaltd@gmail.com</t>
  </si>
  <si>
    <t>Rachel Wahito</t>
  </si>
  <si>
    <t>Crave Ltd</t>
  </si>
  <si>
    <t>rachel.wahito@gmail.com</t>
  </si>
  <si>
    <t>CUST100213</t>
  </si>
  <si>
    <t>Kawangware</t>
  </si>
  <si>
    <t>Herina Onyach</t>
  </si>
  <si>
    <t>Creative Cleaning Services Limited - Mombasa</t>
  </si>
  <si>
    <t>honyach@creativemgmt.co.ke</t>
  </si>
  <si>
    <t>0720026941</t>
  </si>
  <si>
    <t>Steve</t>
  </si>
  <si>
    <t>CUST101165</t>
  </si>
  <si>
    <t>Christine Wanjiru Ndung'u</t>
  </si>
  <si>
    <t>Cyfenna Company Limited</t>
  </si>
  <si>
    <t>info@cyfenna.co.ke</t>
  </si>
  <si>
    <t>0722254764</t>
  </si>
  <si>
    <t>CUST101869</t>
  </si>
  <si>
    <t>George Anyiri</t>
  </si>
  <si>
    <t>Cytonn Investments Management Ltd</t>
  </si>
  <si>
    <t>ganyiri@cytonn.com</t>
  </si>
  <si>
    <t>0712646 566</t>
  </si>
  <si>
    <t>CUST100218</t>
  </si>
  <si>
    <t>admin@cytonn.com.</t>
  </si>
  <si>
    <t>Noeline Kisang</t>
  </si>
  <si>
    <t>nkisang@cytonn.com</t>
  </si>
  <si>
    <t>0715584000</t>
  </si>
  <si>
    <t>Patrick Waweru</t>
  </si>
  <si>
    <t>D.T. Dobie</t>
  </si>
  <si>
    <t>pwaweru@cfao.com</t>
  </si>
  <si>
    <t>0723024244</t>
  </si>
  <si>
    <t>CUST100219</t>
  </si>
  <si>
    <t>wkuria@cfao.com</t>
  </si>
  <si>
    <t>Mary Macharia</t>
  </si>
  <si>
    <t>DIB Bank Kenya</t>
  </si>
  <si>
    <t>mary.macharia@dibkenya.co.ke</t>
  </si>
  <si>
    <t>0722349321</t>
  </si>
  <si>
    <t>CUST100239</t>
  </si>
  <si>
    <t>Betty Muthamia</t>
  </si>
  <si>
    <t>Dallas Premiere Hotel Limited</t>
  </si>
  <si>
    <t>betty@dallas.ke</t>
  </si>
  <si>
    <t>0722795173</t>
  </si>
  <si>
    <t>CUST103063</t>
  </si>
  <si>
    <t>Kisii</t>
  </si>
  <si>
    <t>joel@dallas.ke</t>
  </si>
  <si>
    <t>Cathrine wanjiru</t>
  </si>
  <si>
    <t>Dash Growth Cleaning Services</t>
  </si>
  <si>
    <t>dashgrowth@gmail.com</t>
  </si>
  <si>
    <t>0718929717</t>
  </si>
  <si>
    <t>CUST101905</t>
  </si>
  <si>
    <t>Runda</t>
  </si>
  <si>
    <t>Dash Growth cleaning services</t>
  </si>
  <si>
    <t>Olivia Mwangi</t>
  </si>
  <si>
    <t>Daykio Plantations Ltd</t>
  </si>
  <si>
    <t>info@daykio.com</t>
  </si>
  <si>
    <t>CUST100223</t>
  </si>
  <si>
    <t>Judith Angima</t>
  </si>
  <si>
    <t>Daystar University Enterprises</t>
  </si>
  <si>
    <t>del@daystar.ac.ke</t>
  </si>
  <si>
    <t>0738414150</t>
  </si>
  <si>
    <t>CUST100224</t>
  </si>
  <si>
    <t>Athi River</t>
  </si>
  <si>
    <t>sgithu@daystar.ac.ke</t>
  </si>
  <si>
    <t>CHRIS KAMAU</t>
  </si>
  <si>
    <t>De Chrip E A Ltd</t>
  </si>
  <si>
    <t>0725290796</t>
  </si>
  <si>
    <t>CUST100225</t>
  </si>
  <si>
    <t>dechripealimited@gmail.com</t>
  </si>
  <si>
    <t>Chris Kamau</t>
  </si>
  <si>
    <t>Caroline Wairimu</t>
  </si>
  <si>
    <t>De La Rue Kenya Epz Ltd</t>
  </si>
  <si>
    <t>caroline.wairimu@delarue.com</t>
  </si>
  <si>
    <t>CUST100226</t>
  </si>
  <si>
    <t>Kahawa</t>
  </si>
  <si>
    <t>nancy.kimuyu@delarue.com</t>
  </si>
  <si>
    <t>Frederick Agesa</t>
  </si>
  <si>
    <t>frederick.agesa@delarue.com</t>
  </si>
  <si>
    <t>Dominic Mwinzi</t>
  </si>
  <si>
    <t>Delta Corner Main Management C/O Knightfrank</t>
  </si>
  <si>
    <t>Dominic.Mwinzi@ke.knightfrank.com</t>
  </si>
  <si>
    <t>CUST100230</t>
  </si>
  <si>
    <t>Deluxe inks ltd</t>
  </si>
  <si>
    <t>Deluxe Inks Ltd</t>
  </si>
  <si>
    <t>CUST100231</t>
  </si>
  <si>
    <t>pb.finance@deluxeinks.com</t>
  </si>
  <si>
    <t>Alnoor Dhanjee</t>
  </si>
  <si>
    <t>Dhanjee Brothers</t>
  </si>
  <si>
    <t>dhanjee.brothers@gmail.com</t>
  </si>
  <si>
    <t>0722153863</t>
  </si>
  <si>
    <t>CUST100235</t>
  </si>
  <si>
    <t>John Matheri</t>
  </si>
  <si>
    <t>Diamond Sparkle Limited</t>
  </si>
  <si>
    <t>0790716658</t>
  </si>
  <si>
    <t>CUST101538</t>
  </si>
  <si>
    <t>unduku12@gmail.com</t>
  </si>
  <si>
    <t>Veronica Nduko</t>
  </si>
  <si>
    <t>info@diamondsparkle.co.ke</t>
  </si>
  <si>
    <t>James Otunga</t>
  </si>
  <si>
    <t>Diamond Trust Bank Kenya Ltd</t>
  </si>
  <si>
    <t>jotunga@dtbafrica.com</t>
  </si>
  <si>
    <t>0719031888</t>
  </si>
  <si>
    <t>CUST100238</t>
  </si>
  <si>
    <t>wkevelenge@dtbafrica.com</t>
  </si>
  <si>
    <t>Phyllis Mwangi</t>
  </si>
  <si>
    <t>Dion Wine &amp; Spirits E.A ltd</t>
  </si>
  <si>
    <t>phyllis@dionwinesea.com</t>
  </si>
  <si>
    <t>CUST101525</t>
  </si>
  <si>
    <t>WANJIRU</t>
  </si>
  <si>
    <t>Disposable Packaging Limited</t>
  </si>
  <si>
    <t>disposable@yahoo.com</t>
  </si>
  <si>
    <t>0725987997</t>
  </si>
  <si>
    <t>CUST101479</t>
  </si>
  <si>
    <t>Ngara</t>
  </si>
  <si>
    <t>dpackagingltd@gmail.com</t>
  </si>
  <si>
    <t>Denice Owoko.</t>
  </si>
  <si>
    <t>Diversey Eastern &amp; Central Africa Ltd</t>
  </si>
  <si>
    <t>denice.owoko@diversey.com</t>
  </si>
  <si>
    <t>0703 040000</t>
  </si>
  <si>
    <t>CUST100242</t>
  </si>
  <si>
    <t>wgachini@contractor.solenis.com</t>
  </si>
  <si>
    <t>John Ogweche</t>
  </si>
  <si>
    <t>john.ogweche@diversey.com</t>
  </si>
  <si>
    <t>Mark Gitonga</t>
  </si>
  <si>
    <t>Mark.Gitonga@diversey.com</t>
  </si>
  <si>
    <t>0703 040 236</t>
  </si>
  <si>
    <t>Immaculate Munyalo</t>
  </si>
  <si>
    <t>Dormans Coffee Ltd</t>
  </si>
  <si>
    <t>immaculate.munyalo@dormanscoffee.com</t>
  </si>
  <si>
    <t>CUST100248</t>
  </si>
  <si>
    <t>kevin@dorman.co.ke</t>
  </si>
  <si>
    <t>Francis Kinyua</t>
  </si>
  <si>
    <t>Dowaki Limited</t>
  </si>
  <si>
    <t>sales.dowaltd@gmail.com</t>
  </si>
  <si>
    <t>CUST101876</t>
  </si>
  <si>
    <t>sales.dowakiltd@gmail.com</t>
  </si>
  <si>
    <t>Nizar Verjee</t>
  </si>
  <si>
    <t>Dr Nizar J Verjee</t>
  </si>
  <si>
    <t>nizarverjee@gmail.com</t>
  </si>
  <si>
    <t>CUST100249</t>
  </si>
  <si>
    <t>Sharlene Cheruto</t>
  </si>
  <si>
    <t>Dr. Charles Kariuki - Nairobi Hospital</t>
  </si>
  <si>
    <t>payables.silversteinkariuki@gmail.com</t>
  </si>
  <si>
    <t>0733370057</t>
  </si>
  <si>
    <t>CUST100252</t>
  </si>
  <si>
    <t>ckaccnts@silversteinkariuki.com</t>
  </si>
  <si>
    <t>Habiba</t>
  </si>
  <si>
    <t>Dua Beauty Zone</t>
  </si>
  <si>
    <t>0727623589</t>
  </si>
  <si>
    <t>Mercy Gathua</t>
  </si>
  <si>
    <t>CUST100254</t>
  </si>
  <si>
    <t>Kariobangi south</t>
  </si>
  <si>
    <t>MUTSILILAH@GMAIL.COM</t>
  </si>
  <si>
    <t>shital shah</t>
  </si>
  <si>
    <t>Durham International Schools Ltd</t>
  </si>
  <si>
    <t>finance@durhamkenya.com</t>
  </si>
  <si>
    <t>0787387426</t>
  </si>
  <si>
    <t>CUST101410</t>
  </si>
  <si>
    <t>s.small@durhamkenya.com</t>
  </si>
  <si>
    <t>John Mutiso</t>
  </si>
  <si>
    <t>EAT 'N' GO LIMITED</t>
  </si>
  <si>
    <t>john.mutiso@eatngo-kenya.com</t>
  </si>
  <si>
    <t>CUST100707</t>
  </si>
  <si>
    <t>victorosore@omnomnomafrica.com</t>
  </si>
  <si>
    <t>johnmutiso@omnomnomafrica.com</t>
  </si>
  <si>
    <t>Stephen Musembi</t>
  </si>
  <si>
    <t>0729247987</t>
  </si>
  <si>
    <t>Victor Osore</t>
  </si>
  <si>
    <t>Caroline Watiri</t>
  </si>
  <si>
    <t>Eako Holding Ltd</t>
  </si>
  <si>
    <t>eakoholdingsltd@hotmail.com</t>
  </si>
  <si>
    <t>0780292138</t>
  </si>
  <si>
    <t>CUST101402</t>
  </si>
  <si>
    <t>Liz Liz</t>
  </si>
  <si>
    <t>East African Chains Ltd</t>
  </si>
  <si>
    <t>imports@eacl.co.ke</t>
  </si>
  <si>
    <t>CUST100256</t>
  </si>
  <si>
    <t>kenfire@kenyafire.com</t>
  </si>
  <si>
    <t>Polly Ntinyari Ntinyari</t>
  </si>
  <si>
    <t>Echo Network Africa Limited</t>
  </si>
  <si>
    <t>procurement@enafrica.org</t>
  </si>
  <si>
    <t>0727910000</t>
  </si>
  <si>
    <t>CUST100262</t>
  </si>
  <si>
    <t>vnagwalla@enafrica.org</t>
  </si>
  <si>
    <t>Collins Ombaso</t>
  </si>
  <si>
    <t>Ecolab East Africa</t>
  </si>
  <si>
    <t>collins.ombaso@ecolab.com</t>
  </si>
  <si>
    <t>CUST100264</t>
  </si>
  <si>
    <t>immaculate.matungu@ecolab.com</t>
  </si>
  <si>
    <t>Dorothy Achieng'</t>
  </si>
  <si>
    <t>dorothy.achieng@ecolab.com</t>
  </si>
  <si>
    <t>ANN Ann</t>
  </si>
  <si>
    <t>Ecoloo Africa Ltd</t>
  </si>
  <si>
    <t>admin@ecolooafrica.com</t>
  </si>
  <si>
    <t>0728643954</t>
  </si>
  <si>
    <t>CUST100265</t>
  </si>
  <si>
    <t>info@ecolooafrica.com</t>
  </si>
  <si>
    <t>Polycap Mwangi</t>
  </si>
  <si>
    <t>Eddor Limited</t>
  </si>
  <si>
    <t>eddorlimited@gmail.com</t>
  </si>
  <si>
    <t>CUST100266</t>
  </si>
  <si>
    <t>Jogoo road</t>
  </si>
  <si>
    <t>susan</t>
  </si>
  <si>
    <t>Edelvale Trust-Jamaa Home &amp;Mission Hospital</t>
  </si>
  <si>
    <t>jamaa@edelvaletrust.org</t>
  </si>
  <si>
    <t>0717242742</t>
  </si>
  <si>
    <t>CUST100267</t>
  </si>
  <si>
    <t>Buru buru</t>
  </si>
  <si>
    <t>Angela Mwangi</t>
  </si>
  <si>
    <t>Eden Heights Realty Ltd</t>
  </si>
  <si>
    <t>angela@edenheightsrealty.com</t>
  </si>
  <si>
    <t>0731 813 577</t>
  </si>
  <si>
    <t>CUST100268</t>
  </si>
  <si>
    <t>karengatavinnie@gmail.com</t>
  </si>
  <si>
    <t>Vinnie Karengeta</t>
  </si>
  <si>
    <t>Gathura Gachagua</t>
  </si>
  <si>
    <t>Edwards Trading Co Ltd</t>
  </si>
  <si>
    <t>gathuragachagua@gmail.com</t>
  </si>
  <si>
    <t>CUST100271</t>
  </si>
  <si>
    <t>Taita</t>
  </si>
  <si>
    <t>Nicholas Kirui</t>
  </si>
  <si>
    <t>Eka Hotel Ltd-Eldoret</t>
  </si>
  <si>
    <t>nkiriu@ekahotel.com</t>
  </si>
  <si>
    <t>CUST100273</t>
  </si>
  <si>
    <t>North Rift</t>
  </si>
  <si>
    <t>Eldoret</t>
  </si>
  <si>
    <t>voruoch@ekaeldoret.com</t>
  </si>
  <si>
    <t>Elizabeth Masheti</t>
  </si>
  <si>
    <t>Elgon Road Developments Ltd - Radisson Blu</t>
  </si>
  <si>
    <t>0717165279</t>
  </si>
  <si>
    <t>CUST100275</t>
  </si>
  <si>
    <t>receiving@radissonblunairobi.com</t>
  </si>
  <si>
    <t>Eric bob Otieno</t>
  </si>
  <si>
    <t>eric.otieno@radissonblunairobi.com</t>
  </si>
  <si>
    <t>0721829706</t>
  </si>
  <si>
    <t>James Mwaura</t>
  </si>
  <si>
    <t>james.mwaura@radissonblu.com</t>
  </si>
  <si>
    <t>Sally Askari</t>
  </si>
  <si>
    <t>Elizabeth Glaser Pediatric Aids Foundation</t>
  </si>
  <si>
    <t>saskari@pedaids.org</t>
  </si>
  <si>
    <t>0720874773</t>
  </si>
  <si>
    <t>CUST100276</t>
  </si>
  <si>
    <t>belseba@pedaids.org</t>
  </si>
  <si>
    <t>Mary njuguna</t>
  </si>
  <si>
    <t>Emmanuel Baptist Church</t>
  </si>
  <si>
    <t>admin@ebcnairobi.org</t>
  </si>
  <si>
    <t>CUST100280</t>
  </si>
  <si>
    <t>Louisa Bonareri Bonareri</t>
  </si>
  <si>
    <t>Empal Limited</t>
  </si>
  <si>
    <t>stella@ov.co.ke</t>
  </si>
  <si>
    <t>0723736530</t>
  </si>
  <si>
    <t>CUST102459</t>
  </si>
  <si>
    <t>empallimited@gmail.com</t>
  </si>
  <si>
    <t>Charles Maina</t>
  </si>
  <si>
    <t>Enashipai Resort &amp; Spa</t>
  </si>
  <si>
    <t>cmaina@enashipai.com</t>
  </si>
  <si>
    <t>CUST100281</t>
  </si>
  <si>
    <t>payables@enashipai.com</t>
  </si>
  <si>
    <t>Kizito Witaba</t>
  </si>
  <si>
    <t>kwitaba@enashipai.com</t>
  </si>
  <si>
    <t>Caroline Mathenge</t>
  </si>
  <si>
    <t>Enkorok Mara Camp Ltd</t>
  </si>
  <si>
    <t>reservations@enkorokmaracamp.com</t>
  </si>
  <si>
    <t>0726 684513</t>
  </si>
  <si>
    <t>CUST100283</t>
  </si>
  <si>
    <t>caroline@asiliadventuresafaris.com</t>
  </si>
  <si>
    <t>Edwin Oguna</t>
  </si>
  <si>
    <t>Envirocare General Agencies Ltd</t>
  </si>
  <si>
    <t>envirocarecleaningservices@gmail.com</t>
  </si>
  <si>
    <t>0717972032</t>
  </si>
  <si>
    <t>CUST100284</t>
  </si>
  <si>
    <t>info@envirocare.co.ke</t>
  </si>
  <si>
    <t>Benard Atita</t>
  </si>
  <si>
    <t>Equatorial Star Holdings Limited</t>
  </si>
  <si>
    <t>hk@okashhotel.com</t>
  </si>
  <si>
    <t>0759609822</t>
  </si>
  <si>
    <t>CUST102911</t>
  </si>
  <si>
    <t>gm@okashhotel.com</t>
  </si>
  <si>
    <t>Catherine Catherine</t>
  </si>
  <si>
    <t>0798691890</t>
  </si>
  <si>
    <t>Rose Oketch</t>
  </si>
  <si>
    <t>Equitorial Office Plus Ltd</t>
  </si>
  <si>
    <t>rose.oketch@equatorialofficeplus.com</t>
  </si>
  <si>
    <t>CUST100287</t>
  </si>
  <si>
    <t>Samuel Bari</t>
  </si>
  <si>
    <t>Equity Bank Ltd</t>
  </si>
  <si>
    <t>samuel.bari@equitybank.co.ke</t>
  </si>
  <si>
    <t>CUST100288</t>
  </si>
  <si>
    <t>Peter Mureithi</t>
  </si>
  <si>
    <t>Eris Industries</t>
  </si>
  <si>
    <t>erisind@yahoo.com</t>
  </si>
  <si>
    <t>0722913333</t>
  </si>
  <si>
    <t>CUST102378</t>
  </si>
  <si>
    <t>erisinde@yahoo.com</t>
  </si>
  <si>
    <t>Patrick Gachie</t>
  </si>
  <si>
    <t>Ernst and Young Ltd</t>
  </si>
  <si>
    <t>patrick.gachie@ke.ey.com</t>
  </si>
  <si>
    <t>CUST100290</t>
  </si>
  <si>
    <t>James Kamau</t>
  </si>
  <si>
    <t>Eseriani Resort Limited</t>
  </si>
  <si>
    <t>resort.controls@eserianihotels.co.ke</t>
  </si>
  <si>
    <t>0710813805</t>
  </si>
  <si>
    <t>CUST102774</t>
  </si>
  <si>
    <t>resorts.controls@eserianihotels.com</t>
  </si>
  <si>
    <t>Maggy Kanake</t>
  </si>
  <si>
    <t>Exciting Hotel</t>
  </si>
  <si>
    <t>maggykanake@gmail.com</t>
  </si>
  <si>
    <t>CUST101918</t>
  </si>
  <si>
    <t>Ongata Rongai</t>
  </si>
  <si>
    <t>Mehul mehul</t>
  </si>
  <si>
    <t>Executive Concepts Ltd</t>
  </si>
  <si>
    <t>mehul@executivekenya.com</t>
  </si>
  <si>
    <t>0722955416</t>
  </si>
  <si>
    <t>CUST100295</t>
  </si>
  <si>
    <t>Hita Kodak</t>
  </si>
  <si>
    <t>Executive Rentals Ltd</t>
  </si>
  <si>
    <t>CUST101428</t>
  </si>
  <si>
    <t>accounts@executiverentalsltd.com</t>
  </si>
  <si>
    <t>Hita Kotak</t>
  </si>
  <si>
    <t>hita@executiverentalsltd.com</t>
  </si>
  <si>
    <t>0708044003</t>
  </si>
  <si>
    <t>Joseph</t>
  </si>
  <si>
    <t>Fahari Hotels Ltd</t>
  </si>
  <si>
    <t>faharigardenshotel@gmail.com</t>
  </si>
  <si>
    <t>0779 312549</t>
  </si>
  <si>
    <t>CUST100299</t>
  </si>
  <si>
    <t>Utawala</t>
  </si>
  <si>
    <t>sales@faharigardenshotel.co.ke</t>
  </si>
  <si>
    <t>Peris Mbuthia</t>
  </si>
  <si>
    <t>faharigardens7@gmail.com</t>
  </si>
  <si>
    <t>0778585506</t>
  </si>
  <si>
    <t>Betty Mugweru</t>
  </si>
  <si>
    <t>Faida Investment Bank</t>
  </si>
  <si>
    <t>betty.mugweru@fib.co.ke</t>
  </si>
  <si>
    <t>CUST100300</t>
  </si>
  <si>
    <t>Rufus Mwangi</t>
  </si>
  <si>
    <t>Fairview Hotel</t>
  </si>
  <si>
    <t>fpurchasing@clhg.com</t>
  </si>
  <si>
    <t>CUST100301</t>
  </si>
  <si>
    <t>Community</t>
  </si>
  <si>
    <t>rufus.mwangi@fairviewkenya.com</t>
  </si>
  <si>
    <t>Humphrey Lusakia</t>
  </si>
  <si>
    <t>Falcon Heights Management Company</t>
  </si>
  <si>
    <t>stores@maiyan.co.ke</t>
  </si>
  <si>
    <t>0721463047</t>
  </si>
  <si>
    <t>CUST100303</t>
  </si>
  <si>
    <t>storesphm@gmail.com</t>
  </si>
  <si>
    <t>Annabelle Onyango</t>
  </si>
  <si>
    <t>Fameco Limited</t>
  </si>
  <si>
    <t>recstock@villagemarket-kenya.com</t>
  </si>
  <si>
    <t>0714 681 624</t>
  </si>
  <si>
    <t>CUST102898</t>
  </si>
  <si>
    <t>Esther</t>
  </si>
  <si>
    <t>Family Health International</t>
  </si>
  <si>
    <t>CUST100304</t>
  </si>
  <si>
    <t>emwangi@fhi36.org</t>
  </si>
  <si>
    <t>Bernard Lunalo</t>
  </si>
  <si>
    <t>Fao Somalia</t>
  </si>
  <si>
    <t>bernard.lunalo@fao.org</t>
  </si>
  <si>
    <t>CUST100306</t>
  </si>
  <si>
    <t>Thomas Nzii</t>
  </si>
  <si>
    <t>thomas.nzii@fao.org</t>
  </si>
  <si>
    <t>0722822050</t>
  </si>
  <si>
    <t>James Njenga</t>
  </si>
  <si>
    <t>Farmers Choice Ltd</t>
  </si>
  <si>
    <t>jnjenga@farmerschoice.co.ke</t>
  </si>
  <si>
    <t>0722321023</t>
  </si>
  <si>
    <t>CUST100308</t>
  </si>
  <si>
    <t>gmuchiri@farmerschoice.co.ke</t>
  </si>
  <si>
    <t>Moses Nderitu</t>
  </si>
  <si>
    <t>mnderitu@farmerschoice.co.ke</t>
  </si>
  <si>
    <t>0722331706</t>
  </si>
  <si>
    <t>Anastacia Ouma</t>
  </si>
  <si>
    <t>Faulu Microfinance Bank Ltd</t>
  </si>
  <si>
    <t>anastacia.ouma@faulukenya.com</t>
  </si>
  <si>
    <t>07992313-01</t>
  </si>
  <si>
    <t>CUST100310</t>
  </si>
  <si>
    <t>Kayole</t>
  </si>
  <si>
    <t>Procurement@Faulukenya.Com</t>
  </si>
  <si>
    <t>Martin Ngaruiya</t>
  </si>
  <si>
    <t>Fem Care Feminine Hygiene Sevices Ltd</t>
  </si>
  <si>
    <t>mngaruiya@fem-care.biz</t>
  </si>
  <si>
    <t>CUST100311</t>
  </si>
  <si>
    <t>Amos Mwiti</t>
  </si>
  <si>
    <t>Fides Kenya limited</t>
  </si>
  <si>
    <t>a.mwiti@dummenorange.com</t>
  </si>
  <si>
    <t>0720694628</t>
  </si>
  <si>
    <t>CUST102814</t>
  </si>
  <si>
    <t>Upper Mountain</t>
  </si>
  <si>
    <t>Embu</t>
  </si>
  <si>
    <t>info.ke@dummenorange.com</t>
  </si>
  <si>
    <t>Florence Mwebia</t>
  </si>
  <si>
    <t>Flogin East Africa LTD</t>
  </si>
  <si>
    <t>florencemwebia34@gmail.com</t>
  </si>
  <si>
    <t>CUST101845</t>
  </si>
  <si>
    <t>Yan liu</t>
  </si>
  <si>
    <t>For You Chinese Restaurant</t>
  </si>
  <si>
    <t>0736425302</t>
  </si>
  <si>
    <t>CUST100320</t>
  </si>
  <si>
    <t>SHEM AMWAYI</t>
  </si>
  <si>
    <t>Forestscape Limited</t>
  </si>
  <si>
    <t>dmugwika@kimfay.com</t>
  </si>
  <si>
    <t>+254 (0) 711 793 360</t>
  </si>
  <si>
    <t>CUST102954</t>
  </si>
  <si>
    <t>shem.amwayi@accor.com</t>
  </si>
  <si>
    <t>Cyprin Nyakundi</t>
  </si>
  <si>
    <t>Fostersey Africa Ltd</t>
  </si>
  <si>
    <t>cyprian@fostersey.com</t>
  </si>
  <si>
    <t>+254 722 215741</t>
  </si>
  <si>
    <t>CUST100322</t>
  </si>
  <si>
    <t>sales@fostersey.com</t>
  </si>
  <si>
    <t>Betty Kamunde</t>
  </si>
  <si>
    <t>Freds Academy Annexe</t>
  </si>
  <si>
    <t>betty.kamunde@fredsannexe.com</t>
  </si>
  <si>
    <t>CUST100325</t>
  </si>
  <si>
    <t>Meru</t>
  </si>
  <si>
    <t>Priscilla Salano</t>
  </si>
  <si>
    <t>Fresh Life Initiative</t>
  </si>
  <si>
    <t>priscilla.salano@saner.gy</t>
  </si>
  <si>
    <t>CUST100327</t>
  </si>
  <si>
    <t>procurement@fresh-life.org</t>
  </si>
  <si>
    <t>Abdullahi Ahmednoor Xirsi</t>
  </si>
  <si>
    <t>Freshtake Investment Limited</t>
  </si>
  <si>
    <t>procurement@freshtake.co.ke</t>
  </si>
  <si>
    <t>0721242156</t>
  </si>
  <si>
    <t>CUST100328</t>
  </si>
  <si>
    <t>CSWSALERS</t>
  </si>
  <si>
    <t>Clement Otieno</t>
  </si>
  <si>
    <t>Alpesh Doshi</t>
  </si>
  <si>
    <t>Friendship Container Manufacturers Ltd</t>
  </si>
  <si>
    <t>admin@friendship.co.ke</t>
  </si>
  <si>
    <t>0711390666</t>
  </si>
  <si>
    <t>CUST103333</t>
  </si>
  <si>
    <t>accounts@friendhip.co.ke</t>
  </si>
  <si>
    <t>Jacqueline Muturi</t>
  </si>
  <si>
    <t>GATEWAY CCI SEZ LIMITED</t>
  </si>
  <si>
    <t>jacqueline@grit.group</t>
  </si>
  <si>
    <t>0728239611</t>
  </si>
  <si>
    <t>CUST102952</t>
  </si>
  <si>
    <t>KPEPZ</t>
  </si>
  <si>
    <t>Jacqueline@grip.group</t>
  </si>
  <si>
    <t>Geoffrey</t>
  </si>
  <si>
    <t>Galaxy Paints &amp; Coating Limited</t>
  </si>
  <si>
    <t>CUST102199</t>
  </si>
  <si>
    <t>KPOFFICE</t>
  </si>
  <si>
    <t>purchasing@galaxypaints.co.ke</t>
  </si>
  <si>
    <t>0799162538</t>
  </si>
  <si>
    <t>Maureen Mwaura</t>
  </si>
  <si>
    <t>0715670386</t>
  </si>
  <si>
    <t>Evar Kathambi</t>
  </si>
  <si>
    <t>Garden Properties Ltd C/O Knight Frank Ltd</t>
  </si>
  <si>
    <t>evar.kathambi@ke.knightfrank.com</t>
  </si>
  <si>
    <t>CUST100337</t>
  </si>
  <si>
    <t>Gheysa</t>
  </si>
  <si>
    <t>Gauchos Ltd</t>
  </si>
  <si>
    <t>CUST100339</t>
  </si>
  <si>
    <t>fogogauchoaccts@gmail.com</t>
  </si>
  <si>
    <t>Irene Irene</t>
  </si>
  <si>
    <t>0712123456</t>
  </si>
  <si>
    <t>John n</t>
  </si>
  <si>
    <t>fogo@gmail.com</t>
  </si>
  <si>
    <t>0700211689</t>
  </si>
  <si>
    <t>Peter Githinji</t>
  </si>
  <si>
    <t>Gearbox Limited</t>
  </si>
  <si>
    <t>githinji@gearbox.co.ke</t>
  </si>
  <si>
    <t>0720245632</t>
  </si>
  <si>
    <t>CUST100341</t>
  </si>
  <si>
    <t>ACCOUNTS@GEARBOX.CO.KE</t>
  </si>
  <si>
    <t>Romy Madan</t>
  </si>
  <si>
    <t>General Foods Kenya Ltd</t>
  </si>
  <si>
    <t>gfk@africaonline.co.ke</t>
  </si>
  <si>
    <t>0722303758</t>
  </si>
  <si>
    <t>CUST100344</t>
  </si>
  <si>
    <t>Sanjay</t>
  </si>
  <si>
    <t>gfk@africaonline.com</t>
  </si>
  <si>
    <t>Patrick Muyodi</t>
  </si>
  <si>
    <t>German School Society</t>
  </si>
  <si>
    <t>facilitymanager@germanschool.co.ke</t>
  </si>
  <si>
    <t>(0) 733 445 685</t>
  </si>
  <si>
    <t>CUST100346</t>
  </si>
  <si>
    <t>Douglas Mugambi</t>
  </si>
  <si>
    <t>Gertrudes Garden Childrens Hospital</t>
  </si>
  <si>
    <t>dmugambi@gerties.org</t>
  </si>
  <si>
    <t>0722000000</t>
  </si>
  <si>
    <t>CUST100347</t>
  </si>
  <si>
    <t>Muthaiga</t>
  </si>
  <si>
    <t>emokonge@gerties.org</t>
  </si>
  <si>
    <t>Wairimu Njehia</t>
  </si>
  <si>
    <t>Gkay Supplies Ltd</t>
  </si>
  <si>
    <t>yrimunjehia@gmail.com</t>
  </si>
  <si>
    <t>+254 722 725407</t>
  </si>
  <si>
    <t>CUST100350</t>
  </si>
  <si>
    <t>gkaysupplies@gmail.com</t>
  </si>
  <si>
    <t>Janet Kisormoi</t>
  </si>
  <si>
    <t>Glaxosmithkline Pharmaceutical Kenya Ltd</t>
  </si>
  <si>
    <t>janet.j.kisormoi@gsk.com</t>
  </si>
  <si>
    <t>CUST100353</t>
  </si>
  <si>
    <t>Moses Kisovi</t>
  </si>
  <si>
    <t>moses.m.kisovi@gsk.com</t>
  </si>
  <si>
    <t>0726716272</t>
  </si>
  <si>
    <t>George G</t>
  </si>
  <si>
    <t>Glen Edmunds Performance Driving School</t>
  </si>
  <si>
    <t>operations@glenedmunds.com</t>
  </si>
  <si>
    <t>0725635687</t>
  </si>
  <si>
    <t>CUST101848</t>
  </si>
  <si>
    <t>Caroline Kauso</t>
  </si>
  <si>
    <t>Golden Jubilee Ltd</t>
  </si>
  <si>
    <t>caroline.kauso@cpnairobi.com</t>
  </si>
  <si>
    <t>CUST100359</t>
  </si>
  <si>
    <t>mathenge.samuel@accor.com</t>
  </si>
  <si>
    <t>Joyce Wadundwe</t>
  </si>
  <si>
    <t>Golf Course Hotel T/A Movenpick Hotel</t>
  </si>
  <si>
    <t>joyce.wadundwe@movenpick.com</t>
  </si>
  <si>
    <t>CUST100361</t>
  </si>
  <si>
    <t>Banice Muthoni</t>
  </si>
  <si>
    <t>Gordon Court Ltd</t>
  </si>
  <si>
    <t>banice.muthoni@apollocentre.org</t>
  </si>
  <si>
    <t>0733609123</t>
  </si>
  <si>
    <t>CUST100365</t>
  </si>
  <si>
    <t>info@apollocentre.org</t>
  </si>
  <si>
    <t>Simon Gochi</t>
  </si>
  <si>
    <t>Grab &amp; Go Cakes And Pastries</t>
  </si>
  <si>
    <t>simonngochi@gmail.com</t>
  </si>
  <si>
    <t>CUST100366</t>
  </si>
  <si>
    <t>Billian Odhiambo</t>
  </si>
  <si>
    <t>Grand West Hotel And Apartments</t>
  </si>
  <si>
    <t>astpurchasingmgr@bestwesternpluswestlands.com</t>
  </si>
  <si>
    <t>0724075360</t>
  </si>
  <si>
    <t>CUST100368</t>
  </si>
  <si>
    <t>accounts@bestwesternpluswestlands.com</t>
  </si>
  <si>
    <t>Grand West Hotel and Apartments Okinda</t>
  </si>
  <si>
    <t>0746444444</t>
  </si>
  <si>
    <t>Grand Pas Hotel</t>
  </si>
  <si>
    <t>Grandpa's Hotel Limited</t>
  </si>
  <si>
    <t>CUST101892</t>
  </si>
  <si>
    <t>penshikoh2013@gmail.com</t>
  </si>
  <si>
    <t>Solomon Ochieng</t>
  </si>
  <si>
    <t>Grant Thornton Management Ltd</t>
  </si>
  <si>
    <t>solomon.ochieng@ke.gt.com</t>
  </si>
  <si>
    <t>0728960963</t>
  </si>
  <si>
    <t>CUST100370</t>
  </si>
  <si>
    <t>Charles osano</t>
  </si>
  <si>
    <t>Great Rift Valley Lodge</t>
  </si>
  <si>
    <t>charles.osano@riftvalley-resort.co.ke</t>
  </si>
  <si>
    <t>0727552731</t>
  </si>
  <si>
    <t>CUST100371</t>
  </si>
  <si>
    <t>Nancy.Muthoni@riftvalley-resort.co.ke</t>
  </si>
  <si>
    <t>Japheth</t>
  </si>
  <si>
    <t>0726 441577</t>
  </si>
  <si>
    <t>Anne Ngige</t>
  </si>
  <si>
    <t>Greenspan Mall Ltd C/O Excellerate Kenya Limited.</t>
  </si>
  <si>
    <t>anne.ngige@cbreexcellerate.com</t>
  </si>
  <si>
    <t>CUST100373</t>
  </si>
  <si>
    <t>Donholm</t>
  </si>
  <si>
    <t>Catherine Wanderi</t>
  </si>
  <si>
    <t>Greenspan Mall Ltd C/O Knight Frank Kenya</t>
  </si>
  <si>
    <t>Catherine.Wanderi@ke.knightfrank.com</t>
  </si>
  <si>
    <t>CUST101529</t>
  </si>
  <si>
    <t>jane.wanjiru@ke.knightfrank.com</t>
  </si>
  <si>
    <t>Jane</t>
  </si>
  <si>
    <t>Gloria Mwende</t>
  </si>
  <si>
    <t>Greensteds School Ltd</t>
  </si>
  <si>
    <t>purchasing@greenstedsschool.com</t>
  </si>
  <si>
    <t>0796386476</t>
  </si>
  <si>
    <t>CUST100374</t>
  </si>
  <si>
    <t>Nakuru</t>
  </si>
  <si>
    <t>Cornellius Musa</t>
  </si>
  <si>
    <t>Gulf African Bank Ltd</t>
  </si>
  <si>
    <t>cornellius.musa@gab.co.ke</t>
  </si>
  <si>
    <t>0722540435</t>
  </si>
  <si>
    <t>CUST100375</t>
  </si>
  <si>
    <t>halima.adan@gab.co.ke</t>
  </si>
  <si>
    <t>Halima Mohamed</t>
  </si>
  <si>
    <t>halima.mohamed@gab.co.ke</t>
  </si>
  <si>
    <t>0711075000</t>
  </si>
  <si>
    <t>Monica Some</t>
  </si>
  <si>
    <t>Gulf Energy Holdings Limited</t>
  </si>
  <si>
    <t>monica.some@gulfenergy.co.ke</t>
  </si>
  <si>
    <t>CUST100376</t>
  </si>
  <si>
    <t>lydiam@gulfenergy.co.ke; monica.some@gulfenergy.co.ke; info@gulfenergy.co.ke</t>
  </si>
  <si>
    <t>Evelyn Oigo</t>
  </si>
  <si>
    <t>Guru Nanak Hospital</t>
  </si>
  <si>
    <t>evelyn.oigo@gnrsh.co.ke</t>
  </si>
  <si>
    <t>0721838103</t>
  </si>
  <si>
    <t>CUST100377</t>
  </si>
  <si>
    <t>info@gnrsh.co.ke</t>
  </si>
  <si>
    <t>Nazira Daya</t>
  </si>
  <si>
    <t>H H Prince Aga Khan Shia Imami Ismaili Council</t>
  </si>
  <si>
    <t>adminassistant@akji-kenya.org</t>
  </si>
  <si>
    <t>0721 404 800</t>
  </si>
  <si>
    <t>CUST100378</t>
  </si>
  <si>
    <t>jamathealth.nairobi@aku.edu</t>
  </si>
  <si>
    <t>Sebastian Alex</t>
  </si>
  <si>
    <t>HM Clause Kenya Limited</t>
  </si>
  <si>
    <t>sebastian.alex@hmclause.com</t>
  </si>
  <si>
    <t>CUST100396</t>
  </si>
  <si>
    <t>weldon.torongei@hmclause.com</t>
  </si>
  <si>
    <t>Weldon Torongei</t>
  </si>
  <si>
    <t>110094185</t>
  </si>
  <si>
    <t>Doris Ntoruru</t>
  </si>
  <si>
    <t>Halcyon Healthcare Ltd</t>
  </si>
  <si>
    <t>doris@halcyonhealthcareltd.com</t>
  </si>
  <si>
    <t>CUST100380</t>
  </si>
  <si>
    <t>Njeri Okello</t>
  </si>
  <si>
    <t>Halisi Family Hospital</t>
  </si>
  <si>
    <t>njeri.okello@halisifamily.hospital</t>
  </si>
  <si>
    <t>CUST101489</t>
  </si>
  <si>
    <t>Kitengela</t>
  </si>
  <si>
    <t>MR George</t>
  </si>
  <si>
    <t>Hans Kenya Ltd</t>
  </si>
  <si>
    <t>accounts@hanskenya.com</t>
  </si>
  <si>
    <t>0712521741</t>
  </si>
  <si>
    <t>CUST100383</t>
  </si>
  <si>
    <t>accounts@hanskenya.com; info@hanskenya.com</t>
  </si>
  <si>
    <t>Josephine Njoroge</t>
  </si>
  <si>
    <t>Harrow Investment Limited</t>
  </si>
  <si>
    <t>josephine.njoroge@dmi.cork</t>
  </si>
  <si>
    <t>0723356777</t>
  </si>
  <si>
    <t>CUST103020</t>
  </si>
  <si>
    <t>meenal.shah@cbreexcellerate.com</t>
  </si>
  <si>
    <t>Rosemary Olimba</t>
  </si>
  <si>
    <t>Harrow Investments Limited C/O Knight Frank Ke Ltd</t>
  </si>
  <si>
    <t>rosemary.olimba@ke.knighfrank.com</t>
  </si>
  <si>
    <t>CUST100385</t>
  </si>
  <si>
    <t>rosemary.olimba@ke.knightfrank.com</t>
  </si>
  <si>
    <t>Jongho Park</t>
  </si>
  <si>
    <t>Haru Restaurant Ltd</t>
  </si>
  <si>
    <t>harukenya@hotmail.com</t>
  </si>
  <si>
    <t>0720 945 400</t>
  </si>
  <si>
    <t>CUST100386</t>
  </si>
  <si>
    <t>Dorcas</t>
  </si>
  <si>
    <t>Harvest Cleaning Company</t>
  </si>
  <si>
    <t>CUST100387</t>
  </si>
  <si>
    <t>accounts@harvestcleaning.co.ke</t>
  </si>
  <si>
    <t>0724013115</t>
  </si>
  <si>
    <t>Harvest cleaning company Harvest Cleaning Company</t>
  </si>
  <si>
    <t>Justin Aura</t>
  </si>
  <si>
    <t>jaura@harvestfmg.com</t>
  </si>
  <si>
    <t>0708 994 440</t>
  </si>
  <si>
    <t>Christine Admin</t>
  </si>
  <si>
    <t>Hass Scientific And Medical Supplies</t>
  </si>
  <si>
    <t>info@hasscientific.com</t>
  </si>
  <si>
    <t>0734 238799</t>
  </si>
  <si>
    <t>CUST101552</t>
  </si>
  <si>
    <t>Hass Scientific and Medical Supplies Hass Scientific and Medical Supplies</t>
  </si>
  <si>
    <t>Peter Omollo</t>
  </si>
  <si>
    <t>Heifer Project International - Kenya</t>
  </si>
  <si>
    <t>peter.omollo@heifer.org</t>
  </si>
  <si>
    <t>0743695095</t>
  </si>
  <si>
    <t>CUST102594</t>
  </si>
  <si>
    <t>brenda.mugucia@heifer.org</t>
  </si>
  <si>
    <t>Martha Tatu</t>
  </si>
  <si>
    <t>Heineken East Africa Import Co Ltd</t>
  </si>
  <si>
    <t>martha.tatu@heineken.com</t>
  </si>
  <si>
    <t>CUST100389</t>
  </si>
  <si>
    <t>Faith Bisieri</t>
  </si>
  <si>
    <t>Hemingways Nairobi Ltd</t>
  </si>
  <si>
    <t>faith.bisieri@hemingways.co</t>
  </si>
  <si>
    <t>CUST100390</t>
  </si>
  <si>
    <t>Oliver.Musoga@hemingwaysint.onmicrosoft.com</t>
  </si>
  <si>
    <t>Tabitha Karanja</t>
  </si>
  <si>
    <t>tabitha.karanja@hemingways.co</t>
  </si>
  <si>
    <t>+254 711 032 282</t>
  </si>
  <si>
    <t>Grace Atieno</t>
  </si>
  <si>
    <t>Hemingways Watamu</t>
  </si>
  <si>
    <t>grace.atieno@hemingways.co</t>
  </si>
  <si>
    <t>CUST100391</t>
  </si>
  <si>
    <t>Isaac Omollo</t>
  </si>
  <si>
    <t>isaac.amolo@hemingways.co</t>
  </si>
  <si>
    <t>+254 709 188 124</t>
  </si>
  <si>
    <t>Lilian Nduachi</t>
  </si>
  <si>
    <t>Heritan Ltd</t>
  </si>
  <si>
    <t>lilian@edenheightsrealty.com</t>
  </si>
  <si>
    <t>0721700 363</t>
  </si>
  <si>
    <t>CUST101524</t>
  </si>
  <si>
    <t>nicholas.njenge@vegpro-group.com</t>
  </si>
  <si>
    <t>Nicholas Njenge</t>
  </si>
  <si>
    <t>Esther Wambui</t>
  </si>
  <si>
    <t>Hermosa Garden Hotel &amp; Cottages Limited</t>
  </si>
  <si>
    <t>esther@hermosanairobi.com</t>
  </si>
  <si>
    <t>0722 384611</t>
  </si>
  <si>
    <t>CUST101816</t>
  </si>
  <si>
    <t>vanessa@hermosanairobi.com</t>
  </si>
  <si>
    <t>Babra moronge</t>
  </si>
  <si>
    <t>Horizons Office</t>
  </si>
  <si>
    <t>babra@horizonsoffices.com</t>
  </si>
  <si>
    <t>CUST100397</t>
  </si>
  <si>
    <t>mabel@horizonsoffices.com</t>
  </si>
  <si>
    <t>Nurunissa Bachani</t>
  </si>
  <si>
    <t>Hotel Monarch Ltd</t>
  </si>
  <si>
    <t>accounts@monarchhotelskenya.com</t>
  </si>
  <si>
    <t>CUST100398</t>
  </si>
  <si>
    <t>Carren Olweny</t>
  </si>
  <si>
    <t>Hotel Pikadili Limited</t>
  </si>
  <si>
    <t>info@hotelpikadili.com</t>
  </si>
  <si>
    <t>CUST100400</t>
  </si>
  <si>
    <t>Homa Bay</t>
  </si>
  <si>
    <t>June ANDALO</t>
  </si>
  <si>
    <t>Hotel Riverview Westlands Ltd</t>
  </si>
  <si>
    <t>sales@hotelriverview.net</t>
  </si>
  <si>
    <t>CUST100401</t>
  </si>
  <si>
    <t>Darius Mwenda</t>
  </si>
  <si>
    <t>Hotel San Marino</t>
  </si>
  <si>
    <t>manager@hotelsanmarino.co.ke</t>
  </si>
  <si>
    <t>CUST100402</t>
  </si>
  <si>
    <t>Kitui</t>
  </si>
  <si>
    <t>Paul Muthama</t>
  </si>
  <si>
    <t>House Of Waine</t>
  </si>
  <si>
    <t>purchasing@houseofwaine.co.ke</t>
  </si>
  <si>
    <t>0724312162</t>
  </si>
  <si>
    <t>CUST100404</t>
  </si>
  <si>
    <t>mail@houseofwaine.co.ke</t>
  </si>
  <si>
    <t>Clive Angela</t>
  </si>
  <si>
    <t>House of Grace Ministries International</t>
  </si>
  <si>
    <t>hog@icnnect.co.ke</t>
  </si>
  <si>
    <t>CUST101424</t>
  </si>
  <si>
    <t>Douglas Angolio</t>
  </si>
  <si>
    <t>Hunters Paradise Cottages Ltd</t>
  </si>
  <si>
    <t>douglas.angolio@huntersparadise.ke</t>
  </si>
  <si>
    <t>0718619501</t>
  </si>
  <si>
    <t>CUST101497</t>
  </si>
  <si>
    <t>West Nyanza</t>
  </si>
  <si>
    <t>Bungoma</t>
  </si>
  <si>
    <t>mugogomartin@gmail.com</t>
  </si>
  <si>
    <t>Martin Mugogo</t>
  </si>
  <si>
    <t>Jeremiah</t>
  </si>
  <si>
    <t>Hurricane Services Kenya Ltd</t>
  </si>
  <si>
    <t>CUST100405</t>
  </si>
  <si>
    <t>jeremiah@hurricaneglobalfm.com</t>
  </si>
  <si>
    <t>Jeremy Ogeka</t>
  </si>
  <si>
    <t>jeremiah@hurricanecleaningservices.com</t>
  </si>
  <si>
    <t>0710265010</t>
  </si>
  <si>
    <t>Phyllis Milka</t>
  </si>
  <si>
    <t>Bernard Osino</t>
  </si>
  <si>
    <t>Hypermart LTD</t>
  </si>
  <si>
    <t>benyango007@gmail.com</t>
  </si>
  <si>
    <t>+254 727 602827</t>
  </si>
  <si>
    <t>CUST101849</t>
  </si>
  <si>
    <t>Francis Kamanga</t>
  </si>
  <si>
    <t>I &amp; M Bank Ltd</t>
  </si>
  <si>
    <t>francis.kamanga@imbank.co.ke</t>
  </si>
  <si>
    <t>0719 088 000</t>
  </si>
  <si>
    <t>CUST100408</t>
  </si>
  <si>
    <t>SOngoro@imbank.co.ke</t>
  </si>
  <si>
    <t>Jacqueline Ciugu</t>
  </si>
  <si>
    <t>jacqueline.ciugu@imbank.co.ke</t>
  </si>
  <si>
    <t>Abel Mageto</t>
  </si>
  <si>
    <t>ICRAF</t>
  </si>
  <si>
    <t>a.mageto@cgiar.org</t>
  </si>
  <si>
    <t>0727266698</t>
  </si>
  <si>
    <t>CUST100412</t>
  </si>
  <si>
    <t>C.Koech@cifor-icraf.org; S.Mohono@cifor-icraf.org</t>
  </si>
  <si>
    <t>Benard Nzuma</t>
  </si>
  <si>
    <t>b.nzuma@cgiar.org</t>
  </si>
  <si>
    <t>Happiness Ndia</t>
  </si>
  <si>
    <t>h.ndia@cifor-icraf.org</t>
  </si>
  <si>
    <t>0704296300</t>
  </si>
  <si>
    <t>Caren Oyayo</t>
  </si>
  <si>
    <t>IFRC &amp; Red Crescent Societies</t>
  </si>
  <si>
    <t>caren.oyayo@ifrc.org</t>
  </si>
  <si>
    <t>CUST100414</t>
  </si>
  <si>
    <t>John Amanya</t>
  </si>
  <si>
    <t>ILRI</t>
  </si>
  <si>
    <t>j.amanya@cgiar.org</t>
  </si>
  <si>
    <t>CUST100416</t>
  </si>
  <si>
    <t>p.muema@cgiar.org</t>
  </si>
  <si>
    <t>Newton Anzweni</t>
  </si>
  <si>
    <t>N.Anzweni@cgiar.org</t>
  </si>
  <si>
    <t>Peter Muema</t>
  </si>
  <si>
    <t>0720704282</t>
  </si>
  <si>
    <t>SHEIKH SHEHZAN</t>
  </si>
  <si>
    <t>IOM Kenya</t>
  </si>
  <si>
    <t>SHSHEIKH@iom.int</t>
  </si>
  <si>
    <t>CUST100433</t>
  </si>
  <si>
    <t>mmuendi@iom.int</t>
  </si>
  <si>
    <t>Eunice Ice</t>
  </si>
  <si>
    <t>Ice Clean Care Ltd</t>
  </si>
  <si>
    <t>info@iceclean.com</t>
  </si>
  <si>
    <t>0736091597</t>
  </si>
  <si>
    <t>CUST100409</t>
  </si>
  <si>
    <t>icecleancaregroupltd@gmail.com</t>
  </si>
  <si>
    <t>Henton Ngugi</t>
  </si>
  <si>
    <t>Icolo Limited</t>
  </si>
  <si>
    <t>henton.ngugi@icolo.io</t>
  </si>
  <si>
    <t>0727625878</t>
  </si>
  <si>
    <t>CUST100411</t>
  </si>
  <si>
    <t>mercy.kitur@icolo.io</t>
  </si>
  <si>
    <t>Mercy Kitur</t>
  </si>
  <si>
    <t>Ideal Manufacturers</t>
  </si>
  <si>
    <t>Ideal Manufacturers Co. Ltd</t>
  </si>
  <si>
    <t>CUST101878</t>
  </si>
  <si>
    <t>info@idealpaints.co.ke</t>
  </si>
  <si>
    <t>Kavit Shah</t>
  </si>
  <si>
    <t>Doreen Simiyu</t>
  </si>
  <si>
    <t>Ideal Sanitation</t>
  </si>
  <si>
    <t>doreensimiyu2013@gmail.com</t>
  </si>
  <si>
    <t>CUST100413</t>
  </si>
  <si>
    <t>Lynette Katethya</t>
  </si>
  <si>
    <t>Ikm Place Ltd C/O Knight Frank Kenya Ltd</t>
  </si>
  <si>
    <t>Lynette.Katethya@ke.knightfrank.com</t>
  </si>
  <si>
    <t>0716581892</t>
  </si>
  <si>
    <t>CUST100415</t>
  </si>
  <si>
    <t>Collins.Kimani@ke.knightfrank.com</t>
  </si>
  <si>
    <t>Mr Nderitu</t>
  </si>
  <si>
    <t>In-Vitro Diagnostics Ltd</t>
  </si>
  <si>
    <t>CUST100432</t>
  </si>
  <si>
    <t>vitro@in-vitro.co.ke</t>
  </si>
  <si>
    <t>Titus</t>
  </si>
  <si>
    <t>Insight Hospitality E.A Ltd T/A Horeca Hospitality</t>
  </si>
  <si>
    <t>0722759248</t>
  </si>
  <si>
    <t>CUST101400</t>
  </si>
  <si>
    <t>tkkorir@insightgroup.co.ke</t>
  </si>
  <si>
    <t>Titus Korir</t>
  </si>
  <si>
    <t>info@horecahospitality.com</t>
  </si>
  <si>
    <t>MARGARET MWANGI</t>
  </si>
  <si>
    <t>Insta Products Epz Ltd</t>
  </si>
  <si>
    <t>MARGARET.MWANGI@INSTAPRODUCTS.COM</t>
  </si>
  <si>
    <t>0719877002</t>
  </si>
  <si>
    <t>CUST100419</t>
  </si>
  <si>
    <t>margaretmwangi@instaproducts.co; peter.mwangi@instaproducts.co</t>
  </si>
  <si>
    <t>Margaret Mwangi</t>
  </si>
  <si>
    <t>margaretmwangi@instaproducts.co</t>
  </si>
  <si>
    <t>meisey Karoki</t>
  </si>
  <si>
    <t>International Bible Students Association</t>
  </si>
  <si>
    <t>inboxprch.ke@bethel.jw.org</t>
  </si>
  <si>
    <t>020-5141509</t>
  </si>
  <si>
    <t>CUST100422</t>
  </si>
  <si>
    <t>purchasing.ke@jw.org</t>
  </si>
  <si>
    <t>Grace Mutia</t>
  </si>
  <si>
    <t>International Centre For Tropical Agriculture-Ciat</t>
  </si>
  <si>
    <t>g.mutanu@cgiar.org</t>
  </si>
  <si>
    <t>+254 719052835</t>
  </si>
  <si>
    <t>CUST100424</t>
  </si>
  <si>
    <t>ciatkenyainfo@cgiar.org</t>
  </si>
  <si>
    <t>Lucy</t>
  </si>
  <si>
    <t>Mary Muthure</t>
  </si>
  <si>
    <t>International Hotel And Tourism Institute</t>
  </si>
  <si>
    <t>mary.muthure@ihti.net</t>
  </si>
  <si>
    <t>0725254770</t>
  </si>
  <si>
    <t>CUST101587</t>
  </si>
  <si>
    <t>accounts@ihti.net</t>
  </si>
  <si>
    <t>James Muthee</t>
  </si>
  <si>
    <t>International House Ltd</t>
  </si>
  <si>
    <t>muthee@ihlkenya.com</t>
  </si>
  <si>
    <t>CUST100425</t>
  </si>
  <si>
    <t>kimondowanjiku@ihlkenya.com</t>
  </si>
  <si>
    <t>Beula</t>
  </si>
  <si>
    <t>International Peace Support Training Centre</t>
  </si>
  <si>
    <t>procurement@ipstc.org</t>
  </si>
  <si>
    <t>0727213636</t>
  </si>
  <si>
    <t>CUST100426</t>
  </si>
  <si>
    <t>hpssaccounts@hpss-ipstc.org</t>
  </si>
  <si>
    <t>Joan Ngugi</t>
  </si>
  <si>
    <t>International Potato Centre</t>
  </si>
  <si>
    <t>cip-logconsultant1@cgiar.org</t>
  </si>
  <si>
    <t>CUST100427</t>
  </si>
  <si>
    <t>j.njonjo@cgiar.org</t>
  </si>
  <si>
    <t>Kevin Otieno</t>
  </si>
  <si>
    <t>International School Of Kenya</t>
  </si>
  <si>
    <t>kotieno@isk.ac.ke</t>
  </si>
  <si>
    <t>0728706584</t>
  </si>
  <si>
    <t>CUST100428</t>
  </si>
  <si>
    <t>mjiwani@isk.ac.ke</t>
  </si>
  <si>
    <t>Sporah Njenga</t>
  </si>
  <si>
    <t>Intertek International Ltd</t>
  </si>
  <si>
    <t>sporah.njenga@intertek.com</t>
  </si>
  <si>
    <t>CUST100429</t>
  </si>
  <si>
    <t>Ruth Kaburu</t>
  </si>
  <si>
    <t>Inti By Jit Ltd</t>
  </si>
  <si>
    <t>ruth.jitgroup@gmail.com</t>
  </si>
  <si>
    <t>0718971992</t>
  </si>
  <si>
    <t>CUST100431</t>
  </si>
  <si>
    <t>trish.jitgroup@gmail.com</t>
  </si>
  <si>
    <t>Trish</t>
  </si>
  <si>
    <t>0796612998</t>
  </si>
  <si>
    <t>tarika.intibyjit@gmail.com</t>
  </si>
  <si>
    <t>Jane Nyaga</t>
  </si>
  <si>
    <t>Ishara Experience ltd</t>
  </si>
  <si>
    <t>0721 538 741</t>
  </si>
  <si>
    <t>CUST102215</t>
  </si>
  <si>
    <t>jane@ishara.ke</t>
  </si>
  <si>
    <t>Jane Nyaga Nyaga</t>
  </si>
  <si>
    <t>Shyron Njihia</t>
  </si>
  <si>
    <t>JANEX IMPEX</t>
  </si>
  <si>
    <t>shyronjihia2010@yahoo.com</t>
  </si>
  <si>
    <t>CUST101419</t>
  </si>
  <si>
    <t>Robert Mwiti</t>
  </si>
  <si>
    <t>Jacaranda Health Ltd</t>
  </si>
  <si>
    <t>procurement@jacarandamaternity.co.ke</t>
  </si>
  <si>
    <t>CUST100438</t>
  </si>
  <si>
    <t>Zimmerman</t>
  </si>
  <si>
    <t>Jacaranda Hotel Ltd</t>
  </si>
  <si>
    <t>710824827</t>
  </si>
  <si>
    <t>CUST100439</t>
  </si>
  <si>
    <t>john.gichuke@jacarandahotels.com</t>
  </si>
  <si>
    <t>John Gichuke</t>
  </si>
  <si>
    <t>Zachary Kariuki</t>
  </si>
  <si>
    <t>procurement@jacarandahotels.com</t>
  </si>
  <si>
    <t>0721719342</t>
  </si>
  <si>
    <t>Zakary Kariuki</t>
  </si>
  <si>
    <t>jacstores@jacarandahotels.com</t>
  </si>
  <si>
    <t>James Omondi</t>
  </si>
  <si>
    <t>Jawabu best</t>
  </si>
  <si>
    <t>james@jawabubest.co.ke</t>
  </si>
  <si>
    <t>0724818212</t>
  </si>
  <si>
    <t>CUST102626</t>
  </si>
  <si>
    <t>lynne.j@jawabubest.co.ke</t>
  </si>
  <si>
    <t>John John</t>
  </si>
  <si>
    <t>Wendy Wanjiku</t>
  </si>
  <si>
    <t>0723446520</t>
  </si>
  <si>
    <t>Agnes Cheserek</t>
  </si>
  <si>
    <t>Jextreem Logistics Co Limited</t>
  </si>
  <si>
    <t>info@jextreemcompanyltd.co.ke</t>
  </si>
  <si>
    <t>0713761646</t>
  </si>
  <si>
    <t>CUST100446</t>
  </si>
  <si>
    <t>jextreemcompanyltd@gmail.com</t>
  </si>
  <si>
    <t>Marion and Francisca</t>
  </si>
  <si>
    <t>Sabina Sabina</t>
  </si>
  <si>
    <t>Jikimu Supplies Limited</t>
  </si>
  <si>
    <t>info@jikimusupplies.co.ke</t>
  </si>
  <si>
    <t>0725222598</t>
  </si>
  <si>
    <t>CUST103125</t>
  </si>
  <si>
    <t>Stanley Mwangi</t>
  </si>
  <si>
    <t>Jimlizer Hotel Ltd</t>
  </si>
  <si>
    <t>mwangistanley12@gmail.com</t>
  </si>
  <si>
    <t>CUST100448</t>
  </si>
  <si>
    <t>Trish Chitroda</t>
  </si>
  <si>
    <t>Jit Mart Ltd</t>
  </si>
  <si>
    <t>accounts@mercado.co.ke</t>
  </si>
  <si>
    <t>CUST100450</t>
  </si>
  <si>
    <t>Hussein Ayot</t>
  </si>
  <si>
    <t>Joystar Cereals Commodities Ltd</t>
  </si>
  <si>
    <t>husseinayot@gmail.com</t>
  </si>
  <si>
    <t>CUST100454</t>
  </si>
  <si>
    <t>Bad Debt Provision</t>
  </si>
  <si>
    <t>Nipul Shah</t>
  </si>
  <si>
    <t>Juja Road Fancy Store Ltd</t>
  </si>
  <si>
    <t>jujafancy@yahoo.co.uk</t>
  </si>
  <si>
    <t>0721532344</t>
  </si>
  <si>
    <t>CUST100456</t>
  </si>
  <si>
    <t>Ahmed Mohammed</t>
  </si>
  <si>
    <t>Jumeirah Beachfront LTD</t>
  </si>
  <si>
    <t>ahmedm@jumeirahbeachfrontmsa.com</t>
  </si>
  <si>
    <t>CUST101925</t>
  </si>
  <si>
    <t>Swabir Swabir</t>
  </si>
  <si>
    <t>0724306492</t>
  </si>
  <si>
    <t>Anastacia Ngendo</t>
  </si>
  <si>
    <t>Jumuia Hospital Huruma</t>
  </si>
  <si>
    <t>annesingendo22@gmail.com</t>
  </si>
  <si>
    <t>CUST101496</t>
  </si>
  <si>
    <t>Eastleigh</t>
  </si>
  <si>
    <t>lydia-otiende@junuiahospitals.org</t>
  </si>
  <si>
    <t>Lydia Otiende</t>
  </si>
  <si>
    <t>Andrew Olefa</t>
  </si>
  <si>
    <t>Jupiter Real Ltd T/A Ibis Styles</t>
  </si>
  <si>
    <t>hb065-gl3@accor.com</t>
  </si>
  <si>
    <t>CUST100459</t>
  </si>
  <si>
    <t>hb65-gl4@accor.com</t>
  </si>
  <si>
    <t>Rose Makena</t>
  </si>
  <si>
    <t>HB065-PU@accor.com</t>
  </si>
  <si>
    <t>0725809777</t>
  </si>
  <si>
    <t>purchasing@accor.com</t>
  </si>
  <si>
    <t>0205147500</t>
  </si>
  <si>
    <t>Nitin Shah</t>
  </si>
  <si>
    <t>Just Now Limited</t>
  </si>
  <si>
    <t>info@justnow.co.ke</t>
  </si>
  <si>
    <t>0722440033</t>
  </si>
  <si>
    <t>CUST101870</t>
  </si>
  <si>
    <t>info@justnow.com</t>
  </si>
  <si>
    <t>KCB Bank Kenya Limited</t>
  </si>
  <si>
    <t>awmwangi@kcbgroup.com</t>
  </si>
  <si>
    <t>0722368730</t>
  </si>
  <si>
    <t>CUST100481</t>
  </si>
  <si>
    <t>swmulei@kcbgroup.com</t>
  </si>
  <si>
    <t>kenneth Kenduiwa</t>
  </si>
  <si>
    <t>KCB Bank Kenya Limited C/O Regent Management</t>
  </si>
  <si>
    <t>kkenduiwa@regent-mgt.com</t>
  </si>
  <si>
    <t>CUST101853</t>
  </si>
  <si>
    <t>scheboi@regent-mgt.com</t>
  </si>
  <si>
    <t>PADIPKUMIE PATEL</t>
  </si>
  <si>
    <t>KIBO SAFARI CAMP</t>
  </si>
  <si>
    <t>info@kibosafaricamp.com</t>
  </si>
  <si>
    <t>0728293867</t>
  </si>
  <si>
    <t>CUST102258</t>
  </si>
  <si>
    <t>pjkibo@gmail.com</t>
  </si>
  <si>
    <t>Maureen Gathogo</t>
  </si>
  <si>
    <t>Kaizora Centre For Neurodevelopmental Therapies</t>
  </si>
  <si>
    <t>admin@kaizora.com</t>
  </si>
  <si>
    <t>0755587860</t>
  </si>
  <si>
    <t>CUST100463</t>
  </si>
  <si>
    <t>Castro</t>
  </si>
  <si>
    <t>Kamcan Properties Ltd</t>
  </si>
  <si>
    <t>0731-686453</t>
  </si>
  <si>
    <t>CUST100466</t>
  </si>
  <si>
    <t>accounts@fourpointsnairobihurlingham.co.ke</t>
  </si>
  <si>
    <t>Francis Saitoti</t>
  </si>
  <si>
    <t>purchase@fourpointsnairobihurlingham.co.ke</t>
  </si>
  <si>
    <t>0722292700</t>
  </si>
  <si>
    <t>Samuel Muchiri</t>
  </si>
  <si>
    <t>0723570224</t>
  </si>
  <si>
    <t>Shadrack Mutiso</t>
  </si>
  <si>
    <t>stores@fourpointsnairobihurlingham.co.ke</t>
  </si>
  <si>
    <t>0705050970</t>
  </si>
  <si>
    <t>Sarah Murimi</t>
  </si>
  <si>
    <t>Kanha Limited</t>
  </si>
  <si>
    <t>sarah.murimi@hyatt.com</t>
  </si>
  <si>
    <t>0729572884</t>
  </si>
  <si>
    <t>CUST103102</t>
  </si>
  <si>
    <t>purchase@kanha.co.ke</t>
  </si>
  <si>
    <t>Abdi Majid</t>
  </si>
  <si>
    <t>Kanune General Limited</t>
  </si>
  <si>
    <t>ABDIMAJIDJAY@GMAIL.COM</t>
  </si>
  <si>
    <t>CUST100468</t>
  </si>
  <si>
    <t>Client to Collect</t>
  </si>
  <si>
    <t>Karanja &amp; Njenga Advocates Karanja &amp; Njenga Advocates</t>
  </si>
  <si>
    <t>Karanja-Njenga &amp; Co Advocates</t>
  </si>
  <si>
    <t>CUST100469</t>
  </si>
  <si>
    <t>info@knjenga.com</t>
  </si>
  <si>
    <t>Lawrence Muriuki</t>
  </si>
  <si>
    <t>muriuki@knjenga.co.ke</t>
  </si>
  <si>
    <t>0722519740</t>
  </si>
  <si>
    <t>Emily Ngambi</t>
  </si>
  <si>
    <t>Karen Hospital Limited</t>
  </si>
  <si>
    <t>emily.ngambi@karenhospital.org</t>
  </si>
  <si>
    <t>0731352789</t>
  </si>
  <si>
    <t>CUST100472</t>
  </si>
  <si>
    <t>finance.controller@karenhospital.org</t>
  </si>
  <si>
    <t>procurement@karenhospital.org</t>
  </si>
  <si>
    <t>Joseph Kitur</t>
  </si>
  <si>
    <t>joseph.kitur@karenhospital.org</t>
  </si>
  <si>
    <t>0711493004</t>
  </si>
  <si>
    <t>Tecla Chemobo</t>
  </si>
  <si>
    <t>Karen Technical Training Institute For The Deaf</t>
  </si>
  <si>
    <t>info@kttideaf.ac.ke</t>
  </si>
  <si>
    <t>0722261453</t>
  </si>
  <si>
    <t>CUST100473</t>
  </si>
  <si>
    <t>Dexter Jane</t>
  </si>
  <si>
    <t>Karen country club</t>
  </si>
  <si>
    <t>purchasing@karen.or.ke</t>
  </si>
  <si>
    <t>0722204431</t>
  </si>
  <si>
    <t>CUST100471</t>
  </si>
  <si>
    <t>Joanne Bill</t>
  </si>
  <si>
    <t>0724224492</t>
  </si>
  <si>
    <t>Bhavik Shah</t>
  </si>
  <si>
    <t>Karshah Limited</t>
  </si>
  <si>
    <t>bhavikshah@gmail.com</t>
  </si>
  <si>
    <t>0721324289</t>
  </si>
  <si>
    <t>CUST102204</t>
  </si>
  <si>
    <t>Eliud</t>
  </si>
  <si>
    <t>Karura Community Chapel</t>
  </si>
  <si>
    <t>0707877782</t>
  </si>
  <si>
    <t>CUST100475</t>
  </si>
  <si>
    <t>info@karuracc.or.ke</t>
  </si>
  <si>
    <t>Dan Ciira</t>
  </si>
  <si>
    <t>Keep It Promo (K) Ltd</t>
  </si>
  <si>
    <t>dciira@keepitpromo.co.ke</t>
  </si>
  <si>
    <t>0720304866</t>
  </si>
  <si>
    <t>CUST102414</t>
  </si>
  <si>
    <t>info@keepitpromo.co.ke</t>
  </si>
  <si>
    <t>Kellen Kariuki</t>
  </si>
  <si>
    <t>Kelpa Ltd</t>
  </si>
  <si>
    <t>CUST100483</t>
  </si>
  <si>
    <t>kelpalimited@gmail.com</t>
  </si>
  <si>
    <t>Kellen Kellen</t>
  </si>
  <si>
    <t>0721798288</t>
  </si>
  <si>
    <t>Rahul Raval</t>
  </si>
  <si>
    <t>Kenafric Industries Ltd</t>
  </si>
  <si>
    <t>rahul@kenafricind.com</t>
  </si>
  <si>
    <t>0722777750</t>
  </si>
  <si>
    <t>CUST100484</t>
  </si>
  <si>
    <t>cwaihiga@kenafricind.com</t>
  </si>
  <si>
    <t>Alexander Kagwi</t>
  </si>
  <si>
    <t>Kenchic Ltd.</t>
  </si>
  <si>
    <t>akagwi@kenchic.com</t>
  </si>
  <si>
    <t>0710102521</t>
  </si>
  <si>
    <t>CUST100485</t>
  </si>
  <si>
    <t>Kenchic@swiftkenya.com</t>
  </si>
  <si>
    <t>Grace mugo</t>
  </si>
  <si>
    <t>Kenton College Trust</t>
  </si>
  <si>
    <t>procurementassistant@kenton.ac.ke</t>
  </si>
  <si>
    <t>0710487879</t>
  </si>
  <si>
    <t>CUST100489</t>
  </si>
  <si>
    <t>accountspayable@kenton.ac.ke</t>
  </si>
  <si>
    <t>Irene Njoroge</t>
  </si>
  <si>
    <t>Kenya Airways</t>
  </si>
  <si>
    <t>irene.njoroge@kenya-airways.com</t>
  </si>
  <si>
    <t>CUST100491</t>
  </si>
  <si>
    <t>mildred.maranga@kenya-airways.com</t>
  </si>
  <si>
    <t>Mildred Maranga</t>
  </si>
  <si>
    <t>Joseph Njeru</t>
  </si>
  <si>
    <t>Kenya Commercial Bank Ltd</t>
  </si>
  <si>
    <t>jnjeru@kcbgroup.com</t>
  </si>
  <si>
    <t>0721340224</t>
  </si>
  <si>
    <t>CUST100492</t>
  </si>
  <si>
    <t>leadershipcentre@kcb.co.ke</t>
  </si>
  <si>
    <t>Enos Robert</t>
  </si>
  <si>
    <t>Kenya Good Neighbors</t>
  </si>
  <si>
    <t>enos.robert@goodneighbors.ke</t>
  </si>
  <si>
    <t>0729992066</t>
  </si>
  <si>
    <t>CUST101547</t>
  </si>
  <si>
    <t>Narok</t>
  </si>
  <si>
    <t>dorcas.gnkenya@gmail.com</t>
  </si>
  <si>
    <t>Miss Alice</t>
  </si>
  <si>
    <t>Kenya Hydraulics Limited</t>
  </si>
  <si>
    <t>accounts@kenyahydraulics.com</t>
  </si>
  <si>
    <t>0736925393</t>
  </si>
  <si>
    <t>CUST101505</t>
  </si>
  <si>
    <t>B Miruka</t>
  </si>
  <si>
    <t>Kenya Institute Of Curriculum Development</t>
  </si>
  <si>
    <t>procurement@kicd.ac.ke</t>
  </si>
  <si>
    <t>0729 327334</t>
  </si>
  <si>
    <t>CUST100495</t>
  </si>
  <si>
    <t>Antony Langat</t>
  </si>
  <si>
    <t>Kenya Kazi Limited - Safaricom Account</t>
  </si>
  <si>
    <t>Antony.Langat@garda.com</t>
  </si>
  <si>
    <t>0722243773</t>
  </si>
  <si>
    <t>CUST101412</t>
  </si>
  <si>
    <t>gladyagumba@kksecurity.com</t>
  </si>
  <si>
    <t>Gladys Agumba</t>
  </si>
  <si>
    <t>Cynthia Mwangola</t>
  </si>
  <si>
    <t>Kenya Red Cross Society</t>
  </si>
  <si>
    <t>mwangola.cynthia@redcross.or.ke</t>
  </si>
  <si>
    <t>CUST100499</t>
  </si>
  <si>
    <t>Jacqueline Kasango</t>
  </si>
  <si>
    <t>Kenya Women Finance Trust</t>
  </si>
  <si>
    <t>jkasango@kwftbank.com</t>
  </si>
  <si>
    <t>+254 703 067 000</t>
  </si>
  <si>
    <t>CUST100502</t>
  </si>
  <si>
    <t>mmugure@kwftbank.com</t>
  </si>
  <si>
    <t>Julius Thuku Mburu</t>
  </si>
  <si>
    <t>jthuku@kwftbank.com</t>
  </si>
  <si>
    <t>0703 067 000</t>
  </si>
  <si>
    <t>Mercy Mwangi Mugure</t>
  </si>
  <si>
    <t>0703067000</t>
  </si>
  <si>
    <t>Vivian Madegwa</t>
  </si>
  <si>
    <t>Kenya Yucheng Plate Making Limited</t>
  </si>
  <si>
    <t>madegwavivian@gmail.com</t>
  </si>
  <si>
    <t>CUST101534</t>
  </si>
  <si>
    <t>Violet k</t>
  </si>
  <si>
    <t>Kilimani Greengrocers &amp; Sundries Ltd</t>
  </si>
  <si>
    <t>sales@kilimanigreengrocers.co.ke</t>
  </si>
  <si>
    <t>0722356254</t>
  </si>
  <si>
    <t>CUST100512</t>
  </si>
  <si>
    <t>Betty Njoroge</t>
  </si>
  <si>
    <t>Kilimani Hotel suites Limited</t>
  </si>
  <si>
    <t>betty.njoroge@the-ascott.com</t>
  </si>
  <si>
    <t>0726 312164</t>
  </si>
  <si>
    <t>CUST102297</t>
  </si>
  <si>
    <t>ntwiga.wanja@the-ascott.com</t>
  </si>
  <si>
    <t>Carol Mwikal</t>
  </si>
  <si>
    <t>Kipeto Energy Plc</t>
  </si>
  <si>
    <t>carolyne.muli@kipetoenergy.co.ke</t>
  </si>
  <si>
    <t>0720700611</t>
  </si>
  <si>
    <t>CUST100515</t>
  </si>
  <si>
    <t>info@kipetoenergy.co.ke</t>
  </si>
  <si>
    <t>Ceciliah shiro</t>
  </si>
  <si>
    <t>Kirsek Investments Ltd</t>
  </si>
  <si>
    <t>info@maasaimall.co.ke</t>
  </si>
  <si>
    <t>0703507979</t>
  </si>
  <si>
    <t>CUST100517</t>
  </si>
  <si>
    <t>Anthony</t>
  </si>
  <si>
    <t>Kiwam Investment Ltd</t>
  </si>
  <si>
    <t>0720-684902</t>
  </si>
  <si>
    <t>CUST100518</t>
  </si>
  <si>
    <t>simon.gakere@equityafia.co.ke</t>
  </si>
  <si>
    <t>Anthony Kinyanjui</t>
  </si>
  <si>
    <t>anthony.kinyanjui@equity.co.ke</t>
  </si>
  <si>
    <t>0720684902</t>
  </si>
  <si>
    <t>Simon Gakere</t>
  </si>
  <si>
    <t>Margaret Kabura</t>
  </si>
  <si>
    <t>Kleansley Hygiene Plus Ltd</t>
  </si>
  <si>
    <t>margaret.kabura@kleansley.co.ke</t>
  </si>
  <si>
    <t>CUST100519</t>
  </si>
  <si>
    <t>gocho@kleansley.co.ke</t>
  </si>
  <si>
    <t>Mary Gitari</t>
  </si>
  <si>
    <t>Knight Frank Kenya Ltd</t>
  </si>
  <si>
    <t>Mary.Gitari@ke.knightfrank.com</t>
  </si>
  <si>
    <t>0722288014</t>
  </si>
  <si>
    <t>CUST100520</t>
  </si>
  <si>
    <t>maureen.atelo@ke.knightfrank.com</t>
  </si>
  <si>
    <t>Maureen Atelo</t>
  </si>
  <si>
    <t>Daniel Korir</t>
  </si>
  <si>
    <t>Koko Networks Limited</t>
  </si>
  <si>
    <t>d.korir@kokonetworks.com</t>
  </si>
  <si>
    <t>CUST100522</t>
  </si>
  <si>
    <t>n.kessio@kokonetworks.com</t>
  </si>
  <si>
    <t>Grace Njuguna</t>
  </si>
  <si>
    <t>g.njuguna@kokonetworks.com</t>
  </si>
  <si>
    <t>0741967663</t>
  </si>
  <si>
    <t>Titus m</t>
  </si>
  <si>
    <t>Komarock Modern Limited</t>
  </si>
  <si>
    <t>info@komarockmodernhealth.org</t>
  </si>
  <si>
    <t>+254 723 799811</t>
  </si>
  <si>
    <t>CUST102202</t>
  </si>
  <si>
    <t>willy3nam@yahoo.com</t>
  </si>
  <si>
    <t>Daniel Dan</t>
  </si>
  <si>
    <t>Krystal Asali Ltd</t>
  </si>
  <si>
    <t>CUST100524</t>
  </si>
  <si>
    <t>info@shambacafe.co.ke</t>
  </si>
  <si>
    <t>Brian Wanjala</t>
  </si>
  <si>
    <t>LSG Sky Chefs Kenya Ltd</t>
  </si>
  <si>
    <t>brian.wanjala@lsgskychefs.com</t>
  </si>
  <si>
    <t>CUST100569</t>
  </si>
  <si>
    <t>eglah.maina@lsgskychefs.com</t>
  </si>
  <si>
    <t>Duncan</t>
  </si>
  <si>
    <t>Duncan Munyua</t>
  </si>
  <si>
    <t>duncan.munyua@lsgskychefs.com</t>
  </si>
  <si>
    <t>0723430937</t>
  </si>
  <si>
    <t>Loreto Oduor</t>
  </si>
  <si>
    <t>0758727063</t>
  </si>
  <si>
    <t>Justus Oguta</t>
  </si>
  <si>
    <t>La Pieve Ltd</t>
  </si>
  <si>
    <t>justus.oguta@lapieveltd.com</t>
  </si>
  <si>
    <t>CUST100530</t>
  </si>
  <si>
    <t>James Lomodok</t>
  </si>
  <si>
    <t>La Salle Catholic Primary School</t>
  </si>
  <si>
    <t>finance@lasallecatholicschool.sc.ke</t>
  </si>
  <si>
    <t>CUST100531</t>
  </si>
  <si>
    <t>info@lasallecatholicprimary.org</t>
  </si>
  <si>
    <t>Isaac Nderitu</t>
  </si>
  <si>
    <t>Lafemme Health Clinic</t>
  </si>
  <si>
    <t>lafemmehealthcare.ke@gmail.com</t>
  </si>
  <si>
    <t>0741764551</t>
  </si>
  <si>
    <t>CUST101924</t>
  </si>
  <si>
    <t>Alice Kybe</t>
  </si>
  <si>
    <t>Lake Parm General Agencies</t>
  </si>
  <si>
    <t>alicekybe@gmail.com</t>
  </si>
  <si>
    <t>CUST100533</t>
  </si>
  <si>
    <t>Robert Otim</t>
  </si>
  <si>
    <t>Lake Victoria Basin Commission</t>
  </si>
  <si>
    <t>otim@lvbcom.org</t>
  </si>
  <si>
    <t>CUST100534</t>
  </si>
  <si>
    <t>munabi@lvbcom.org</t>
  </si>
  <si>
    <t>Lucy Mukolwe</t>
  </si>
  <si>
    <t>Lakhani General Suppliers Limited</t>
  </si>
  <si>
    <t>sales2@lgs.co.ke</t>
  </si>
  <si>
    <t>0780849145</t>
  </si>
  <si>
    <t>CUST100535</t>
  </si>
  <si>
    <t>sales@lgs.co.ke</t>
  </si>
  <si>
    <t>Mejumaa Mejumaa</t>
  </si>
  <si>
    <t>0115538990</t>
  </si>
  <si>
    <t>Wilber Mutange</t>
  </si>
  <si>
    <t>Langata Botanical Garden</t>
  </si>
  <si>
    <t>info@langatabotanical.com</t>
  </si>
  <si>
    <t>CUST100538</t>
  </si>
  <si>
    <t>Tabitha Wanjiru</t>
  </si>
  <si>
    <t>Langata Hotel Development Ltd</t>
  </si>
  <si>
    <t>purchasing.tth@tamarind.co.ke</t>
  </si>
  <si>
    <t>CUST100539</t>
  </si>
  <si>
    <t>payables.tth@tamarind.co.ke</t>
  </si>
  <si>
    <t>Samson masila</t>
  </si>
  <si>
    <t>Langata Link Limited</t>
  </si>
  <si>
    <t>essentials@langatalink.com</t>
  </si>
  <si>
    <t>0711275395</t>
  </si>
  <si>
    <t>CUST100540</t>
  </si>
  <si>
    <t>info@langatalink.com</t>
  </si>
  <si>
    <t>Catherine Mburu</t>
  </si>
  <si>
    <t>Langata Links Shop</t>
  </si>
  <si>
    <t>info@langatalinkshops.com</t>
  </si>
  <si>
    <t>07447244317</t>
  </si>
  <si>
    <t>CUST100541</t>
  </si>
  <si>
    <t>info@langatalinkshop.com</t>
  </si>
  <si>
    <t>FRANCIS NJOROGE</t>
  </si>
  <si>
    <t>Lavington Complex Ltd C/O Kiragu And Mwangi Ltd</t>
  </si>
  <si>
    <t>Francis.Njoroge@kiraguandmwangi.co.ke</t>
  </si>
  <si>
    <t>0707233234</t>
  </si>
  <si>
    <t>CUST100544</t>
  </si>
  <si>
    <t>joel.simiyu@kiraguandmwangi.co.ke</t>
  </si>
  <si>
    <t>Joel Simiyu</t>
  </si>
  <si>
    <t>Kaveeta Mudhur</t>
  </si>
  <si>
    <t>Leisure Park Development Ltd T/A Of Radisson Blu</t>
  </si>
  <si>
    <t>kaveeta.mudhur@radissonblu.com</t>
  </si>
  <si>
    <t>0 709 031000</t>
  </si>
  <si>
    <t>CUST100548</t>
  </si>
  <si>
    <t>jared.warria@radissonblu.com</t>
  </si>
  <si>
    <t>Miss Roselyn</t>
  </si>
  <si>
    <t>Lenana Suites Ltd</t>
  </si>
  <si>
    <t>info@lenanasuites.com</t>
  </si>
  <si>
    <t>CUST100550</t>
  </si>
  <si>
    <t>Betty Mutwiri</t>
  </si>
  <si>
    <t>Liga Holdings Ltd</t>
  </si>
  <si>
    <t>ligaholdings@gmail.com</t>
  </si>
  <si>
    <t>0722 982048</t>
  </si>
  <si>
    <t>CUST100557</t>
  </si>
  <si>
    <t>Migori</t>
  </si>
  <si>
    <t>Charles Kariuki</t>
  </si>
  <si>
    <t>Limuru Country Club</t>
  </si>
  <si>
    <t>purchases@limurucountryclub.co.ke</t>
  </si>
  <si>
    <t>CUST100560</t>
  </si>
  <si>
    <t>Limuru</t>
  </si>
  <si>
    <t>info@limurucountryclub.co.ke</t>
  </si>
  <si>
    <t>Carol Makena</t>
  </si>
  <si>
    <t>Lintons Place</t>
  </si>
  <si>
    <t>carol.makena@lintonsbeauty.com</t>
  </si>
  <si>
    <t>0743142667</t>
  </si>
  <si>
    <t>CUST101874</t>
  </si>
  <si>
    <t>evelyn.mbogo@lintonsbeauty.com</t>
  </si>
  <si>
    <t>Evelyn Mbogo</t>
  </si>
  <si>
    <t>Kenneth Mulewa</t>
  </si>
  <si>
    <t>Liverpool VCT &amp; Care Kenya</t>
  </si>
  <si>
    <t>kenneth.mulewa@lvcthealth.org</t>
  </si>
  <si>
    <t>CUST100563</t>
  </si>
  <si>
    <t>Kenneth.mulewa@lvcthealth.org</t>
  </si>
  <si>
    <t>Maureen Oindo</t>
  </si>
  <si>
    <t>maureen.oindo@lvcthealth.org</t>
  </si>
  <si>
    <t>Rebbeca Becky Nyambura</t>
  </si>
  <si>
    <t>Logitech Services Limited</t>
  </si>
  <si>
    <t>0755826757</t>
  </si>
  <si>
    <t>CUST100565</t>
  </si>
  <si>
    <t>logitech.services@yahoo.com</t>
  </si>
  <si>
    <t>Robert Kimani</t>
  </si>
  <si>
    <t>0721225458</t>
  </si>
  <si>
    <t>logitech Becky</t>
  </si>
  <si>
    <t>0719467454</t>
  </si>
  <si>
    <t>Beverlyne Mwiwa</t>
  </si>
  <si>
    <t>Longhorn Kenya Ltd</t>
  </si>
  <si>
    <t>Bmwima@longhornpublishers.com</t>
  </si>
  <si>
    <t>0718392695</t>
  </si>
  <si>
    <t>CUST100568</t>
  </si>
  <si>
    <t>knjoki@longhornpublishers.com</t>
  </si>
  <si>
    <t>Keviah Waiganjo</t>
  </si>
  <si>
    <t>+254 721907463</t>
  </si>
  <si>
    <t>FIBI MUTHONI</t>
  </si>
  <si>
    <t>Lukenya Getaway Limited</t>
  </si>
  <si>
    <t>procurement@lukenyagateway.com</t>
  </si>
  <si>
    <t>0719431662</t>
  </si>
  <si>
    <t>CUST100571</t>
  </si>
  <si>
    <t>finance@lukenyagetaway.com</t>
  </si>
  <si>
    <t>Phoebe Muthoni</t>
  </si>
  <si>
    <t>Procurement@lukenyagetaway.com</t>
  </si>
  <si>
    <t>Edith Ochar</t>
  </si>
  <si>
    <t>Lupat Cleaning Services Ltd</t>
  </si>
  <si>
    <t>edith.ochar@lupatservices.co.ke</t>
  </si>
  <si>
    <t>CUST100572</t>
  </si>
  <si>
    <t>lucymutie@lupatservices.co.ke</t>
  </si>
  <si>
    <t>Mr Abdi</t>
  </si>
  <si>
    <t>Luqman Petroleum Limited</t>
  </si>
  <si>
    <t>info@luqmanpetroleum.com</t>
  </si>
  <si>
    <t>0720039763</t>
  </si>
  <si>
    <t>CUST103235</t>
  </si>
  <si>
    <t>info@luqmanpetroleum.com; mall@luqmanpetroleum.com</t>
  </si>
  <si>
    <t>ann ndungu</t>
  </si>
  <si>
    <t>M Pesafoundation Academy</t>
  </si>
  <si>
    <t>andungu@mpesafoundationacademy.ac.ke</t>
  </si>
  <si>
    <t>CUST100574</t>
  </si>
  <si>
    <t>Thika Town</t>
  </si>
  <si>
    <t>info@mpesafoundationacademy.ac.ke</t>
  </si>
  <si>
    <t>Chris</t>
  </si>
  <si>
    <t>Maanzoni Lodge Ltd</t>
  </si>
  <si>
    <t>0711364537</t>
  </si>
  <si>
    <t>CUST100575</t>
  </si>
  <si>
    <t>sawa@maanzonilodge.co.ke</t>
  </si>
  <si>
    <t>Festus Muindi</t>
  </si>
  <si>
    <t>accounts@maanzonilodge.co.ke</t>
  </si>
  <si>
    <t>0705640275</t>
  </si>
  <si>
    <t>Sawa Musau</t>
  </si>
  <si>
    <t>Evelyn Njoya</t>
  </si>
  <si>
    <t>Maasai Koroga</t>
  </si>
  <si>
    <t>evelynjoya@gmail.com</t>
  </si>
  <si>
    <t>0729078134</t>
  </si>
  <si>
    <t>CUST101486</t>
  </si>
  <si>
    <t>stellamunyendo@gmail.com; enockonyangonyokayo@gmail.com</t>
  </si>
  <si>
    <t>Stella Munyendo</t>
  </si>
  <si>
    <t>stellamunyendo@gmail.com</t>
  </si>
  <si>
    <t>Purity Macharia</t>
  </si>
  <si>
    <t>Maco the Big Fish</t>
  </si>
  <si>
    <t>0715148388</t>
  </si>
  <si>
    <t>CUST102951</t>
  </si>
  <si>
    <t>macothebigfish@gmail.com</t>
  </si>
  <si>
    <t>Martin</t>
  </si>
  <si>
    <t>Mada Holdings Limited.</t>
  </si>
  <si>
    <t>purchasing@madakilifi.com</t>
  </si>
  <si>
    <t>CUST100577</t>
  </si>
  <si>
    <t>purchasing@madahotels.com</t>
  </si>
  <si>
    <t>Samuel Ochieng</t>
  </si>
  <si>
    <t>purchasing.accounts@madahotels.com</t>
  </si>
  <si>
    <t>Evans Magaki</t>
  </si>
  <si>
    <t>Magaki Cleaning Services</t>
  </si>
  <si>
    <t>magakievans@yahoo.com</t>
  </si>
  <si>
    <t>CUST100580</t>
  </si>
  <si>
    <t>Maggie Wangui</t>
  </si>
  <si>
    <t>Magic Slots Ltd</t>
  </si>
  <si>
    <t>purchasing@casino-flamingo.co.ke</t>
  </si>
  <si>
    <t>0723784173</t>
  </si>
  <si>
    <t>CUST100581</t>
  </si>
  <si>
    <t>Natasha Viola</t>
  </si>
  <si>
    <t>0708996411</t>
  </si>
  <si>
    <t>Dominic Githengu</t>
  </si>
  <si>
    <t>Magnate Ventures Ltd</t>
  </si>
  <si>
    <t>dominic.githengu@magnnate-ventures.com</t>
  </si>
  <si>
    <t>CUST101494</t>
  </si>
  <si>
    <t>David Obuya</t>
  </si>
  <si>
    <t>Maisha Bora Cooperative Savings And Credit Society</t>
  </si>
  <si>
    <t>david.obuya@maishaborasacco.com</t>
  </si>
  <si>
    <t>0728364719</t>
  </si>
  <si>
    <t>CUST100583</t>
  </si>
  <si>
    <t>info@maishaborasacco.com</t>
  </si>
  <si>
    <t>Patricia Wachira</t>
  </si>
  <si>
    <t>Malachite Limited</t>
  </si>
  <si>
    <t>patricia@mayers.co.ke</t>
  </si>
  <si>
    <t>CUST100588</t>
  </si>
  <si>
    <t>accounts@mayers.co.ke</t>
  </si>
  <si>
    <t>Susan Keino</t>
  </si>
  <si>
    <t>Manchiez Grill Restaurant</t>
  </si>
  <si>
    <t>manchiezgrillltd@gmail.com</t>
  </si>
  <si>
    <t>CUST100591</t>
  </si>
  <si>
    <t>Susan Kieno</t>
  </si>
  <si>
    <t>chirrykeino@gmail.com</t>
  </si>
  <si>
    <t>0727840101</t>
  </si>
  <si>
    <t>Miss Monica</t>
  </si>
  <si>
    <t>Marina Healthcare Ltd</t>
  </si>
  <si>
    <t>accounts@marinahosp.com</t>
  </si>
  <si>
    <t>0720941746</t>
  </si>
  <si>
    <t>CUST100596</t>
  </si>
  <si>
    <t>Pipeline</t>
  </si>
  <si>
    <t>info@marinahosp.com</t>
  </si>
  <si>
    <t>Dawud mos</t>
  </si>
  <si>
    <t>Maruti Office Supplies Ltd</t>
  </si>
  <si>
    <t>purchasing@marutios.com</t>
  </si>
  <si>
    <t>0771217428</t>
  </si>
  <si>
    <t>CUST101728</t>
  </si>
  <si>
    <t>Gordon Obongo</t>
  </si>
  <si>
    <t>Masai Lodge Ltd</t>
  </si>
  <si>
    <t>finance@maasailodge.com</t>
  </si>
  <si>
    <t>0721637630</t>
  </si>
  <si>
    <t>CUST100598</t>
  </si>
  <si>
    <t>Ayoob Bashir</t>
  </si>
  <si>
    <t>Master Power Systems</t>
  </si>
  <si>
    <t>accounts@masterpowers.com</t>
  </si>
  <si>
    <t>0722643146</t>
  </si>
  <si>
    <t>CUST100601</t>
  </si>
  <si>
    <t>accounts1@masterpowers.com</t>
  </si>
  <si>
    <t>FARIDA WANYOIKE</t>
  </si>
  <si>
    <t>Mater Hospital</t>
  </si>
  <si>
    <t>fwanyoike@materkenya.com</t>
  </si>
  <si>
    <t>0706497597</t>
  </si>
  <si>
    <t>CUST100604</t>
  </si>
  <si>
    <t>smbai@materkenya.com</t>
  </si>
  <si>
    <t>Judith Syokau</t>
  </si>
  <si>
    <t>Matungulu Medical Health and Wellness Centre</t>
  </si>
  <si>
    <t>admin@matungulumedical.co.ke</t>
  </si>
  <si>
    <t>0723715180</t>
  </si>
  <si>
    <t>CUST102388</t>
  </si>
  <si>
    <t>Cash Sales</t>
  </si>
  <si>
    <t>Gladys</t>
  </si>
  <si>
    <t>Mbuzi Foods Ltd</t>
  </si>
  <si>
    <t>CUST100610</t>
  </si>
  <si>
    <t>lizk@mbuzimunch.com</t>
  </si>
  <si>
    <t>Hillary Ochieng</t>
  </si>
  <si>
    <t>hillary@mbuzimunch.com</t>
  </si>
  <si>
    <t>0713372712</t>
  </si>
  <si>
    <t>Jackline</t>
  </si>
  <si>
    <t>0723868686</t>
  </si>
  <si>
    <t>Liz</t>
  </si>
  <si>
    <t>0792716761</t>
  </si>
  <si>
    <t>Mbuzi Foods - Galleria</t>
  </si>
  <si>
    <t>Nicholas</t>
  </si>
  <si>
    <t>Kenneth Wambugu</t>
  </si>
  <si>
    <t>Mediheal Hospital</t>
  </si>
  <si>
    <t>payable2.nkr@medihealgroup.com</t>
  </si>
  <si>
    <t>CUST100613</t>
  </si>
  <si>
    <t>Elijah Onsongo</t>
  </si>
  <si>
    <t>Meekline Limited</t>
  </si>
  <si>
    <t>meeklinelimited@gmail.com</t>
  </si>
  <si>
    <t>0722266069</t>
  </si>
  <si>
    <t>CUST102505</t>
  </si>
  <si>
    <t>Meridian Hotel</t>
  </si>
  <si>
    <t>CUST100617</t>
  </si>
  <si>
    <t>accounts@meridianhotelkenya.com</t>
  </si>
  <si>
    <t>Eric Kyalo</t>
  </si>
  <si>
    <t>Stella Kaburu</t>
  </si>
  <si>
    <t>hke@meridianhotelkenya.com</t>
  </si>
  <si>
    <t>+254 734 313 998</t>
  </si>
  <si>
    <t>Frank Mutuma</t>
  </si>
  <si>
    <t>Meru Slopes Hotel Limited</t>
  </si>
  <si>
    <t>frankiemutuma@gmail.com</t>
  </si>
  <si>
    <t>0726497391</t>
  </si>
  <si>
    <t>CUST102820</t>
  </si>
  <si>
    <t>accounts@meruslopeshotel.com</t>
  </si>
  <si>
    <t>Christine Wambui</t>
  </si>
  <si>
    <t>Metro Cleaners &amp; Renovators Ltd</t>
  </si>
  <si>
    <t>procurement.stores@metrocleaners.co.ke</t>
  </si>
  <si>
    <t>0722651682</t>
  </si>
  <si>
    <t>CUST100618</t>
  </si>
  <si>
    <t>info@metrocleaners.com</t>
  </si>
  <si>
    <t>Edith</t>
  </si>
  <si>
    <t>Annabel Chesire</t>
  </si>
  <si>
    <t>Midland Hotel Ltd</t>
  </si>
  <si>
    <t>annabel.chesire@gmail.com</t>
  </si>
  <si>
    <t>0720605046</t>
  </si>
  <si>
    <t>CUST100619</t>
  </si>
  <si>
    <t>stores@midlandhotel.co.ke</t>
  </si>
  <si>
    <t>Annabel chesire</t>
  </si>
  <si>
    <t>Josphine Sasuka</t>
  </si>
  <si>
    <t>Milachem Tanzania limited</t>
  </si>
  <si>
    <t>salesrep@milachem.com</t>
  </si>
  <si>
    <t>+255767951979</t>
  </si>
  <si>
    <t>CUST100621</t>
  </si>
  <si>
    <t>Tanzania</t>
  </si>
  <si>
    <t>Mercy Mugo</t>
  </si>
  <si>
    <t>Millbrook International School</t>
  </si>
  <si>
    <t>mercy.mugo@millbrookschool.co.ke</t>
  </si>
  <si>
    <t>CUST101907</t>
  </si>
  <si>
    <t>Tabitha Wamuyu</t>
  </si>
  <si>
    <t>secretary@millbrookschool.co.ke</t>
  </si>
  <si>
    <t>0740779580</t>
  </si>
  <si>
    <t>Emily Nyaega</t>
  </si>
  <si>
    <t>Minet Kenya Insurance Brokers Limited</t>
  </si>
  <si>
    <t>emily.nyaega@aon.co.ke</t>
  </si>
  <si>
    <t>CUST100626</t>
  </si>
  <si>
    <t>susan.waweru@minet.co.ke</t>
  </si>
  <si>
    <t>Gladys Erude</t>
  </si>
  <si>
    <t>gladys.erude@minet.co.ke</t>
  </si>
  <si>
    <t>0725619945</t>
  </si>
  <si>
    <t>Brenda Mwaura</t>
  </si>
  <si>
    <t>Mission Aviation Fellowship</t>
  </si>
  <si>
    <t>brenda.mwaura@mafint.org</t>
  </si>
  <si>
    <t>CUST100627</t>
  </si>
  <si>
    <t>sharon.toroitich@mafint.org</t>
  </si>
  <si>
    <t>Maf-Kenya</t>
  </si>
  <si>
    <t>020 6007051</t>
  </si>
  <si>
    <t>Sonal Patel</t>
  </si>
  <si>
    <t>Mitsumi Business Park</t>
  </si>
  <si>
    <t>sonal@mitsumidistribution.com</t>
  </si>
  <si>
    <t>0733134547</t>
  </si>
  <si>
    <t>CUST100628</t>
  </si>
  <si>
    <t>rupesh@mitsumidistribution.com</t>
  </si>
  <si>
    <t>Vinita Veghela</t>
  </si>
  <si>
    <t>vinitajmd18@gmail.com</t>
  </si>
  <si>
    <t>Kunal Modi</t>
  </si>
  <si>
    <t>Modi Distributors Ltd</t>
  </si>
  <si>
    <t>kunal@modidistributors.com</t>
  </si>
  <si>
    <t>0701570071</t>
  </si>
  <si>
    <t>CUST100630</t>
  </si>
  <si>
    <t>Modways Investments</t>
  </si>
  <si>
    <t>joel.simiyu@ke.knightfrank.com</t>
  </si>
  <si>
    <t>CUST100631</t>
  </si>
  <si>
    <t>Sharon.Cheptoo@ke.knightfrank.com</t>
  </si>
  <si>
    <t>Ruth</t>
  </si>
  <si>
    <t>fatma Mohammed</t>
  </si>
  <si>
    <t>Mombasa Blue Room Limited</t>
  </si>
  <si>
    <t>fatma.br29@gmail.com</t>
  </si>
  <si>
    <t>0718757979</t>
  </si>
  <si>
    <t>CUST100633</t>
  </si>
  <si>
    <t>blueroom@blueroomonline.com</t>
  </si>
  <si>
    <t>Isaac Kyalo</t>
  </si>
  <si>
    <t>Mombasa Island Cargo Terminal Holdings Ltd C/O square metre consultants ltd</t>
  </si>
  <si>
    <t>isaac.kyalo@squaremetre.co.ke</t>
  </si>
  <si>
    <t>0742701020</t>
  </si>
  <si>
    <t>CUST103330</t>
  </si>
  <si>
    <t>finance@squaremetre.co.ke</t>
  </si>
  <si>
    <t>Irene Kathungu</t>
  </si>
  <si>
    <t>Moringa School Limited</t>
  </si>
  <si>
    <t>irene.kathungu@moringaschool.com</t>
  </si>
  <si>
    <t>0702532149</t>
  </si>
  <si>
    <t>CUST101473</t>
  </si>
  <si>
    <t>Julia Kimani</t>
  </si>
  <si>
    <t>Morningside Office Park Ltd</t>
  </si>
  <si>
    <t>julia.kimani@morningsideofficepark.com</t>
  </si>
  <si>
    <t>254 20 2307285</t>
  </si>
  <si>
    <t>CUST100636</t>
  </si>
  <si>
    <t>emma.kinyua@morningsideofficepark.com</t>
  </si>
  <si>
    <t>Rose Wanjiku</t>
  </si>
  <si>
    <t>Mount Kenya Academy</t>
  </si>
  <si>
    <t>rosewanjiku@mtkenyaacademy.ac.ke</t>
  </si>
  <si>
    <t>0720437387</t>
  </si>
  <si>
    <t>CUST102212</t>
  </si>
  <si>
    <t>Peter Wesonga</t>
  </si>
  <si>
    <t>Mt. Kenya Safari Club</t>
  </si>
  <si>
    <t>peter.wesonga@fairmont.com</t>
  </si>
  <si>
    <t>CUST100639</t>
  </si>
  <si>
    <t>Anna Mungue</t>
  </si>
  <si>
    <t>Mudi Supplies</t>
  </si>
  <si>
    <t>anamimungoe@gmail.com</t>
  </si>
  <si>
    <t>0727049944</t>
  </si>
  <si>
    <t>CUST100641</t>
  </si>
  <si>
    <t>Abdullahi Mohamed</t>
  </si>
  <si>
    <t>MugShot cafe Limited</t>
  </si>
  <si>
    <t>mugshocafelimited@gmail.com</t>
  </si>
  <si>
    <t>0723380848</t>
  </si>
  <si>
    <t>CUST102702</t>
  </si>
  <si>
    <t>mugshotcafelimited@gmail.com</t>
  </si>
  <si>
    <t>Christine Mwangi</t>
  </si>
  <si>
    <t>Mugoya Vegetables</t>
  </si>
  <si>
    <t>mugoyavegetableshopltd@yahoo.com</t>
  </si>
  <si>
    <t>CUST100642</t>
  </si>
  <si>
    <t>David David</t>
  </si>
  <si>
    <t>Mummy'S Fast Food Narok</t>
  </si>
  <si>
    <t>0720548969</t>
  </si>
  <si>
    <t>CUST100644</t>
  </si>
  <si>
    <t>Patrick Mburu</t>
  </si>
  <si>
    <t>Munga Investments Ltd C/O Knight Frank</t>
  </si>
  <si>
    <t>Patrick.Mburu@ke.knightfrank.com</t>
  </si>
  <si>
    <t>0727146392</t>
  </si>
  <si>
    <t>CUST100645</t>
  </si>
  <si>
    <t>patrick.mburu@ke.knightfrank.com</t>
  </si>
  <si>
    <t>Gachau Gitura</t>
  </si>
  <si>
    <t>Murabani General supplies</t>
  </si>
  <si>
    <t>0711 947867</t>
  </si>
  <si>
    <t>CUST102497</t>
  </si>
  <si>
    <t>paulgathuragachau@gmail.com</t>
  </si>
  <si>
    <t>Rita mumbe</t>
  </si>
  <si>
    <t>Mustek East Africa Ltd</t>
  </si>
  <si>
    <t>ritam@mustek.co.ke</t>
  </si>
  <si>
    <t>0722390024</t>
  </si>
  <si>
    <t>CUST100647</t>
  </si>
  <si>
    <t>RitaM@mustek.co.ke</t>
  </si>
  <si>
    <t>Faith Kanana</t>
  </si>
  <si>
    <t>Muthaiga Country Club</t>
  </si>
  <si>
    <t>fkanana@mcc.co.ke</t>
  </si>
  <si>
    <t>+25420 7229000</t>
  </si>
  <si>
    <t>CUST100648</t>
  </si>
  <si>
    <t>mutua@mcc.co.ke</t>
  </si>
  <si>
    <t>Bernice Ntiritu</t>
  </si>
  <si>
    <t>Muthaiga Road Trust Co. C/O Regent Management Ltd.</t>
  </si>
  <si>
    <t>bntiritu@regent-mgt.com</t>
  </si>
  <si>
    <t>CUST100650</t>
  </si>
  <si>
    <t>Wanjiru Fidelis</t>
  </si>
  <si>
    <t>Mvule Catering Department</t>
  </si>
  <si>
    <t>mvulecateringdepartment@gmail.com</t>
  </si>
  <si>
    <t>0792903439</t>
  </si>
  <si>
    <t>CUST100652</t>
  </si>
  <si>
    <t>mrs Veronica</t>
  </si>
  <si>
    <t>0742372483</t>
  </si>
  <si>
    <t>Mr Simon</t>
  </si>
  <si>
    <t>My Select Limited</t>
  </si>
  <si>
    <t>0724407618</t>
  </si>
  <si>
    <t>CUST102557</t>
  </si>
  <si>
    <t>sammymuchemie@yahoo.com</t>
  </si>
  <si>
    <t>Charles Kabui</t>
  </si>
  <si>
    <t>NCBA Bank Kenya Plc</t>
  </si>
  <si>
    <t>charles.kabui@ncbagroup.com</t>
  </si>
  <si>
    <t>CUST100670</t>
  </si>
  <si>
    <t>Purity.Ngunjiri@ncbagroup.com</t>
  </si>
  <si>
    <t>Derrick Muindi</t>
  </si>
  <si>
    <t>derrick.muindi@ncbagroup.com</t>
  </si>
  <si>
    <t>0712296401</t>
  </si>
  <si>
    <t>catherine Wangari</t>
  </si>
  <si>
    <t>Nadiah Investments Ltd</t>
  </si>
  <si>
    <t>nadiahinvestments@gmail.com</t>
  </si>
  <si>
    <t>0722842782</t>
  </si>
  <si>
    <t>CUST100654</t>
  </si>
  <si>
    <t>Sharon Muriithi</t>
  </si>
  <si>
    <t>Nairobi Bottlers Ltd</t>
  </si>
  <si>
    <t>smuriithi2@ccbagroup.com</t>
  </si>
  <si>
    <t>0721353039</t>
  </si>
  <si>
    <t>CUST100655</t>
  </si>
  <si>
    <t>fkaunda@ccbagroup.com</t>
  </si>
  <si>
    <t>Betty Orlendo</t>
  </si>
  <si>
    <t>Nairobi Club</t>
  </si>
  <si>
    <t>tos@nairobiclub.com</t>
  </si>
  <si>
    <t>CUST100656</t>
  </si>
  <si>
    <t>info@nairobiclub.com</t>
  </si>
  <si>
    <t>Rosemary Mugoga</t>
  </si>
  <si>
    <t>Nairobi Ear, Nose Throat Clinic</t>
  </si>
  <si>
    <t>rosemary.mugogo@nairobientclinic.com</t>
  </si>
  <si>
    <t>0727649483</t>
  </si>
  <si>
    <t>CUST100657</t>
  </si>
  <si>
    <t>info@nairobientclinic.com</t>
  </si>
  <si>
    <t>Joseph Karanja</t>
  </si>
  <si>
    <t>Nairobi Safari Club</t>
  </si>
  <si>
    <t>accounts@nairobisafariclub.com</t>
  </si>
  <si>
    <t>CUST100661</t>
  </si>
  <si>
    <t>Prakash Saini</t>
  </si>
  <si>
    <t>Nairobi West Hospital Limited</t>
  </si>
  <si>
    <t>prakash.saini@nairobiwesthospital.com</t>
  </si>
  <si>
    <t>CUST101884</t>
  </si>
  <si>
    <t>Mr. Raphael</t>
  </si>
  <si>
    <t>Naisula School</t>
  </si>
  <si>
    <t>accountant@naisulaschool.com</t>
  </si>
  <si>
    <t>0720572814</t>
  </si>
  <si>
    <t>CUST100663</t>
  </si>
  <si>
    <t>Isinya</t>
  </si>
  <si>
    <t>accountant@naisulaschool.ac.ke</t>
  </si>
  <si>
    <t>Joel Mwamburi</t>
  </si>
  <si>
    <t>Nampak Kenya Ltd</t>
  </si>
  <si>
    <t>joel.mwamburi@nampak.com</t>
  </si>
  <si>
    <t>+254 20 2365101/2</t>
  </si>
  <si>
    <t>CUST100666</t>
  </si>
  <si>
    <t>julius.mboya@nampak.com</t>
  </si>
  <si>
    <t>Julius Mboya</t>
  </si>
  <si>
    <t>Collins Maiyo</t>
  </si>
  <si>
    <t>Nanyuki Cottage Hospital</t>
  </si>
  <si>
    <t>procurement@nanyukicotthosp.org</t>
  </si>
  <si>
    <t>0622032207</t>
  </si>
  <si>
    <t>CUST101396</t>
  </si>
  <si>
    <t>Esther Karongo</t>
  </si>
  <si>
    <t>Nas Airport Services Ltd</t>
  </si>
  <si>
    <t>esther.karongo@servair.co.ke</t>
  </si>
  <si>
    <t>CUST100668</t>
  </si>
  <si>
    <t>Hassan Ziro</t>
  </si>
  <si>
    <t>hassan.ziro@servair.co.ke</t>
  </si>
  <si>
    <t>0758727091</t>
  </si>
  <si>
    <t>Paul Ochieng</t>
  </si>
  <si>
    <t>procurement.nas@servair.co.ke</t>
  </si>
  <si>
    <t>0737488312</t>
  </si>
  <si>
    <t>George Isiche</t>
  </si>
  <si>
    <t>Neatcare Cleaning Services Ltd</t>
  </si>
  <si>
    <t>george.isiche@neatcare.co.ke</t>
  </si>
  <si>
    <t>CUST100673</t>
  </si>
  <si>
    <t>neatcare2006@gmail.com</t>
  </si>
  <si>
    <t>Dan Msingo</t>
  </si>
  <si>
    <t>Nedam Services Ltd</t>
  </si>
  <si>
    <t>info@nedamservices.co.ke</t>
  </si>
  <si>
    <t>CUST100674</t>
  </si>
  <si>
    <t>winnie Njuguna</t>
  </si>
  <si>
    <t>New Muthokinju Hardware Ltd</t>
  </si>
  <si>
    <t>procurement@muthokinju.co.ke</t>
  </si>
  <si>
    <t>CUST100678</t>
  </si>
  <si>
    <t>Mehul Shah</t>
  </si>
  <si>
    <t>New Westlands Store Ltd</t>
  </si>
  <si>
    <t>admin@newwestlands.co.ke</t>
  </si>
  <si>
    <t>0703790444</t>
  </si>
  <si>
    <t>CUST100679</t>
  </si>
  <si>
    <t>Nancy Mwangi</t>
  </si>
  <si>
    <t>Ngewa Ltd</t>
  </si>
  <si>
    <t>store@summerdaleinn.com</t>
  </si>
  <si>
    <t>0795905741</t>
  </si>
  <si>
    <t>CUST100680</t>
  </si>
  <si>
    <t>Ouma Mungai</t>
  </si>
  <si>
    <t>ouma.mungai@summerdaleinn.com</t>
  </si>
  <si>
    <t>Ann Muthoni</t>
  </si>
  <si>
    <t>Ngong Hills Hotel</t>
  </si>
  <si>
    <t>0715529041</t>
  </si>
  <si>
    <t>CUST100682</t>
  </si>
  <si>
    <t>lydia@ngonghillshotel.com</t>
  </si>
  <si>
    <t>Benson Gathuku</t>
  </si>
  <si>
    <t>Nhif Staff Retirement Benefits Scheme</t>
  </si>
  <si>
    <t>bgathuku@crystalvaluers.com</t>
  </si>
  <si>
    <t>CUST100685</t>
  </si>
  <si>
    <t>riaracorporatesuites@gmail.com</t>
  </si>
  <si>
    <t>Kariuki</t>
  </si>
  <si>
    <t>Nibs Resort Co Ltd</t>
  </si>
  <si>
    <t>proc@emoryhotel.co.ke</t>
  </si>
  <si>
    <t>CUST100686</t>
  </si>
  <si>
    <t>kenneth Nzomo</t>
  </si>
  <si>
    <t>Nodor Kenya Epz Ltd</t>
  </si>
  <si>
    <t>ken@nodor-darts.com</t>
  </si>
  <si>
    <t>CUST100691</t>
  </si>
  <si>
    <t>oscar@nodor-darts.com; rebecca@nodor-darts.com</t>
  </si>
  <si>
    <t>Doris Kanini</t>
  </si>
  <si>
    <t>Nokras Enkare Luxury Tented Camp</t>
  </si>
  <si>
    <t>info@nokrasriverine.co.ke</t>
  </si>
  <si>
    <t>CUST101920</t>
  </si>
  <si>
    <t>Sagana</t>
  </si>
  <si>
    <t>Esther Waruingi</t>
  </si>
  <si>
    <t>procurements@nokrassilveroak.co.ke</t>
  </si>
  <si>
    <t>Jackson Mwangi</t>
  </si>
  <si>
    <t>nunua@nokrasenkare.co.ke</t>
  </si>
  <si>
    <t>Ann Ngina</t>
  </si>
  <si>
    <t>Nokras Riverine Limited</t>
  </si>
  <si>
    <t>angina@nokrasriverine.co.ke</t>
  </si>
  <si>
    <t>0724815201</t>
  </si>
  <si>
    <t>CUST100692</t>
  </si>
  <si>
    <t>info@hotelnorkas.co.ke</t>
  </si>
  <si>
    <t>Sidney Myall</t>
  </si>
  <si>
    <t>Nook pop up Limited</t>
  </si>
  <si>
    <t>thenooknanyuki@gmail.com</t>
  </si>
  <si>
    <t>CUST101423</t>
  </si>
  <si>
    <t>Gloria Wambugu</t>
  </si>
  <si>
    <t>Norfolk Hotel</t>
  </si>
  <si>
    <t>gloria.wambugu@fairmont.com</t>
  </si>
  <si>
    <t>CUST100693</t>
  </si>
  <si>
    <t>mercy.ndungu@fairmont.com</t>
  </si>
  <si>
    <t>Kelvin Mwangi</t>
  </si>
  <si>
    <t>kelvin.mwangi@fairmont.com</t>
  </si>
  <si>
    <t>Eva Kathambi</t>
  </si>
  <si>
    <t>Northend Estates Ltd C/O Knight Frank Kenya Ltd</t>
  </si>
  <si>
    <t>Eva.Kathambi@ke.knightfrank.com</t>
  </si>
  <si>
    <t>0716493141</t>
  </si>
  <si>
    <t>CUST100695</t>
  </si>
  <si>
    <t>Evar</t>
  </si>
  <si>
    <t>Bervely Mueni</t>
  </si>
  <si>
    <t>Nova Group Ltd</t>
  </si>
  <si>
    <t>bmueni@novapioneer.com</t>
  </si>
  <si>
    <t>0740022827</t>
  </si>
  <si>
    <t>CUST100697</t>
  </si>
  <si>
    <t>info@novaacademies.com</t>
  </si>
  <si>
    <t>Julie Chege</t>
  </si>
  <si>
    <t>Nova Holdings LTD</t>
  </si>
  <si>
    <t>0701813163</t>
  </si>
  <si>
    <t>CUST101847</t>
  </si>
  <si>
    <t>ashok@doshigroup.biz</t>
  </si>
  <si>
    <t>Julie Wairimu</t>
  </si>
  <si>
    <t>julie.wairimu@novaholdings.co.ke</t>
  </si>
  <si>
    <t>Willie Chege</t>
  </si>
  <si>
    <t>willie.chege@gmail.com</t>
  </si>
  <si>
    <t>+254723010567</t>
  </si>
  <si>
    <t>Ian Mureithi</t>
  </si>
  <si>
    <t>Oak Place Conference And Training Centre Ltd</t>
  </si>
  <si>
    <t>procurement@oakplace.co.ke</t>
  </si>
  <si>
    <t>CUST100699</t>
  </si>
  <si>
    <t>Ian Muriethi</t>
  </si>
  <si>
    <t>ps4boo@gmail.com</t>
  </si>
  <si>
    <t>0701560274</t>
  </si>
  <si>
    <t>Geoffrey Onguti</t>
  </si>
  <si>
    <t>Obradleys Investments Ltd</t>
  </si>
  <si>
    <t>geoffrey.onguti@obradleys.com</t>
  </si>
  <si>
    <t>0717326253</t>
  </si>
  <si>
    <t>CUST100701</t>
  </si>
  <si>
    <t>info@obradleys.com</t>
  </si>
  <si>
    <t>Pauline Nyambura</t>
  </si>
  <si>
    <t>Oksana Investment Supplies LTD</t>
  </si>
  <si>
    <t>paulinenyambura73@gmail.com</t>
  </si>
  <si>
    <t>CUST101488</t>
  </si>
  <si>
    <t>Emma Gathoni</t>
  </si>
  <si>
    <t>Ol Tukai Lodge Limited</t>
  </si>
  <si>
    <t>egathoni@oltukailodge.com</t>
  </si>
  <si>
    <t>0735429814</t>
  </si>
  <si>
    <t>CUST100703</t>
  </si>
  <si>
    <t>rwaweru@oltukailodge.com</t>
  </si>
  <si>
    <t>Grace Hinga</t>
  </si>
  <si>
    <t>One Way Cleaning Services Ltd - Lavington</t>
  </si>
  <si>
    <t>accounts.oneway@onewaycleaning.co.ke</t>
  </si>
  <si>
    <t>0725537528</t>
  </si>
  <si>
    <t>CUST100708</t>
  </si>
  <si>
    <t>kendi@onewayfacilities.co.ke</t>
  </si>
  <si>
    <t>Wycliff Nyambane</t>
  </si>
  <si>
    <t>procurement@onewayfacilities.co.ke</t>
  </si>
  <si>
    <t>Pascaline Muiruri</t>
  </si>
  <si>
    <t>One Way Cleaning Services Ltd-One Waykahawa Sukari</t>
  </si>
  <si>
    <t>mugure.procurement@onewaycleaning.coke</t>
  </si>
  <si>
    <t>0729234174</t>
  </si>
  <si>
    <t>CUST100709</t>
  </si>
  <si>
    <t>john.accounts@onewaycleaning.co.ke</t>
  </si>
  <si>
    <t>Emily Kanyua</t>
  </si>
  <si>
    <t>Optica Ltd</t>
  </si>
  <si>
    <t>emily@optica.africa</t>
  </si>
  <si>
    <t>0709709406</t>
  </si>
  <si>
    <t>CUST100711</t>
  </si>
  <si>
    <t>marione@optica.co.ke</t>
  </si>
  <si>
    <t>Anne Ngichu</t>
  </si>
  <si>
    <t>Oshwal Education &amp; Relief Board</t>
  </si>
  <si>
    <t>anne.ngichu@oerb.org</t>
  </si>
  <si>
    <t>0735888845</t>
  </si>
  <si>
    <t>CUST100712</t>
  </si>
  <si>
    <t>payables@oerb.org</t>
  </si>
  <si>
    <t>Mihir Shah</t>
  </si>
  <si>
    <t>mihir.shah@oerb.org</t>
  </si>
  <si>
    <t>+254735905460</t>
  </si>
  <si>
    <t>Parvi Karania</t>
  </si>
  <si>
    <t>parvi.karania@oerb.org</t>
  </si>
  <si>
    <t>Vincent Kwendo</t>
  </si>
  <si>
    <t>Oshwal Education &amp; Relief Board - Mombasa</t>
  </si>
  <si>
    <t>vincent.kwendo@oshwalacademy.sc.ke</t>
  </si>
  <si>
    <t>0714952892</t>
  </si>
  <si>
    <t>CUST101433</t>
  </si>
  <si>
    <t>serah.mutisya@oshwalacademy.sc.ke</t>
  </si>
  <si>
    <t>naomi njoki</t>
  </si>
  <si>
    <t>naomi.kiigi@oshwalacademy.sc.ke</t>
  </si>
  <si>
    <t>Gladys Malaba</t>
  </si>
  <si>
    <t>Outlook Limited</t>
  </si>
  <si>
    <t>Get_In_Touch@outlookindex.co.ke</t>
  </si>
  <si>
    <t>CUST101843</t>
  </si>
  <si>
    <t>Mahi Mahiu</t>
  </si>
  <si>
    <t>grace.wangui@outlookltd.co.ke</t>
  </si>
  <si>
    <t>Sarah Kinuthia</t>
  </si>
  <si>
    <t>admin.assistant@outlookltd.co.ke</t>
  </si>
  <si>
    <t>Justine Ongubo</t>
  </si>
  <si>
    <t>PZ Cussons E.A Ltd</t>
  </si>
  <si>
    <t>justine.ongubo@pzcussons.com</t>
  </si>
  <si>
    <t>CUST100773</t>
  </si>
  <si>
    <t>Mr. Sekar</t>
  </si>
  <si>
    <t>0734-652030</t>
  </si>
  <si>
    <t>Samuel Kilonzo</t>
  </si>
  <si>
    <t>samuel.kilonzo@pzcussons.com</t>
  </si>
  <si>
    <t>0709866000</t>
  </si>
  <si>
    <t>Jacob</t>
  </si>
  <si>
    <t>Pacis Insurance Company Limited</t>
  </si>
  <si>
    <t>0724681795</t>
  </si>
  <si>
    <t>CUST101929</t>
  </si>
  <si>
    <t>snyakowa@paciskenya.com</t>
  </si>
  <si>
    <t>Jesse</t>
  </si>
  <si>
    <t>Palacina Developments Ltd</t>
  </si>
  <si>
    <t>purchasing@palacina.com</t>
  </si>
  <si>
    <t>0711126422</t>
  </si>
  <si>
    <t>CUST100717</t>
  </si>
  <si>
    <t>info@palacina.com</t>
  </si>
  <si>
    <t>Susan</t>
  </si>
  <si>
    <t>Jens Schmidt</t>
  </si>
  <si>
    <t>Paletas Foods Ltd</t>
  </si>
  <si>
    <t>mgelato4@gmail.com</t>
  </si>
  <si>
    <t>07 02 36 20 18</t>
  </si>
  <si>
    <t>CUST103240</t>
  </si>
  <si>
    <t>Ezekiel Mwangi</t>
  </si>
  <si>
    <t>Panafric Hotel</t>
  </si>
  <si>
    <t>ezekiel.mwangi@sarovahotels.com</t>
  </si>
  <si>
    <t>0733408670</t>
  </si>
  <si>
    <t>CUST100719</t>
  </si>
  <si>
    <t>Valley Road</t>
  </si>
  <si>
    <t>joseph.nyakwaka@sarovahotels.com</t>
  </si>
  <si>
    <t>Joseph Nyakwaka</t>
  </si>
  <si>
    <t>0720751656</t>
  </si>
  <si>
    <t>Adam Jemeni</t>
  </si>
  <si>
    <t>Pancrasiah Laswai</t>
  </si>
  <si>
    <t>adam.jemeni@gmail.com</t>
  </si>
  <si>
    <t>CUST100720</t>
  </si>
  <si>
    <t>Evans Evans</t>
  </si>
  <si>
    <t>Pandya Hospital</t>
  </si>
  <si>
    <t>customers@pandyahospital.org</t>
  </si>
  <si>
    <t>0720201944</t>
  </si>
  <si>
    <t>CUST100722</t>
  </si>
  <si>
    <t>Henry Longei</t>
  </si>
  <si>
    <t>hlongei@pandyahospital.org</t>
  </si>
  <si>
    <t>0701314141</t>
  </si>
  <si>
    <t>Zakirr Zakirr</t>
  </si>
  <si>
    <t>procurement@pandyahospital.org</t>
  </si>
  <si>
    <t>0710342882</t>
  </si>
  <si>
    <t>Isabel</t>
  </si>
  <si>
    <t>Paprika Limited</t>
  </si>
  <si>
    <t>CUST100724</t>
  </si>
  <si>
    <t>procurement@paprika.co.ke</t>
  </si>
  <si>
    <t>Peter Macharia</t>
  </si>
  <si>
    <t>Peter kariuki</t>
  </si>
  <si>
    <t>accounts@paprika.co.ke</t>
  </si>
  <si>
    <t>Cate Munini</t>
  </si>
  <si>
    <t>Paradise Gallery</t>
  </si>
  <si>
    <t>catherine.m@gmail.com</t>
  </si>
  <si>
    <t>0713516113</t>
  </si>
  <si>
    <t>CUST100725</t>
  </si>
  <si>
    <t>PARADISE.GALLERY@YAHOO.COM</t>
  </si>
  <si>
    <t>Munini munini</t>
  </si>
  <si>
    <t>Catherine Gathoni</t>
  </si>
  <si>
    <t>Paradise Safari Park Limited</t>
  </si>
  <si>
    <t>cgathoni@safariparkhotel.co.ke</t>
  </si>
  <si>
    <t>0721138953</t>
  </si>
  <si>
    <t>CUST100726</t>
  </si>
  <si>
    <t>rbrenda@safariparkhotel.co.ke</t>
  </si>
  <si>
    <t>Parapet Limited</t>
  </si>
  <si>
    <t>0727447549</t>
  </si>
  <si>
    <t>CUST100727</t>
  </si>
  <si>
    <t>stores@parapetcleaning.com</t>
  </si>
  <si>
    <t>Francis Gathumbi</t>
  </si>
  <si>
    <t>fgatumbi@parapetcleaning.com</t>
  </si>
  <si>
    <t>0723575038</t>
  </si>
  <si>
    <t>Kenton Isalambo</t>
  </si>
  <si>
    <t>0723650219</t>
  </si>
  <si>
    <t>Alex Kamau</t>
  </si>
  <si>
    <t>Parklands Sports Club</t>
  </si>
  <si>
    <t>payables@parklandssportsclub.org</t>
  </si>
  <si>
    <t>0718289915</t>
  </si>
  <si>
    <t>CUST100728</t>
  </si>
  <si>
    <t>0733438169</t>
  </si>
  <si>
    <t>Emma Mwake</t>
  </si>
  <si>
    <t>ahm@parklandssportsclub.org</t>
  </si>
  <si>
    <t>0722496490</t>
  </si>
  <si>
    <t>Stephen Kariuki</t>
  </si>
  <si>
    <t>procurement@parklandssportsclub.org</t>
  </si>
  <si>
    <t>0727278666</t>
  </si>
  <si>
    <t>mrs Emma</t>
  </si>
  <si>
    <t>Peachhedge Africa Ltd</t>
  </si>
  <si>
    <t>hygiene.ke@outlook.com</t>
  </si>
  <si>
    <t>0721594395</t>
  </si>
  <si>
    <t>CUST100732</t>
  </si>
  <si>
    <t>Eunice</t>
  </si>
  <si>
    <t>Penda Health Ltd</t>
  </si>
  <si>
    <t>0724742263</t>
  </si>
  <si>
    <t>CUST100736</t>
  </si>
  <si>
    <t>jacqueline.manyara@pendahealth.com</t>
  </si>
  <si>
    <t>Jecinta Wanyagi</t>
  </si>
  <si>
    <t>jecinta.wanyagi@pendahealth.com</t>
  </si>
  <si>
    <t>+254 722 336 634</t>
  </si>
  <si>
    <t>Patience munialo</t>
  </si>
  <si>
    <t>procurementinfo@pendahealth.com</t>
  </si>
  <si>
    <t>0207909045</t>
  </si>
  <si>
    <t>Victor Amollo</t>
  </si>
  <si>
    <t>Petals Hygiene &amp; Sanitation Services Limited</t>
  </si>
  <si>
    <t>victor.amollo@petalshygiene.co.ke</t>
  </si>
  <si>
    <t>CUST100738</t>
  </si>
  <si>
    <t>Selinah Gathure</t>
  </si>
  <si>
    <t>Pharmaccess Foundation</t>
  </si>
  <si>
    <t>office@pharmaccess.or.ke</t>
  </si>
  <si>
    <t>CUST100742</t>
  </si>
  <si>
    <t>finance@pharmaccess.or.ke</t>
  </si>
  <si>
    <t>George Oloo</t>
  </si>
  <si>
    <t>Phoenix Aviation Limited</t>
  </si>
  <si>
    <t>GOloo@phoenixaviation.co.ke</t>
  </si>
  <si>
    <t>CUST100743</t>
  </si>
  <si>
    <t>Mary@phoenixaviation.co.ke</t>
  </si>
  <si>
    <t>Paresh Patel</t>
  </si>
  <si>
    <t>Phoenix Timber And Hardware Ltd</t>
  </si>
  <si>
    <t>phoenixtimber@gmail.com</t>
  </si>
  <si>
    <t>0713684040</t>
  </si>
  <si>
    <t>CUST100744</t>
  </si>
  <si>
    <t>anthony JAMES</t>
  </si>
  <si>
    <t>Pimento Products</t>
  </si>
  <si>
    <t>ajhd1@gmail.com</t>
  </si>
  <si>
    <t>+254 724 589565</t>
  </si>
  <si>
    <t>CUST102246</t>
  </si>
  <si>
    <t>ajhd01@gmail.com</t>
  </si>
  <si>
    <t>Paul Kariuki</t>
  </si>
  <si>
    <t>Pinewood Beach Resort And Spa</t>
  </si>
  <si>
    <t>accounts2@pinewood-beach.com</t>
  </si>
  <si>
    <t>0726721146</t>
  </si>
  <si>
    <t>CUST100746</t>
  </si>
  <si>
    <t>accounts@pinewood-beach.com</t>
  </si>
  <si>
    <t>Arif Khan</t>
  </si>
  <si>
    <t>Placid View Properties Ltd</t>
  </si>
  <si>
    <t>akhan@ole-serenihotel.com</t>
  </si>
  <si>
    <t>0732191000</t>
  </si>
  <si>
    <t>CUST100749</t>
  </si>
  <si>
    <t>swachira@ole-serenihotel.com</t>
  </si>
  <si>
    <t>Bhauti Jethwa</t>
  </si>
  <si>
    <t>bjethwa@ole-serenihotel.com</t>
  </si>
  <si>
    <t>Kevin Barron</t>
  </si>
  <si>
    <t>kbarron@ole-serenihotel.com</t>
  </si>
  <si>
    <t>0792515167</t>
  </si>
  <si>
    <t>Patrick Gitagama</t>
  </si>
  <si>
    <t>pgitagama@ole-serenihotel.com</t>
  </si>
  <si>
    <t>0731436170</t>
  </si>
  <si>
    <t>Priscilla Njeri</t>
  </si>
  <si>
    <t>pmuiga@ole-serenihotel.com</t>
  </si>
  <si>
    <t>Tirus Wangati</t>
  </si>
  <si>
    <t>twangati@ole-serenihotel.com</t>
  </si>
  <si>
    <t>254 732 191000</t>
  </si>
  <si>
    <t>Waweru</t>
  </si>
  <si>
    <t>0731 436522</t>
  </si>
  <si>
    <t>Paul Mukonza</t>
  </si>
  <si>
    <t>Porini Camp</t>
  </si>
  <si>
    <t>stores@gamewatchers.co.ke</t>
  </si>
  <si>
    <t>CUST100754</t>
  </si>
  <si>
    <t>stores1@gamewatchers.co.ke</t>
  </si>
  <si>
    <t>Regina Alivitsa</t>
  </si>
  <si>
    <t>regina@gamewatchers.co.ke</t>
  </si>
  <si>
    <t>Violet Imbani</t>
  </si>
  <si>
    <t>Potterhouse School LTD</t>
  </si>
  <si>
    <t>vimbayi@potterhouseschool.ac.ke</t>
  </si>
  <si>
    <t>CUST101850</t>
  </si>
  <si>
    <t>finance@potterhouse.ac.ke</t>
  </si>
  <si>
    <t>George George</t>
  </si>
  <si>
    <t>Premier Rehab Centres Ltd</t>
  </si>
  <si>
    <t>premierrehabcentres@gmail.com</t>
  </si>
  <si>
    <t>0713030397</t>
  </si>
  <si>
    <t>CUST100758</t>
  </si>
  <si>
    <t>premierrehabcentresmsa@gmail.com</t>
  </si>
  <si>
    <t>Paul macharia</t>
  </si>
  <si>
    <t>Prescott Venture Ltd</t>
  </si>
  <si>
    <t>macharia@aberdarespalodge.co.ke</t>
  </si>
  <si>
    <t>0725538750</t>
  </si>
  <si>
    <t>CUST100759</t>
  </si>
  <si>
    <t>paulmch4@gmail.com</t>
  </si>
  <si>
    <t>Phelix Ouma</t>
  </si>
  <si>
    <t>Pressmaster Africa Ltd</t>
  </si>
  <si>
    <t>procurement@pressmaster.co.ke</t>
  </si>
  <si>
    <t>0700612118</t>
  </si>
  <si>
    <t>CUST100760</t>
  </si>
  <si>
    <t>internalaudit@pressmaster.co.ke</t>
  </si>
  <si>
    <t>Kennedy Gayah</t>
  </si>
  <si>
    <t>Pricewaterhousecoopers Ltd</t>
  </si>
  <si>
    <t>kennedy.gayah@pwc.com</t>
  </si>
  <si>
    <t>CUST100761</t>
  </si>
  <si>
    <t>kennedy.gayah@pwc.com; ke_accountspayable@pwc.com</t>
  </si>
  <si>
    <t>Nicholas Mutua</t>
  </si>
  <si>
    <t>nicholas.mutua@pwc.com</t>
  </si>
  <si>
    <t>0735788309</t>
  </si>
  <si>
    <t>Nahya Arley</t>
  </si>
  <si>
    <t>Prideinn Azure Hotel Limited</t>
  </si>
  <si>
    <t>stores@prideinn.co.ke</t>
  </si>
  <si>
    <t>0793070900</t>
  </si>
  <si>
    <t>CUST100762</t>
  </si>
  <si>
    <t>payables@prideinnazure.com</t>
  </si>
  <si>
    <t>sto@prideinnazure.com</t>
  </si>
  <si>
    <t>Alex Momanyi</t>
  </si>
  <si>
    <t>Prideinn Hotels And Investments Ltd</t>
  </si>
  <si>
    <t>accountsdiani@prideinn.co.ke</t>
  </si>
  <si>
    <t>0780996611</t>
  </si>
  <si>
    <t>CUST100763</t>
  </si>
  <si>
    <t>tom@prideinn.co.ke</t>
  </si>
  <si>
    <t>Elizabeth Momanyi</t>
  </si>
  <si>
    <t>storesmombasa@prideinn.co.ke</t>
  </si>
  <si>
    <t>Hellen Okumu</t>
  </si>
  <si>
    <t>0750634276</t>
  </si>
  <si>
    <t>sto.@prideinn.co.ke</t>
  </si>
  <si>
    <t>Yassin Yusuf</t>
  </si>
  <si>
    <t>accountsnyali@prideinn.co.ke</t>
  </si>
  <si>
    <t>0709716000</t>
  </si>
  <si>
    <t>Robert Robert</t>
  </si>
  <si>
    <t>Prime Cleaning Services</t>
  </si>
  <si>
    <t>prime.primecleaningservices.cl@gmail.com</t>
  </si>
  <si>
    <t>0794896396</t>
  </si>
  <si>
    <t>CUST100764</t>
  </si>
  <si>
    <t>Thuo Thuo</t>
  </si>
  <si>
    <t>Professional Clean Care Ltd</t>
  </si>
  <si>
    <t>info@professionalcleancare.com</t>
  </si>
  <si>
    <t>0727348937</t>
  </si>
  <si>
    <t>CUST100768</t>
  </si>
  <si>
    <t>accounts@professionalcleancare.com</t>
  </si>
  <si>
    <t>Rowland Omwenyo</t>
  </si>
  <si>
    <t>Proto Energy Ltd</t>
  </si>
  <si>
    <t>ROmwenyo@protoenergy.com</t>
  </si>
  <si>
    <t>0718926851</t>
  </si>
  <si>
    <t>CUST100770</t>
  </si>
  <si>
    <t>jmugambi@protoenergy.com</t>
  </si>
  <si>
    <t>Humphrey Njoroma</t>
  </si>
  <si>
    <t>Punctual Packaging Ventures</t>
  </si>
  <si>
    <t>Njoromahumphrey@gmail.com</t>
  </si>
  <si>
    <t>CUST101928</t>
  </si>
  <si>
    <t>Charles KAMANGA</t>
  </si>
  <si>
    <t>REMARC CLEANING SERVICES LTD</t>
  </si>
  <si>
    <t>cleaning@remarcservices.net</t>
  </si>
  <si>
    <t>0722632846</t>
  </si>
  <si>
    <t>CUST102607</t>
  </si>
  <si>
    <t>info@remarcservices.net; cleaning@remarcservices.net</t>
  </si>
  <si>
    <t>Daina Wangu</t>
  </si>
  <si>
    <t>Radiant Group of Hospitals Ltd</t>
  </si>
  <si>
    <t>dianawangu@radianthospitals.org</t>
  </si>
  <si>
    <t>0715444359</t>
  </si>
  <si>
    <t>CUST100778</t>
  </si>
  <si>
    <t>judithkimeu@radianthospitals.org</t>
  </si>
  <si>
    <t>Diana</t>
  </si>
  <si>
    <t>Diana Procurement</t>
  </si>
  <si>
    <t>Eudiah Blessed</t>
  </si>
  <si>
    <t>eudiahblessed@radianthospitals.org</t>
  </si>
  <si>
    <t>0722937441</t>
  </si>
  <si>
    <t>Judith</t>
  </si>
  <si>
    <t>Shijith Kadamboor</t>
  </si>
  <si>
    <t>Raints Kenya LTD</t>
  </si>
  <si>
    <t>skadamboor@raints.com</t>
  </si>
  <si>
    <t>CUST101455</t>
  </si>
  <si>
    <t>bnyoike@raints.com</t>
  </si>
  <si>
    <t>Wambua Caroline</t>
  </si>
  <si>
    <t>Realab Diagnostic Laboratory</t>
  </si>
  <si>
    <t>wambua.caroline@gmail.com</t>
  </si>
  <si>
    <t>CUST101858</t>
  </si>
  <si>
    <t>Francis Nusyima</t>
  </si>
  <si>
    <t>Red Ginger Eatery Limited</t>
  </si>
  <si>
    <t>purchases@redginger.co.ke</t>
  </si>
  <si>
    <t>CUST101469</t>
  </si>
  <si>
    <t>Redginger@redginger.co.ke</t>
  </si>
  <si>
    <t>Caleb Ochieng</t>
  </si>
  <si>
    <t>Regal Pharmaceuticals Limited</t>
  </si>
  <si>
    <t>purchase01@regalpharmaceuticals.com</t>
  </si>
  <si>
    <t>CUST100781</t>
  </si>
  <si>
    <t>purchase1@regalpharmaceuticals.com</t>
  </si>
  <si>
    <t>Mr. Vincent</t>
  </si>
  <si>
    <t>Reliance Hospital Limited</t>
  </si>
  <si>
    <t>procurement@thereliancehospital.co.ke</t>
  </si>
  <si>
    <t>0792050505</t>
  </si>
  <si>
    <t>CUST100782</t>
  </si>
  <si>
    <t>finance.reliance92@gmail.com</t>
  </si>
  <si>
    <t>Abbabakhar Abba</t>
  </si>
  <si>
    <t>Reliance Hotels Ltd</t>
  </si>
  <si>
    <t>abbabakhar.abba@hginairobi.co.ke</t>
  </si>
  <si>
    <t>CUST100783</t>
  </si>
  <si>
    <t>Brenda Ndogo</t>
  </si>
  <si>
    <t>brenda.ndogo@hginairobi.co.ke</t>
  </si>
  <si>
    <t>Peter Wanjohi</t>
  </si>
  <si>
    <t>Remote Medical Support Kenya LTD</t>
  </si>
  <si>
    <t>peter@response-med.com</t>
  </si>
  <si>
    <t>0715 769 162</t>
  </si>
  <si>
    <t>CUST101934</t>
  </si>
  <si>
    <t>PEBERE@RESPONSE-MED.COM</t>
  </si>
  <si>
    <t>Jane Njeri</t>
  </si>
  <si>
    <t>Rentokil</t>
  </si>
  <si>
    <t>jane.njeri@rentokil.co.ke</t>
  </si>
  <si>
    <t>CUST100786</t>
  </si>
  <si>
    <t>joy.kinuthia@rentokil-initial.com</t>
  </si>
  <si>
    <t>Nyokabi Joanne</t>
  </si>
  <si>
    <t>Restaurant Misono Limited</t>
  </si>
  <si>
    <t>restaurantmisono@gmail.com</t>
  </si>
  <si>
    <t>0786371140</t>
  </si>
  <si>
    <t>CUST102699</t>
  </si>
  <si>
    <t>Cleophas</t>
  </si>
  <si>
    <t>Riana Properties Ltd - C/O Knight Frank Ltd</t>
  </si>
  <si>
    <t>CUST100789</t>
  </si>
  <si>
    <t>Joyce Njiani</t>
  </si>
  <si>
    <t>Riara Group Of Schools</t>
  </si>
  <si>
    <t>jnjiani@riaraschool.ac.ke</t>
  </si>
  <si>
    <t>0703038177</t>
  </si>
  <si>
    <t>CUST100790</t>
  </si>
  <si>
    <t>jnjiraini@riaraschools.ac.ke</t>
  </si>
  <si>
    <t>Rift Valley Academy</t>
  </si>
  <si>
    <t>storessupervisor@rva.org</t>
  </si>
  <si>
    <t>0734364615</t>
  </si>
  <si>
    <t>CUST100792</t>
  </si>
  <si>
    <t>payables@rva.org</t>
  </si>
  <si>
    <t>Rich Finch</t>
  </si>
  <si>
    <t>servicestores@rva.org</t>
  </si>
  <si>
    <t>+254-790-634-611</t>
  </si>
  <si>
    <t>Jullie Muli</t>
  </si>
  <si>
    <t>Ripple Matrix Properties Limited</t>
  </si>
  <si>
    <t>mulijullie@gmail.com</t>
  </si>
  <si>
    <t>CUST101818</t>
  </si>
  <si>
    <t>ripplematrixproperties@gmail.com</t>
  </si>
  <si>
    <t>Riverside Grove Apartments Ltd</t>
  </si>
  <si>
    <t>204071000</t>
  </si>
  <si>
    <t>CUST100797</t>
  </si>
  <si>
    <t>payables@bwexecutiveresidencynairobi.co.ke</t>
  </si>
  <si>
    <t>Executive Residency Riverside Grove Apartments</t>
  </si>
  <si>
    <t>Irene Mwende</t>
  </si>
  <si>
    <t>procurement@bwexecutiveresidencynairobi.co.ke</t>
  </si>
  <si>
    <t>0702012194</t>
  </si>
  <si>
    <t>Faith</t>
  </si>
  <si>
    <t>Rizenn Homes Ltd</t>
  </si>
  <si>
    <t>0727647604</t>
  </si>
  <si>
    <t>CUST100798</t>
  </si>
  <si>
    <t>accounts@rizennhomes.co.ke</t>
  </si>
  <si>
    <t>Faith Muia</t>
  </si>
  <si>
    <t>faith.muia@rizennhomes.co.ke</t>
  </si>
  <si>
    <t>Grace Njoroge</t>
  </si>
  <si>
    <t>Roasters</t>
  </si>
  <si>
    <t>storesnairobi@thelukehotel.co.ke</t>
  </si>
  <si>
    <t>0721435227</t>
  </si>
  <si>
    <t>CUST100799</t>
  </si>
  <si>
    <t>Lawrence Chege</t>
  </si>
  <si>
    <t>Rock Beach Resort</t>
  </si>
  <si>
    <t>lawrencechege766@gmail.com</t>
  </si>
  <si>
    <t>0762490079</t>
  </si>
  <si>
    <t>CUST102206</t>
  </si>
  <si>
    <t>blawrencechege@gmail.com</t>
  </si>
  <si>
    <t>Madam Harriet</t>
  </si>
  <si>
    <t>Rodentkil Cleaning Company Ltd</t>
  </si>
  <si>
    <t>md@rodentkillcleaners.com</t>
  </si>
  <si>
    <t>0721354574</t>
  </si>
  <si>
    <t>CUST100800</t>
  </si>
  <si>
    <t>accounts@rodentkillcleaners.com</t>
  </si>
  <si>
    <t>Allan</t>
  </si>
  <si>
    <t>Rooftop Forty Holdings Ltd</t>
  </si>
  <si>
    <t>CUST100802</t>
  </si>
  <si>
    <t>rooftopforty@gmail.com</t>
  </si>
  <si>
    <t>Martin Mwaura</t>
  </si>
  <si>
    <t>0725097381</t>
  </si>
  <si>
    <t>Eddah Githinji</t>
  </si>
  <si>
    <t>Rosedale Gardens Limited</t>
  </si>
  <si>
    <t>0757894974</t>
  </si>
  <si>
    <t>CUST100804</t>
  </si>
  <si>
    <t>INFO@ROSEDALEGARDENSKILIMANI.COM</t>
  </si>
  <si>
    <t>Mumbi</t>
  </si>
  <si>
    <t>Himani Patel</t>
  </si>
  <si>
    <t>Rosevilla Properties Ltd</t>
  </si>
  <si>
    <t>himani@furniturepalace.co.ke</t>
  </si>
  <si>
    <t>+254 722 201 201</t>
  </si>
  <si>
    <t>CUST100805</t>
  </si>
  <si>
    <t>accounts2@furniturepalace.co.ke</t>
  </si>
  <si>
    <t>Philip</t>
  </si>
  <si>
    <t>0733772100</t>
  </si>
  <si>
    <t>Rosevilla Properties Ltd Rosevilla Properties</t>
  </si>
  <si>
    <t>Vincent Kiprop</t>
  </si>
  <si>
    <t>Rosewood Furniture Ltd</t>
  </si>
  <si>
    <t>vincent.kiprop@rosewood.co.ke</t>
  </si>
  <si>
    <t>CUST100806</t>
  </si>
  <si>
    <t>karan@pearlkenya.com</t>
  </si>
  <si>
    <t>Elizabeth Elizabeth</t>
  </si>
  <si>
    <t>Rosey International Ltd</t>
  </si>
  <si>
    <t>roseyinternationaltd@gmail.com</t>
  </si>
  <si>
    <t>0725549253</t>
  </si>
  <si>
    <t>CUST100807</t>
  </si>
  <si>
    <t>info@roseyintl.com</t>
  </si>
  <si>
    <t>John Ngugi</t>
  </si>
  <si>
    <t>Rosslyn Academy</t>
  </si>
  <si>
    <t>johnn@rosslynacademy.com</t>
  </si>
  <si>
    <t>0792465488</t>
  </si>
  <si>
    <t>CUST100808</t>
  </si>
  <si>
    <t>simong@rosslynacademy.com</t>
  </si>
  <si>
    <t>Mr Arnold</t>
  </si>
  <si>
    <t>Rusalab</t>
  </si>
  <si>
    <t>rusalabltd@gmail.com</t>
  </si>
  <si>
    <t>0734517972</t>
  </si>
  <si>
    <t>CUST100812</t>
  </si>
  <si>
    <t>Hezekiah Gitau</t>
  </si>
  <si>
    <t>Rusinga Investments Ltd</t>
  </si>
  <si>
    <t>hgitau@rusinga.ac.ke</t>
  </si>
  <si>
    <t>0709 554200</t>
  </si>
  <si>
    <t>CUST101480</t>
  </si>
  <si>
    <t>James Mukono</t>
  </si>
  <si>
    <t>SIA QSR Kenya Ltd</t>
  </si>
  <si>
    <t>james.mukono@servair.co.ke</t>
  </si>
  <si>
    <t>07175434444</t>
  </si>
  <si>
    <t>CUST100875</t>
  </si>
  <si>
    <t>rodger@qsrkenya.com</t>
  </si>
  <si>
    <t>David Baiya</t>
  </si>
  <si>
    <t>SKF Kenya Limited</t>
  </si>
  <si>
    <t>david.baiya@skfkenya.com</t>
  </si>
  <si>
    <t>CUST100891</t>
  </si>
  <si>
    <t>James Maina</t>
  </si>
  <si>
    <t>ST.Marys School</t>
  </si>
  <si>
    <t>0723 452289</t>
  </si>
  <si>
    <t>CUST100922</t>
  </si>
  <si>
    <t>info@stmarysinternationalacademy.com</t>
  </si>
  <si>
    <t>Asia Abdirashid</t>
  </si>
  <si>
    <t>Saab Royale Hotel</t>
  </si>
  <si>
    <t>accounts@saabroyalehotel.com</t>
  </si>
  <si>
    <t>CUST101656</t>
  </si>
  <si>
    <t>Lilian Mwangi</t>
  </si>
  <si>
    <t>Saape Limited</t>
  </si>
  <si>
    <t>lilian@saape.co.ke</t>
  </si>
  <si>
    <t>CUST100816</t>
  </si>
  <si>
    <t>finance@saape.co.ke</t>
  </si>
  <si>
    <t>Charles Mbuguah</t>
  </si>
  <si>
    <t>Sacham General Supplies Ltd</t>
  </si>
  <si>
    <t>charles.mbuguah@sacham.co.ke</t>
  </si>
  <si>
    <t>CUST101821</t>
  </si>
  <si>
    <t>info@sacham.co.ke; charles.mbuguah@sacham.co.ke</t>
  </si>
  <si>
    <t>James Githinji</t>
  </si>
  <si>
    <t>Safaricom Staff Pension Scheme c/o Knight Frank</t>
  </si>
  <si>
    <t>jamesgithinji@keknightfrank.com</t>
  </si>
  <si>
    <t>CUST101900</t>
  </si>
  <si>
    <t>Naazleen Alibhai</t>
  </si>
  <si>
    <t>Safe Haven Ltd C/O Nairobi International School</t>
  </si>
  <si>
    <t>naazleen.alibhai@nis.ac.ke</t>
  </si>
  <si>
    <t>CUST100819</t>
  </si>
  <si>
    <t>Safeserve Enterprises Limited</t>
  </si>
  <si>
    <t>simonngochi60@gmail.com</t>
  </si>
  <si>
    <t>CUST101867</t>
  </si>
  <si>
    <t>Kangundo Road</t>
  </si>
  <si>
    <t>Grace</t>
  </si>
  <si>
    <t>Safeways Hypermarket Ltd C/O Knight Frank</t>
  </si>
  <si>
    <t>CUST100823</t>
  </si>
  <si>
    <t>grace.munge@ke.knightfrank.com</t>
  </si>
  <si>
    <t>Jane Wanjiru</t>
  </si>
  <si>
    <t>Jane.Wanjiru@ke.knightfrank.com</t>
  </si>
  <si>
    <t>Steve Wanjiru</t>
  </si>
  <si>
    <t>Sagret Hotel Equitorial Ltd</t>
  </si>
  <si>
    <t>stevewanjiru57@gmail.com</t>
  </si>
  <si>
    <t>CUST101446</t>
  </si>
  <si>
    <t>Rajni Sharma</t>
  </si>
  <si>
    <t>Saj Ceramics</t>
  </si>
  <si>
    <t>rajni.sharma@saj.co.ke</t>
  </si>
  <si>
    <t>0733245005</t>
  </si>
  <si>
    <t>CUST100825</t>
  </si>
  <si>
    <t>ceramics@saj.co.ke</t>
  </si>
  <si>
    <t>Catherine Nderitu</t>
  </si>
  <si>
    <t>Sal Kenya Limited</t>
  </si>
  <si>
    <t>admin@salkenya.com</t>
  </si>
  <si>
    <t>0721221588</t>
  </si>
  <si>
    <t>CUST100826</t>
  </si>
  <si>
    <t>maureen Njagi</t>
  </si>
  <si>
    <t>Salvador Caetano Kenya</t>
  </si>
  <si>
    <t>maureen.njagi@caetano.co.ke</t>
  </si>
  <si>
    <t>0728266165</t>
  </si>
  <si>
    <t>CUST100828</t>
  </si>
  <si>
    <t>Irene Ndawre</t>
  </si>
  <si>
    <t>Samaritans Purse</t>
  </si>
  <si>
    <t>indarawe@samaritan.org</t>
  </si>
  <si>
    <t>0726807350</t>
  </si>
  <si>
    <t>CUST100829</t>
  </si>
  <si>
    <t>Kenneth Walobwa</t>
  </si>
  <si>
    <t>Samsung Electronics East Africa Limited</t>
  </si>
  <si>
    <t>ken.walobwa@partner.samsung.com</t>
  </si>
  <si>
    <t>0707718255</t>
  </si>
  <si>
    <t>CUST100833</t>
  </si>
  <si>
    <t>vickie.m@samsung.com</t>
  </si>
  <si>
    <t>Josephat</t>
  </si>
  <si>
    <t>Sankara Nairobi</t>
  </si>
  <si>
    <t>0715616016</t>
  </si>
  <si>
    <t>CUST100836</t>
  </si>
  <si>
    <t>jenita.irungu@sankara.com</t>
  </si>
  <si>
    <t>Josiah Njamura</t>
  </si>
  <si>
    <t>josiah.njamura@sankara.com</t>
  </si>
  <si>
    <t>0722802160</t>
  </si>
  <si>
    <t>Josphat Njagi</t>
  </si>
  <si>
    <t>josphat.njagi@sankara.com</t>
  </si>
  <si>
    <t>254 703028054</t>
  </si>
  <si>
    <t>Muthoni Arimi</t>
  </si>
  <si>
    <t>muthoni.arimi@sankara.com</t>
  </si>
  <si>
    <t>Martin Kihara</t>
  </si>
  <si>
    <t>Sarova CBK-IMS</t>
  </si>
  <si>
    <t>Martin.Kihara@sarovahotels.com</t>
  </si>
  <si>
    <t>0709111000</t>
  </si>
  <si>
    <t>CUST103199</t>
  </si>
  <si>
    <t>accountspayables@sarovahotels.com</t>
  </si>
  <si>
    <t>Ruth Kimani</t>
  </si>
  <si>
    <t>Sarova Isokon Mara</t>
  </si>
  <si>
    <t>ruth.kimani@sarovahotels.com</t>
  </si>
  <si>
    <t>CUST100839</t>
  </si>
  <si>
    <t>Fred Fred</t>
  </si>
  <si>
    <t>Sarova Lion Hill Camp</t>
  </si>
  <si>
    <t>0726893620</t>
  </si>
  <si>
    <t>CUST100840</t>
  </si>
  <si>
    <t>Hellen Winja</t>
  </si>
  <si>
    <t>hellen.winja@sarovahotels.com</t>
  </si>
  <si>
    <t>0723909620</t>
  </si>
  <si>
    <t>Joseph mkaya</t>
  </si>
  <si>
    <t>Sarova Woodlands</t>
  </si>
  <si>
    <t>joseph.mkaya@sarovahotels.com</t>
  </si>
  <si>
    <t>0725606561</t>
  </si>
  <si>
    <t>CUST100843</t>
  </si>
  <si>
    <t>Ruth Namuyemba</t>
  </si>
  <si>
    <t>ruth.namuyemba@sarovahotels.com</t>
  </si>
  <si>
    <t>0709166000</t>
  </si>
  <si>
    <t>Laura Elizabeth</t>
  </si>
  <si>
    <t>Sasini PLC</t>
  </si>
  <si>
    <t>esakwera@sasini.co.ke</t>
  </si>
  <si>
    <t>0723865348</t>
  </si>
  <si>
    <t>CUST103025</t>
  </si>
  <si>
    <t>info@sasini.co.ke</t>
  </si>
  <si>
    <t>Alex Jindwa</t>
  </si>
  <si>
    <t>Sawela Lodge</t>
  </si>
  <si>
    <t>accounts@sawelalodges.com</t>
  </si>
  <si>
    <t>07171234444</t>
  </si>
  <si>
    <t>CUST100846</t>
  </si>
  <si>
    <t>controls@sawelalodges.com</t>
  </si>
  <si>
    <t>Michael</t>
  </si>
  <si>
    <t>0716 353036</t>
  </si>
  <si>
    <t>Patrova None</t>
  </si>
  <si>
    <t>purchases@sawelalodge.com</t>
  </si>
  <si>
    <t>William Ng'ang'a</t>
  </si>
  <si>
    <t>Scanad Kenya Ltd</t>
  </si>
  <si>
    <t>william.nganga@wpp-scangroup.com</t>
  </si>
  <si>
    <t>CUST100848</t>
  </si>
  <si>
    <t>Joyce Waweru</t>
  </si>
  <si>
    <t>Schenker Ltd</t>
  </si>
  <si>
    <t>joyce.waweru@dbschenker.com</t>
  </si>
  <si>
    <t>CUST100849</t>
  </si>
  <si>
    <t>saumu.saidi@dbschenker.com</t>
  </si>
  <si>
    <t>Securex Investments Ltd C/O Knight Frank Kenya Ltd</t>
  </si>
  <si>
    <t>lydia.ndichu@ke.knightfrank.com</t>
  </si>
  <si>
    <t>0727710175</t>
  </si>
  <si>
    <t>CUST100855</t>
  </si>
  <si>
    <t>Betsy Bor</t>
  </si>
  <si>
    <t>Serena Beach Hotel - Mombasa</t>
  </si>
  <si>
    <t>betsy.bor@serenahotels.com</t>
  </si>
  <si>
    <t>+254721577071</t>
  </si>
  <si>
    <t>CUST101351</t>
  </si>
  <si>
    <t>Dennis Ashiro</t>
  </si>
  <si>
    <t>dennie.ashiro@serenshotels.com</t>
  </si>
  <si>
    <t>0721337591</t>
  </si>
  <si>
    <t>Lauryne Achila</t>
  </si>
  <si>
    <t>lauryne.achila@serenahotels.com</t>
  </si>
  <si>
    <t>0786514505</t>
  </si>
  <si>
    <t>Lucy Kuibita</t>
  </si>
  <si>
    <t>lucy.kuibita@serenahotels.com</t>
  </si>
  <si>
    <t>0720896680</t>
  </si>
  <si>
    <t>Fred Wachira</t>
  </si>
  <si>
    <t>Serenity Spa Limited</t>
  </si>
  <si>
    <t>fred@serenityspa.co.ke</t>
  </si>
  <si>
    <t>0790697796</t>
  </si>
  <si>
    <t>CUST100858</t>
  </si>
  <si>
    <t>Vanessa@serenityspa.co.ke</t>
  </si>
  <si>
    <t>Vanessa Anunda</t>
  </si>
  <si>
    <t>info@serenityspa.co.ke</t>
  </si>
  <si>
    <t>Brion Gakungu</t>
  </si>
  <si>
    <t>Service Hub Global Enterprises LTD</t>
  </si>
  <si>
    <t>briongakungu@gmail.com</t>
  </si>
  <si>
    <t>CUST101896</t>
  </si>
  <si>
    <t>Gregory Imaculate</t>
  </si>
  <si>
    <t>0708330969</t>
  </si>
  <si>
    <t>Erastus Mwangi</t>
  </si>
  <si>
    <t>Seton International Ltd</t>
  </si>
  <si>
    <t>erastus@setoninternational.com</t>
  </si>
  <si>
    <t>CUST100859</t>
  </si>
  <si>
    <t>susan@setoninternational.com</t>
  </si>
  <si>
    <t>Barnabas</t>
  </si>
  <si>
    <t>Seven Degrees North Ltd</t>
  </si>
  <si>
    <t>CUST100860</t>
  </si>
  <si>
    <t>info@sdnlimited.com</t>
  </si>
  <si>
    <t>Barnabas Richard</t>
  </si>
  <si>
    <t>George Gicheru</t>
  </si>
  <si>
    <t>Seven Degrees Restaurant</t>
  </si>
  <si>
    <t>accounts@7degrees.co.ke</t>
  </si>
  <si>
    <t>CUST100861</t>
  </si>
  <si>
    <t>info@7degrees.co.ke</t>
  </si>
  <si>
    <t>Mitch Nguyo</t>
  </si>
  <si>
    <t>Miss Drusila</t>
  </si>
  <si>
    <t>Shade Manufacturers &amp; Hotel Ltd</t>
  </si>
  <si>
    <t>info@shadehotel.co.ke</t>
  </si>
  <si>
    <t>0700403444</t>
  </si>
  <si>
    <t>CUST100863</t>
  </si>
  <si>
    <t>Jinal Shah</t>
  </si>
  <si>
    <t>Shalimar Fresh Limited</t>
  </si>
  <si>
    <t>jinal.shah@eastafricangrowers.com</t>
  </si>
  <si>
    <t>Shirleen Kimutai</t>
  </si>
  <si>
    <t>CUST102175</t>
  </si>
  <si>
    <t>shalimar.accounts1@eastafricangrowers.com</t>
  </si>
  <si>
    <t>David Mugwe</t>
  </si>
  <si>
    <t>Shamgro Limited C/O Knight Frank</t>
  </si>
  <si>
    <t>david.mugwe@ke.knightfrank.com</t>
  </si>
  <si>
    <t>CUST100865</t>
  </si>
  <si>
    <t>leah muchiri</t>
  </si>
  <si>
    <t>Sheria Sacco</t>
  </si>
  <si>
    <t>leah.muchiri@sheriasacco.coop</t>
  </si>
  <si>
    <t>CUST100869</t>
  </si>
  <si>
    <t>leah.muchiri@sheriasacco</t>
  </si>
  <si>
    <t>Christine Ndirangu</t>
  </si>
  <si>
    <t>Shop And Deliver Limited</t>
  </si>
  <si>
    <t>christine.njoki@betika.com</t>
  </si>
  <si>
    <t>CUST101484</t>
  </si>
  <si>
    <t>peter.ng'ang'a@betika.com</t>
  </si>
  <si>
    <t>Mary Wambui</t>
  </si>
  <si>
    <t>mary.wambui@betika.com</t>
  </si>
  <si>
    <t>Abigael Ndichu</t>
  </si>
  <si>
    <t>Sidian Bank Ltd - Head Office</t>
  </si>
  <si>
    <t>andichu@sidianbank.co.ke</t>
  </si>
  <si>
    <t>254 711 058 741</t>
  </si>
  <si>
    <t>CUST100876</t>
  </si>
  <si>
    <t>dratemo@sidianbank.co.ke; CKagecha@sidianbank.co.ke</t>
  </si>
  <si>
    <t>Amos Tikani</t>
  </si>
  <si>
    <t>ATikani@sidianbank.co.ke</t>
  </si>
  <si>
    <t>0711058000</t>
  </si>
  <si>
    <t>Sheila Kienda</t>
  </si>
  <si>
    <t>Sienna Limited</t>
  </si>
  <si>
    <t>info@sienna.co.ke</t>
  </si>
  <si>
    <t>CUST102223</t>
  </si>
  <si>
    <t>Andrew Ngenga</t>
  </si>
  <si>
    <t>Sigona Golf Club</t>
  </si>
  <si>
    <t>CUST102570</t>
  </si>
  <si>
    <t>lucy@sigonagolfclub.com</t>
  </si>
  <si>
    <t>Andrew Njenga</t>
  </si>
  <si>
    <t>0713726074</t>
  </si>
  <si>
    <t>Francis Francis</t>
  </si>
  <si>
    <t>gm@sigonagolfclub.com</t>
  </si>
  <si>
    <t>0723704874</t>
  </si>
  <si>
    <t>Nancy Akinyi</t>
  </si>
  <si>
    <t>Simba Hospitality Management Ltd T/A Acacia Premier Hotel</t>
  </si>
  <si>
    <t>nancy.akinyi@acaciapremier.com</t>
  </si>
  <si>
    <t>CUST101913</t>
  </si>
  <si>
    <t>nancy.akinyi@acaciapremier.com; loreine.ogum@acaciapremier.com</t>
  </si>
  <si>
    <t>Samuel Ndiege</t>
  </si>
  <si>
    <t>samuel.ndiege@acaciapremier.com</t>
  </si>
  <si>
    <t>0709850000</t>
  </si>
  <si>
    <t>John Mwangi</t>
  </si>
  <si>
    <t>Simbisa Brands Kenya Ltd</t>
  </si>
  <si>
    <t>john.mwangi@ke-simbisa.com</t>
  </si>
  <si>
    <t>0721455747</t>
  </si>
  <si>
    <t>CUST100885</t>
  </si>
  <si>
    <t>samuel.gitau@simbisakenya.co.ke</t>
  </si>
  <si>
    <t>Samuel Gitau</t>
  </si>
  <si>
    <t>Victor Kimweli</t>
  </si>
  <si>
    <t>0784214539</t>
  </si>
  <si>
    <t>Hemal Shah</t>
  </si>
  <si>
    <t>Simply Perfect</t>
  </si>
  <si>
    <t>CUST100886</t>
  </si>
  <si>
    <t>hemal@simply.co.ke</t>
  </si>
  <si>
    <t>Norah Michael</t>
  </si>
  <si>
    <t>Sinapis Organization</t>
  </si>
  <si>
    <t>nmichael@sinapis.org</t>
  </si>
  <si>
    <t>0714927890</t>
  </si>
  <si>
    <t>CUST102826</t>
  </si>
  <si>
    <t>eafinance@sinapis.ord</t>
  </si>
  <si>
    <t>Jeniffer Chemutai</t>
  </si>
  <si>
    <t>Sisnel Enterprises</t>
  </si>
  <si>
    <t>infosisnelenterprise@gmail.com</t>
  </si>
  <si>
    <t>0723117857</t>
  </si>
  <si>
    <t>CUST101813</t>
  </si>
  <si>
    <t>cheptapruth@gmail.com</t>
  </si>
  <si>
    <t>Anne Wangari</t>
  </si>
  <si>
    <t>Six Square Ltd</t>
  </si>
  <si>
    <t>distribution@sixsquare.co.ke</t>
  </si>
  <si>
    <t>CUST100890</t>
  </si>
  <si>
    <t>ajay.saini@gmail.com</t>
  </si>
  <si>
    <t>pauline Wanjiku</t>
  </si>
  <si>
    <t>Slater &amp; Whittaker</t>
  </si>
  <si>
    <t>imports@swkenya.com</t>
  </si>
  <si>
    <t>CUST100892</t>
  </si>
  <si>
    <t>mike@swkenya.com</t>
  </si>
  <si>
    <t>Edwin Oduu</t>
  </si>
  <si>
    <t>Smart Outsource Ltd</t>
  </si>
  <si>
    <t>0734441129</t>
  </si>
  <si>
    <t>CUST100894</t>
  </si>
  <si>
    <t>info@smartoutsource.co.ke</t>
  </si>
  <si>
    <t>Edwin Ondu</t>
  </si>
  <si>
    <t>accounts@smartoutsource.co.ke</t>
  </si>
  <si>
    <t>LY=ynne Amondi</t>
  </si>
  <si>
    <t>lynne@smartoutsource.co.ke</t>
  </si>
  <si>
    <t>Soilex</t>
  </si>
  <si>
    <t>Soilex Prosolve Ltd</t>
  </si>
  <si>
    <t>CUST100898</t>
  </si>
  <si>
    <t>jainathwani@soilex.co.ke</t>
  </si>
  <si>
    <t>Chef Jandu</t>
  </si>
  <si>
    <t>Soldorado Management Ltd</t>
  </si>
  <si>
    <t>chefjandu@tribe44.co</t>
  </si>
  <si>
    <t>0736575088</t>
  </si>
  <si>
    <t>CUST101452</t>
  </si>
  <si>
    <t>chefjandu@tribe44.com</t>
  </si>
  <si>
    <t>Alice Kipyegon</t>
  </si>
  <si>
    <t>Soset Shinners Services Limited</t>
  </si>
  <si>
    <t>sosetsunshinners@gmail.com</t>
  </si>
  <si>
    <t>0722763098</t>
  </si>
  <si>
    <t>CUST100903</t>
  </si>
  <si>
    <t>Esther Ngami</t>
  </si>
  <si>
    <t>Space And Style Ltd</t>
  </si>
  <si>
    <t>admin@spaceandstyle.co.ke</t>
  </si>
  <si>
    <t>0741 067 757</t>
  </si>
  <si>
    <t>CUST100908</t>
  </si>
  <si>
    <t>info@spaceandstyle.co.ke</t>
  </si>
  <si>
    <t>Pauline Muisyo</t>
  </si>
  <si>
    <t>Sparklean Cleaning Ltd</t>
  </si>
  <si>
    <t>pauline@sparklean.co.ke</t>
  </si>
  <si>
    <t>0704460798</t>
  </si>
  <si>
    <t>CUST100909</t>
  </si>
  <si>
    <t>juliet@sparklean.co.ke</t>
  </si>
  <si>
    <t>Diptesh Shah</t>
  </si>
  <si>
    <t>Spartan Relief Supplies Ltd</t>
  </si>
  <si>
    <t>sales@spartanrelief.com</t>
  </si>
  <si>
    <t>0726322565</t>
  </si>
  <si>
    <t>CUST100911</t>
  </si>
  <si>
    <t>Harish</t>
  </si>
  <si>
    <t>Hemal</t>
  </si>
  <si>
    <t>Hemal Gudhka</t>
  </si>
  <si>
    <t>Joshua n</t>
  </si>
  <si>
    <t>Speedex Logistics LTD</t>
  </si>
  <si>
    <t>accounts@speedexlogistics.com</t>
  </si>
  <si>
    <t>CUST102249</t>
  </si>
  <si>
    <t>info@speedexlogistica.com</t>
  </si>
  <si>
    <t>Irene Mankone</t>
  </si>
  <si>
    <t>Spic &amp; Span Cleaning Services Ltd</t>
  </si>
  <si>
    <t>spicspan.cleaning@yahoo.com</t>
  </si>
  <si>
    <t>0720530197</t>
  </si>
  <si>
    <t>CUST100914</t>
  </si>
  <si>
    <t>Cecilia Mbugua</t>
  </si>
  <si>
    <t>Sportsview Hotel Kasarani Ltd</t>
  </si>
  <si>
    <t>stores@sportsviewhotel.com</t>
  </si>
  <si>
    <t>0723008536</t>
  </si>
  <si>
    <t>CUST100915</t>
  </si>
  <si>
    <t>accounts@sportsviewhotel.com</t>
  </si>
  <si>
    <t>joseph Mutuku</t>
  </si>
  <si>
    <t>Spring Valley Coffee Roasters Limited</t>
  </si>
  <si>
    <t>joseph@springvalleycoffee.com</t>
  </si>
  <si>
    <t>0725222172</t>
  </si>
  <si>
    <t>CUST100916</t>
  </si>
  <si>
    <t>ezekiel@springvalleycoffee.com</t>
  </si>
  <si>
    <t>Ben Kimani</t>
  </si>
  <si>
    <t>St. Andrews School Turi</t>
  </si>
  <si>
    <t>ben.kimani@turimail.co.ke</t>
  </si>
  <si>
    <t>CUST100919</t>
  </si>
  <si>
    <t>Molo</t>
  </si>
  <si>
    <t>gidraph.anyembe@turimail.co.ke</t>
  </si>
  <si>
    <t>Mr. Grandruff</t>
  </si>
  <si>
    <t>officeprep@turimail.co.ke</t>
  </si>
  <si>
    <t>0722 209750</t>
  </si>
  <si>
    <t>Joshua Wandya</t>
  </si>
  <si>
    <t>St.Austins Academy</t>
  </si>
  <si>
    <t>jwandaya@staff.aslkenya.com</t>
  </si>
  <si>
    <t>0703586419</t>
  </si>
  <si>
    <t>CUST100921</t>
  </si>
  <si>
    <t>amutua@faculty.staustins.ac.ke</t>
  </si>
  <si>
    <t>Virginia Ndanu</t>
  </si>
  <si>
    <t>virginia@faculty.staustins.ac.ke</t>
  </si>
  <si>
    <t>0713860206</t>
  </si>
  <si>
    <t>Damaris</t>
  </si>
  <si>
    <t>Stanbic Bank Ltd</t>
  </si>
  <si>
    <t>020 3638306</t>
  </si>
  <si>
    <t>CUST100924</t>
  </si>
  <si>
    <t>otienow@stanbic.com</t>
  </si>
  <si>
    <t>Mathews Kangogo</t>
  </si>
  <si>
    <t>kangogom@stanbic.com</t>
  </si>
  <si>
    <t>0724514484</t>
  </si>
  <si>
    <t>William Otieno</t>
  </si>
  <si>
    <t>0722644421</t>
  </si>
  <si>
    <t>Jackson Baburam</t>
  </si>
  <si>
    <t>Standard Global E.A Ltd</t>
  </si>
  <si>
    <t>jackson.baburam@yahoo.com</t>
  </si>
  <si>
    <t>CUST100925</t>
  </si>
  <si>
    <t>cleve Shahonyo</t>
  </si>
  <si>
    <t>cleveshahonyo@gmail.com</t>
  </si>
  <si>
    <t>Mamba</t>
  </si>
  <si>
    <t>Starehe Girls' Centre</t>
  </si>
  <si>
    <t>stores@starehegirlscentre.co.ke</t>
  </si>
  <si>
    <t>0714375584</t>
  </si>
  <si>
    <t>CUST100926</t>
  </si>
  <si>
    <t>info@starehegirlscentre.co.ke</t>
  </si>
  <si>
    <t>Shamim Abdi</t>
  </si>
  <si>
    <t>Steak And Pancake Ltd</t>
  </si>
  <si>
    <t>info@cafebistro.co.ke</t>
  </si>
  <si>
    <t>0703272033</t>
  </si>
  <si>
    <t>CUST100928</t>
  </si>
  <si>
    <t>Geeta Kenya</t>
  </si>
  <si>
    <t>Stellato Mall Limited</t>
  </si>
  <si>
    <t>geeta@mitsumidistribution.com</t>
  </si>
  <si>
    <t>07562444429</t>
  </si>
  <si>
    <t>CUST100931</t>
  </si>
  <si>
    <t>samueal.m@mitsumidistribution.com</t>
  </si>
  <si>
    <t>Jane Mburu</t>
  </si>
  <si>
    <t>Stemain Solutions Ltd</t>
  </si>
  <si>
    <t>jnyokabi@stemainsolutions.com</t>
  </si>
  <si>
    <t>0719300387</t>
  </si>
  <si>
    <t>CUST100932</t>
  </si>
  <si>
    <t>Phylis Mbui</t>
  </si>
  <si>
    <t>pmbui@stemainsolutions.com</t>
  </si>
  <si>
    <t>+254 702 498118</t>
  </si>
  <si>
    <t>Henry Musau</t>
  </si>
  <si>
    <t>Stima Sacco Society Ltd</t>
  </si>
  <si>
    <t>hmusau@stima-sacco.com</t>
  </si>
  <si>
    <t>CUST100935</t>
  </si>
  <si>
    <t>info@stimasacco.com</t>
  </si>
  <si>
    <t>Moses Isutsa</t>
  </si>
  <si>
    <t>Stimal Office Supplies Ltd</t>
  </si>
  <si>
    <t>sales@stimal.co.ke</t>
  </si>
  <si>
    <t>0722712307</t>
  </si>
  <si>
    <t>CUST102300</t>
  </si>
  <si>
    <t>Margaret</t>
  </si>
  <si>
    <t>Strami Ltd</t>
  </si>
  <si>
    <t>stramiltd@gmail.com</t>
  </si>
  <si>
    <t>0722777960</t>
  </si>
  <si>
    <t>CUST100936</t>
  </si>
  <si>
    <t>Margaret Margaret</t>
  </si>
  <si>
    <t>Mariam Nzangi</t>
  </si>
  <si>
    <t>Strathmore University- Housekeeping</t>
  </si>
  <si>
    <t>mnzangi@strathmore.edu</t>
  </si>
  <si>
    <t>0703034120</t>
  </si>
  <si>
    <t>CUST100939</t>
  </si>
  <si>
    <t>Madaraka</t>
  </si>
  <si>
    <t>skimani@strathmore.edu</t>
  </si>
  <si>
    <t>miriam Nzangi</t>
  </si>
  <si>
    <t>0721662329</t>
  </si>
  <si>
    <t>Bipin Nathvani</t>
  </si>
  <si>
    <t>Subati Group Limited</t>
  </si>
  <si>
    <t>bipin@subatigroup.com</t>
  </si>
  <si>
    <t>CUST100940</t>
  </si>
  <si>
    <t>accounts@subatigroup.com</t>
  </si>
  <si>
    <t>Jay Varian</t>
  </si>
  <si>
    <t>Suhana Ventures Limited</t>
  </si>
  <si>
    <t>info@tdfgroup.co.ke</t>
  </si>
  <si>
    <t>CUST101459</t>
  </si>
  <si>
    <t>Caroline Kariuki</t>
  </si>
  <si>
    <t>Sun Developers Ltd - Golden Tulip</t>
  </si>
  <si>
    <t>ap@goldentulipwestlandsnairobi.com</t>
  </si>
  <si>
    <t>CUST100945</t>
  </si>
  <si>
    <t>Alex Guantai</t>
  </si>
  <si>
    <t>Sun Power Products Ltd</t>
  </si>
  <si>
    <t>purchasing2@brownscheese.com</t>
  </si>
  <si>
    <t>CUST100946</t>
  </si>
  <si>
    <t>purchasing@brownscheese.com</t>
  </si>
  <si>
    <t>Phineas Munene</t>
  </si>
  <si>
    <t>Pratima shah</t>
  </si>
  <si>
    <t>Suntrek Investments</t>
  </si>
  <si>
    <t>pratima@suntrek.co.ke</t>
  </si>
  <si>
    <t>0700405050</t>
  </si>
  <si>
    <t>CUST100952</t>
  </si>
  <si>
    <t>ashish@suntrek.co.ke</t>
  </si>
  <si>
    <t>Mr. Munene</t>
  </si>
  <si>
    <t>Superbroom Sevices Ltd</t>
  </si>
  <si>
    <t>info@superbroomc.com</t>
  </si>
  <si>
    <t>0724417366</t>
  </si>
  <si>
    <t>CUST100953</t>
  </si>
  <si>
    <t>super_broomc@yahoo.com</t>
  </si>
  <si>
    <t>Irene Kirai</t>
  </si>
  <si>
    <t>Superclean Shine Enterprise Limited</t>
  </si>
  <si>
    <t>info@supershine.com</t>
  </si>
  <si>
    <t>0738736784</t>
  </si>
  <si>
    <t>CUST100954</t>
  </si>
  <si>
    <t>Mbagathi Road</t>
  </si>
  <si>
    <t>SUPERCLEANSHINELTD@GMAIL.COM</t>
  </si>
  <si>
    <t>Abanus Aanus</t>
  </si>
  <si>
    <t>Taita Hills And Saltlick Wildlife Resort Ltd</t>
  </si>
  <si>
    <t>uacct@taitahillssafariresort.com</t>
  </si>
  <si>
    <t>0707616385</t>
  </si>
  <si>
    <t>CUST100963</t>
  </si>
  <si>
    <t>Voi</t>
  </si>
  <si>
    <t>julius-accts@taitahillssafariresort.com</t>
  </si>
  <si>
    <t>Hamadi Mwachangani</t>
  </si>
  <si>
    <t>hamadi@taitahillssafariresort.com</t>
  </si>
  <si>
    <t>0726166790</t>
  </si>
  <si>
    <t>Felister Njiru</t>
  </si>
  <si>
    <t>Tamia Ltd</t>
  </si>
  <si>
    <t>felister.njiru@tamia.co.ke</t>
  </si>
  <si>
    <t>CUST100964</t>
  </si>
  <si>
    <t>Kevin Abanja</t>
  </si>
  <si>
    <t>info@tamia.co.ke</t>
  </si>
  <si>
    <t>alfred Alfred</t>
  </si>
  <si>
    <t>Tarita Properties Ltd</t>
  </si>
  <si>
    <t>0724771823</t>
  </si>
  <si>
    <t>CUST103194</t>
  </si>
  <si>
    <t>araptoo1@gmail.com</t>
  </si>
  <si>
    <t>Dunson Kivandi</t>
  </si>
  <si>
    <t>Tarpo Industries Ltd</t>
  </si>
  <si>
    <t>dunson@tarpo.com</t>
  </si>
  <si>
    <t>0733335919</t>
  </si>
  <si>
    <t>CUST100968</t>
  </si>
  <si>
    <t>musau@tarpo.com</t>
  </si>
  <si>
    <t>Mary Mwaura</t>
  </si>
  <si>
    <t>Tatu City Limited</t>
  </si>
  <si>
    <t>marym@tatucity.com</t>
  </si>
  <si>
    <t>+254 20 5131 000</t>
  </si>
  <si>
    <t>CUST101914</t>
  </si>
  <si>
    <t>wngugi@tatucity.com</t>
  </si>
  <si>
    <t>Wilson Ngugi</t>
  </si>
  <si>
    <t>0703819431</t>
  </si>
  <si>
    <t>Florence Musyimi</t>
  </si>
  <si>
    <t>Tea Tot Hotel Ltd</t>
  </si>
  <si>
    <t>info@teatot.co.ke</t>
  </si>
  <si>
    <t>CUST100969</t>
  </si>
  <si>
    <t>Matthew Lino</t>
  </si>
  <si>
    <t>Techno Relief Services Ltd</t>
  </si>
  <si>
    <t>exim@technorelief.com</t>
  </si>
  <si>
    <t>0734793657</t>
  </si>
  <si>
    <t>CUST100972</t>
  </si>
  <si>
    <t>info@technorelief.com</t>
  </si>
  <si>
    <t>James Kiri</t>
  </si>
  <si>
    <t>Technoleo Solutions Limited</t>
  </si>
  <si>
    <t>james@technoleo.net</t>
  </si>
  <si>
    <t>0720935515</t>
  </si>
  <si>
    <t>CUST100973</t>
  </si>
  <si>
    <t>Susan Munene</t>
  </si>
  <si>
    <t>Technoserve</t>
  </si>
  <si>
    <t>smunene@tns.org</t>
  </si>
  <si>
    <t>0782211566</t>
  </si>
  <si>
    <t>CUST100974</t>
  </si>
  <si>
    <t>Beatrice Kuria</t>
  </si>
  <si>
    <t>Tembuland Ltd C/O Knight Frank</t>
  </si>
  <si>
    <t>Beatrice.Kuria@ke.knightfrank.com</t>
  </si>
  <si>
    <t>CUST100976</t>
  </si>
  <si>
    <t>brenda.busienei@ke.knightfrank.com</t>
  </si>
  <si>
    <t>Benard Sang</t>
  </si>
  <si>
    <t>Tenwek Hospital</t>
  </si>
  <si>
    <t>benard.sang@tenwekhosp.org</t>
  </si>
  <si>
    <t>0722221500</t>
  </si>
  <si>
    <t>CUST100977</t>
  </si>
  <si>
    <t>weldon.kigen@tenwekhosp.org</t>
  </si>
  <si>
    <t>Edgar Kiprotich</t>
  </si>
  <si>
    <t>edgar.kiprotich@tenwekhosp.org</t>
  </si>
  <si>
    <t>0729586889</t>
  </si>
  <si>
    <t>Khadija Mohamed</t>
  </si>
  <si>
    <t>Thames Tana Ltd</t>
  </si>
  <si>
    <t>khadija.mohamed.churchill@gmail.com</t>
  </si>
  <si>
    <t>CUST100979</t>
  </si>
  <si>
    <t>David Okumu</t>
  </si>
  <si>
    <t>The AECF</t>
  </si>
  <si>
    <t>dokumu@aecfafrica.org</t>
  </si>
  <si>
    <t>CUST100981</t>
  </si>
  <si>
    <t>info@aecfafrica.org</t>
  </si>
  <si>
    <t>Caroline Yatich</t>
  </si>
  <si>
    <t>The African Academy Of Sciences</t>
  </si>
  <si>
    <t>c.yatich@aasciences.africa</t>
  </si>
  <si>
    <t>0709158102</t>
  </si>
  <si>
    <t>CUST100982</t>
  </si>
  <si>
    <t>g.musyoki@aasciences.africa</t>
  </si>
  <si>
    <t>Paul Meme</t>
  </si>
  <si>
    <t>The Alba Hotels Ltd</t>
  </si>
  <si>
    <t>accounts@albahotels.co.ke</t>
  </si>
  <si>
    <t>0726222733</t>
  </si>
  <si>
    <t>CUST100983</t>
  </si>
  <si>
    <t>pmeme@albahotels.co.ke</t>
  </si>
  <si>
    <t>Leah Chege</t>
  </si>
  <si>
    <t>The Alps Hotel Nakuru</t>
  </si>
  <si>
    <t>leah.chege@thealpshotelnakuru.com</t>
  </si>
  <si>
    <t>CUST100984</t>
  </si>
  <si>
    <t>Sarah Naserian</t>
  </si>
  <si>
    <t>The Banda School</t>
  </si>
  <si>
    <t>s.naserian@bandaschool.com</t>
  </si>
  <si>
    <t>0724232162</t>
  </si>
  <si>
    <t>CUST100985</t>
  </si>
  <si>
    <t>finance@bandaschool.com</t>
  </si>
  <si>
    <t>Gideon Koech</t>
  </si>
  <si>
    <t>The British Council</t>
  </si>
  <si>
    <t>gideon.koech@britishcouncil.or.ke</t>
  </si>
  <si>
    <t>CUST100988</t>
  </si>
  <si>
    <t>Margaret Waithera</t>
  </si>
  <si>
    <t>The Concord Hotel &amp; Suites</t>
  </si>
  <si>
    <t>procurement@theconcordhotels.com</t>
  </si>
  <si>
    <t>+254711111333</t>
  </si>
  <si>
    <t>CUST100990</t>
  </si>
  <si>
    <t>zara@theconcordhotels.com</t>
  </si>
  <si>
    <t>accounts@theconcordhotels.com</t>
  </si>
  <si>
    <t>Maggy</t>
  </si>
  <si>
    <t>The Cradle Hotel</t>
  </si>
  <si>
    <t>CUST100991</t>
  </si>
  <si>
    <t>thecradlecamp@gmail.com</t>
  </si>
  <si>
    <t>Margaret katembo</t>
  </si>
  <si>
    <t>catherine Kamau</t>
  </si>
  <si>
    <t>The Ford Foundation</t>
  </si>
  <si>
    <t>c.kamau@fordfoundation.org</t>
  </si>
  <si>
    <t>0724407680</t>
  </si>
  <si>
    <t>CUST100992</t>
  </si>
  <si>
    <t>r.abdallah@fordfoundation.org</t>
  </si>
  <si>
    <t>Daniel Mugo</t>
  </si>
  <si>
    <t>The Garden &amp; Wedding Centre Ltd</t>
  </si>
  <si>
    <t>mugodg@gmail.com</t>
  </si>
  <si>
    <t>CUST100993</t>
  </si>
  <si>
    <t>Bernadette Muithya</t>
  </si>
  <si>
    <t>The Jubilee Life Insurance LTD</t>
  </si>
  <si>
    <t>bernadette.muithya@jubileekenya.com</t>
  </si>
  <si>
    <t>CUST100995</t>
  </si>
  <si>
    <t>pamela.shitoshe@jubileekenya.com</t>
  </si>
  <si>
    <t>Rehema Maena</t>
  </si>
  <si>
    <t>The Junction Ltd C/O Knight Frank</t>
  </si>
  <si>
    <t>rehema.maena@ke.knightfrank.com</t>
  </si>
  <si>
    <t>CUST100996</t>
  </si>
  <si>
    <t>Boniface Matata</t>
  </si>
  <si>
    <t>The Kca University</t>
  </si>
  <si>
    <t>matata@kca.ac.ke</t>
  </si>
  <si>
    <t>0731780513</t>
  </si>
  <si>
    <t>CUST100997</t>
  </si>
  <si>
    <t>kyengo@kcau.ac.ke</t>
  </si>
  <si>
    <t>Andrew Mutuku</t>
  </si>
  <si>
    <t>The Kyaka Hotel</t>
  </si>
  <si>
    <t>accounts@thekyakahotel.co.ke</t>
  </si>
  <si>
    <t>0736459412</t>
  </si>
  <si>
    <t>CUST100999</t>
  </si>
  <si>
    <t>accounts@thekyakahotel.co.ke; Procurement@thekyakahotel.co.ke</t>
  </si>
  <si>
    <t>Benedict Makumbi</t>
  </si>
  <si>
    <t>procurement@thekyakahotel.co.ke</t>
  </si>
  <si>
    <t>0724718747</t>
  </si>
  <si>
    <t>Chao Mwadime</t>
  </si>
  <si>
    <t>manager@thekyakahotel.co.ke</t>
  </si>
  <si>
    <t>0721745051</t>
  </si>
  <si>
    <t>Judy Ndirangu</t>
  </si>
  <si>
    <t>housekeeper@thekyakahotel.co.ke</t>
  </si>
  <si>
    <t>0723252566</t>
  </si>
  <si>
    <t>Hermant Patel</t>
  </si>
  <si>
    <t>The Lazizi Premiere Ltd</t>
  </si>
  <si>
    <t>info@thelazizihotels.com</t>
  </si>
  <si>
    <t>CUST101000</t>
  </si>
  <si>
    <t>rebecca.michoki@crowneplazanairobiairport.com</t>
  </si>
  <si>
    <t>Alice Wambeti</t>
  </si>
  <si>
    <t>The Local Grill Kenya Ltd</t>
  </si>
  <si>
    <t>alicewambeti@yahoo.com</t>
  </si>
  <si>
    <t>0724873408</t>
  </si>
  <si>
    <t>CUST101002</t>
  </si>
  <si>
    <t>Steve Steve</t>
  </si>
  <si>
    <t>The Mombasa Hospital</t>
  </si>
  <si>
    <t>0713556261</t>
  </si>
  <si>
    <t>CUST101004</t>
  </si>
  <si>
    <t>creditors@mombasahospital.com</t>
  </si>
  <si>
    <t>Steve steve</t>
  </si>
  <si>
    <t>usha Usha</t>
  </si>
  <si>
    <t>usha@mombasahospital.com</t>
  </si>
  <si>
    <t>0721349703</t>
  </si>
  <si>
    <t>Trizah Nyaoro</t>
  </si>
  <si>
    <t>The Monarch Insurance Co. Ltd</t>
  </si>
  <si>
    <t>tnyaoro@monarchinsurance.co.ke</t>
  </si>
  <si>
    <t>CUST101005</t>
  </si>
  <si>
    <t>pkinyanjui@monarchinsurance.co.ke</t>
  </si>
  <si>
    <t>Faith Chepngeno</t>
  </si>
  <si>
    <t>The Nairobi Hospital</t>
  </si>
  <si>
    <t>faithngeno@nbihosp.org</t>
  </si>
  <si>
    <t>254 703082000</t>
  </si>
  <si>
    <t>CUST101006</t>
  </si>
  <si>
    <t>festuslangat@nbihosp.org</t>
  </si>
  <si>
    <t>Festus Langat</t>
  </si>
  <si>
    <t>Isaac Mosiori</t>
  </si>
  <si>
    <t>The Nairobi Women's Hospital</t>
  </si>
  <si>
    <t>Isaac.mosioro@nwch.co.ke</t>
  </si>
  <si>
    <t>0713600785</t>
  </si>
  <si>
    <t>CUST101801</t>
  </si>
  <si>
    <t>wycliffe.moindi@nwch.co.ke</t>
  </si>
  <si>
    <t>Stephen Alusa</t>
  </si>
  <si>
    <t>stephen.alusa@nwch.co.ke</t>
  </si>
  <si>
    <t>0725230133</t>
  </si>
  <si>
    <t>Rose Mwangi</t>
  </si>
  <si>
    <t>The Nest Boutique Hotel Ltd</t>
  </si>
  <si>
    <t>stores@nestbotiquehotel.com</t>
  </si>
  <si>
    <t>0722621072</t>
  </si>
  <si>
    <t>CUST102717</t>
  </si>
  <si>
    <t>info@thenestboutiquehotel.com</t>
  </si>
  <si>
    <t>Roselyne Makena</t>
  </si>
  <si>
    <t>The Neviane Limited</t>
  </si>
  <si>
    <t>makena@thenevianltd.com</t>
  </si>
  <si>
    <t>CUST101007</t>
  </si>
  <si>
    <t>neviane.limited@gmail.com</t>
  </si>
  <si>
    <t>Christine Mwai</t>
  </si>
  <si>
    <t>The Ninety Group Ltd</t>
  </si>
  <si>
    <t>theninetygroup@gmail.com</t>
  </si>
  <si>
    <t>0721 262317</t>
  </si>
  <si>
    <t>CUST101008</t>
  </si>
  <si>
    <t>Roselyn Masibai</t>
  </si>
  <si>
    <t>The Panari Resort Nyahururu</t>
  </si>
  <si>
    <t>purchasing@panarihotels.com</t>
  </si>
  <si>
    <t>CUST101010</t>
  </si>
  <si>
    <t>purchasing@panariresort.com</t>
  </si>
  <si>
    <t>Kenneth Ngure</t>
  </si>
  <si>
    <t>The Real Ipm Company Kenya Ltd</t>
  </si>
  <si>
    <t>kenneth.ngure@biobestgroup.com</t>
  </si>
  <si>
    <t>CUST101011</t>
  </si>
  <si>
    <t>kenneth.ngure@biobestgroup.com; mary.mirigo@biobestgroup.com</t>
  </si>
  <si>
    <t>Mary Mirigo</t>
  </si>
  <si>
    <t>Mary.Mirigo@biobestgroup.com</t>
  </si>
  <si>
    <t>0711990802</t>
  </si>
  <si>
    <t>amos Okema</t>
  </si>
  <si>
    <t>The River Cafe Ltd</t>
  </si>
  <si>
    <t>purchasing@therivercafekenya.com</t>
  </si>
  <si>
    <t>CUST101012</t>
  </si>
  <si>
    <t>sophie@therosslyncentre.com</t>
  </si>
  <si>
    <t>Madam Sylvia</t>
  </si>
  <si>
    <t>The Smith Bar &amp; Restaurant Ltd</t>
  </si>
  <si>
    <t>sylvia@thesmithhotels.co.ke</t>
  </si>
  <si>
    <t>0726288817</t>
  </si>
  <si>
    <t>CUST101015</t>
  </si>
  <si>
    <t>womondi@thesmithhotels.co.ke</t>
  </si>
  <si>
    <t>Danson Mwangi</t>
  </si>
  <si>
    <t>The Stanley Hotel</t>
  </si>
  <si>
    <t>danson.mwangi@sarovahotels.com</t>
  </si>
  <si>
    <t>CUST101017</t>
  </si>
  <si>
    <t>Jenniffer</t>
  </si>
  <si>
    <t>0719 048000</t>
  </si>
  <si>
    <t>Esleen Wanjiku</t>
  </si>
  <si>
    <t>Thika Sports Club</t>
  </si>
  <si>
    <t>thikasportsclub@gmail.com</t>
  </si>
  <si>
    <t>0708453739</t>
  </si>
  <si>
    <t>CUST101020</t>
  </si>
  <si>
    <t>bethwgikura@gmail.com</t>
  </si>
  <si>
    <t>accountant@thikasportsclub.co.ke</t>
  </si>
  <si>
    <t>Thomas Kariuki</t>
  </si>
  <si>
    <t>Tigoni Grown Ltd</t>
  </si>
  <si>
    <t>thomas.kariuki@tigonigrown.com</t>
  </si>
  <si>
    <t>CUST101394</t>
  </si>
  <si>
    <t>Rosemary Njari</t>
  </si>
  <si>
    <t>Tigoni Study Centre</t>
  </si>
  <si>
    <t>tigonistudycentre@gmail.com</t>
  </si>
  <si>
    <t>CUST101022</t>
  </si>
  <si>
    <t>Robert Ngugi</t>
  </si>
  <si>
    <t>Tile &amp; Carpet Centre Ltd</t>
  </si>
  <si>
    <t>ngugim@tilecentre.com</t>
  </si>
  <si>
    <t>CUST101023</t>
  </si>
  <si>
    <t>danm@tilecentre.com</t>
  </si>
  <si>
    <t>George Wambua</t>
  </si>
  <si>
    <t>Tipilikwani Mara Camp Limited</t>
  </si>
  <si>
    <t>procurement@atua-enkop.com</t>
  </si>
  <si>
    <t>0704861409</t>
  </si>
  <si>
    <t>CUST101025</t>
  </si>
  <si>
    <t>accounts2@atua-enkop.com</t>
  </si>
  <si>
    <t>collins Koril</t>
  </si>
  <si>
    <t>Top Image Cleaning Services Ltd</t>
  </si>
  <si>
    <t>topimageke@gmail.com</t>
  </si>
  <si>
    <t>0727310652</t>
  </si>
  <si>
    <t>CUST101031</t>
  </si>
  <si>
    <t>topimageke@gmail.com; info@topimagecleaners.com</t>
  </si>
  <si>
    <t>Isaac Kamau</t>
  </si>
  <si>
    <t>Torrent East Africa Ltd</t>
  </si>
  <si>
    <t>info_ke@torrentclosures.com</t>
  </si>
  <si>
    <t>0799031044</t>
  </si>
  <si>
    <t>CUST101032</t>
  </si>
  <si>
    <t>s.njuguna@torrentclosures.com</t>
  </si>
  <si>
    <t>Susan T</t>
  </si>
  <si>
    <t>Total Touch Cargo Ltd</t>
  </si>
  <si>
    <t>admin@totaltouch-cargo.com</t>
  </si>
  <si>
    <t>0722700411</t>
  </si>
  <si>
    <t>CUST101034</t>
  </si>
  <si>
    <t>ttc@totaltouch-cargo.com</t>
  </si>
  <si>
    <t>Alphonce Omandi</t>
  </si>
  <si>
    <t>Tracos Limited</t>
  </si>
  <si>
    <t>info@tracosltd.com</t>
  </si>
  <si>
    <t>0719390039</t>
  </si>
  <si>
    <t>CUST101530</t>
  </si>
  <si>
    <t>tracos2019@gmail.com</t>
  </si>
  <si>
    <t>Fred Mwangi</t>
  </si>
  <si>
    <t>Trade House Africa Ltd</t>
  </si>
  <si>
    <t>operations@tradehouse.co.ke</t>
  </si>
  <si>
    <t>0731788093</t>
  </si>
  <si>
    <t>CUST101035</t>
  </si>
  <si>
    <t>info@tradehouse.co.ke</t>
  </si>
  <si>
    <t>salescordinator@tradehouse.co.ke</t>
  </si>
  <si>
    <t>Jael Njoki</t>
  </si>
  <si>
    <t>Trans Business Machines Ltd</t>
  </si>
  <si>
    <t>jnjoki@tbm.co.ke</t>
  </si>
  <si>
    <t>CUST101038</t>
  </si>
  <si>
    <t>0202908000</t>
  </si>
  <si>
    <t>Charity Kagina</t>
  </si>
  <si>
    <t>Transcentury Ltd</t>
  </si>
  <si>
    <t>charity@transcentury.co.ke</t>
  </si>
  <si>
    <t>0722721572</t>
  </si>
  <si>
    <t>CUST101439</t>
  </si>
  <si>
    <t>Adam Samji</t>
  </si>
  <si>
    <t>Tribe 44 Limited</t>
  </si>
  <si>
    <t>0738-600437</t>
  </si>
  <si>
    <t>CUST101040</t>
  </si>
  <si>
    <t>Fredrick Omondi</t>
  </si>
  <si>
    <t>Tribe Hotel Ltd</t>
  </si>
  <si>
    <t>creditors1@tribehotel-kenya.com</t>
  </si>
  <si>
    <t>CUST101041</t>
  </si>
  <si>
    <t>saccounts@tribehotelsgroup.com</t>
  </si>
  <si>
    <t>Janeffer Waime</t>
  </si>
  <si>
    <t>purchasing@tribehotelsgroup.com</t>
  </si>
  <si>
    <t>Joan Metto</t>
  </si>
  <si>
    <t>receiving@tribehotel-kenya.com</t>
  </si>
  <si>
    <t>0751439885</t>
  </si>
  <si>
    <t>purchasingofficer@tribehotelsgroup.com</t>
  </si>
  <si>
    <t>+254 732 186 000</t>
  </si>
  <si>
    <t>Michael Ondir</t>
  </si>
  <si>
    <t>accounts@tribehotelsgroup.com</t>
  </si>
  <si>
    <t>0715698299</t>
  </si>
  <si>
    <t>Ann Njuguna</t>
  </si>
  <si>
    <t>Tripple O'S Hotel</t>
  </si>
  <si>
    <t>trippleoshotel@gmail.com</t>
  </si>
  <si>
    <t>CUST101046</t>
  </si>
  <si>
    <t>info@trippleoshotel.com</t>
  </si>
  <si>
    <t>Betty Kiseli</t>
  </si>
  <si>
    <t>Tropical Hub</t>
  </si>
  <si>
    <t>tropicalhubfirm@gmail.com</t>
  </si>
  <si>
    <t>0716482681</t>
  </si>
  <si>
    <t>CUST101460</t>
  </si>
  <si>
    <t>bettlewanza@gmail.com</t>
  </si>
  <si>
    <t>Maureen Maureen</t>
  </si>
  <si>
    <t>Tuffsteel Limited</t>
  </si>
  <si>
    <t>stores@tuffsteel.co.ke</t>
  </si>
  <si>
    <t>0708919191</t>
  </si>
  <si>
    <t>CUST101881</t>
  </si>
  <si>
    <t>purchase@tuffsteel.co.ke</t>
  </si>
  <si>
    <t>Mohammed Babu</t>
  </si>
  <si>
    <t>Turtle Bay Hotel</t>
  </si>
  <si>
    <t>purchasing@turtlebayhotel.co.ke</t>
  </si>
  <si>
    <t>0795577852</t>
  </si>
  <si>
    <t>CUST101492</t>
  </si>
  <si>
    <t>Malindi</t>
  </si>
  <si>
    <t>accounts@turtlebay.co.ke</t>
  </si>
  <si>
    <t>Onesmus Onesmus</t>
  </si>
  <si>
    <t>0796881043</t>
  </si>
  <si>
    <t>Peter peter</t>
  </si>
  <si>
    <t>0711793771</t>
  </si>
  <si>
    <t>Maggie Mburu</t>
  </si>
  <si>
    <t>Two Rivers Lifestyle Centre Ltd</t>
  </si>
  <si>
    <t>m.mburu@tworivers.co.ke</t>
  </si>
  <si>
    <t>0721323943</t>
  </si>
  <si>
    <t>CUST101042</t>
  </si>
  <si>
    <t>Alice Wanjiku</t>
  </si>
  <si>
    <t>Two Ways Africa Ltd</t>
  </si>
  <si>
    <t>twowaysafrica4@gmail.com</t>
  </si>
  <si>
    <t>0736008420</t>
  </si>
  <si>
    <t>CUST101054</t>
  </si>
  <si>
    <t>Getrude Wanjira</t>
  </si>
  <si>
    <t>Umash Funeral Services Ltd</t>
  </si>
  <si>
    <t>info@umash.co.ke</t>
  </si>
  <si>
    <t>0722524615</t>
  </si>
  <si>
    <t>CUST101058</t>
  </si>
  <si>
    <t>Leonard Otieno</t>
  </si>
  <si>
    <t>Umoja Projects</t>
  </si>
  <si>
    <t>leonardotieno66@yahoo.com</t>
  </si>
  <si>
    <t>CUST101059</t>
  </si>
  <si>
    <t>Umoja</t>
  </si>
  <si>
    <t>Unipro</t>
  </si>
  <si>
    <t>Unipro Limited</t>
  </si>
  <si>
    <t>CUST101448</t>
  </si>
  <si>
    <t>info@unipro.co.ke</t>
  </si>
  <si>
    <t>Leonard Nambubi</t>
  </si>
  <si>
    <t>United States Embassy Nairobi</t>
  </si>
  <si>
    <t>nambubilo@state.gov</t>
  </si>
  <si>
    <t>+254 712 532 064</t>
  </si>
  <si>
    <t>CUST101065</t>
  </si>
  <si>
    <t>nairobipayables@state.gov</t>
  </si>
  <si>
    <t>ALI KHAN</t>
  </si>
  <si>
    <t>VMX Fitness Ltd</t>
  </si>
  <si>
    <t>alykhan@vmx-fitness.com</t>
  </si>
  <si>
    <t>0737190006</t>
  </si>
  <si>
    <t>CUST101890</t>
  </si>
  <si>
    <t>Village Market</t>
  </si>
  <si>
    <t>soha@centurycitykenya.com</t>
  </si>
  <si>
    <t>VMX Fitness VMX Fitness</t>
  </si>
  <si>
    <t>Vallarine Akinyi</t>
  </si>
  <si>
    <t>0707348077</t>
  </si>
  <si>
    <t>Gladys Kerich</t>
  </si>
  <si>
    <t>Van Woustraat Limited</t>
  </si>
  <si>
    <t>gladys.kerich@vwt.co.ke</t>
  </si>
  <si>
    <t>CUST101067</t>
  </si>
  <si>
    <t>Nelson Wafula</t>
  </si>
  <si>
    <t>Vector Aerospace</t>
  </si>
  <si>
    <t>nelson.wafula@standardaero.com</t>
  </si>
  <si>
    <t>CUST101520</t>
  </si>
  <si>
    <t>Vert Ltd</t>
  </si>
  <si>
    <t>vert-mgtaccts@verltd.co.ke</t>
  </si>
  <si>
    <t>0723743335</t>
  </si>
  <si>
    <t>CUST101882</t>
  </si>
  <si>
    <t>accounts@vertltd.co.ke</t>
  </si>
  <si>
    <t>Jamime Jamime</t>
  </si>
  <si>
    <t>Victoria Technical Enterprises Ltd</t>
  </si>
  <si>
    <t>0722841061</t>
  </si>
  <si>
    <t>CUST101072</t>
  </si>
  <si>
    <t>jemima.undisa@yahoo.com</t>
  </si>
  <si>
    <t>Jemima Undisa</t>
  </si>
  <si>
    <t>Victoria technical Victoria Technical</t>
  </si>
  <si>
    <t>Esther Nganga</t>
  </si>
  <si>
    <t>Viewers Park Hotel</t>
  </si>
  <si>
    <t>viewersparkhotel@gmail.com</t>
  </si>
  <si>
    <t>CUST101073</t>
  </si>
  <si>
    <t>Cyrus Mwangi</t>
  </si>
  <si>
    <t>Villa Rosa Kempinski C/O Simba Colt Ltd</t>
  </si>
  <si>
    <t>cyrus.mwangi@kempinski.com</t>
  </si>
  <si>
    <t>CUST101075</t>
  </si>
  <si>
    <t>joy.cherotich@kempinski.com</t>
  </si>
  <si>
    <t>Jackson Oleputuai</t>
  </si>
  <si>
    <t>jackson.oleputuai@kempinski.com</t>
  </si>
  <si>
    <t>0721654815</t>
  </si>
  <si>
    <t>Judith Amakobe</t>
  </si>
  <si>
    <t>judith.amakobe@kempinski.com</t>
  </si>
  <si>
    <t>0719159137</t>
  </si>
  <si>
    <t>Maureen Muthoni</t>
  </si>
  <si>
    <t>Village Mastars Limited</t>
  </si>
  <si>
    <t>vmastars@gmail.com</t>
  </si>
  <si>
    <t>0707525924</t>
  </si>
  <si>
    <t>CUST101467</t>
  </si>
  <si>
    <t>info@villagemastarslimited.co.ke</t>
  </si>
  <si>
    <t>Salome</t>
  </si>
  <si>
    <t>0728237960</t>
  </si>
  <si>
    <t>Otieno Kopiyo</t>
  </si>
  <si>
    <t>Vinstar Express Supplies LTD</t>
  </si>
  <si>
    <t>otienokopiyo41@yahoo.com</t>
  </si>
  <si>
    <t>CUST101806</t>
  </si>
  <si>
    <t>Mital Velani</t>
  </si>
  <si>
    <t>Viva Healthcare Limited</t>
  </si>
  <si>
    <t>mitalvelani@vivahealthcare.org</t>
  </si>
  <si>
    <t>CUST101078</t>
  </si>
  <si>
    <t>Duncan Karuri</t>
  </si>
  <si>
    <t>Vivo Energy Kenya Limited</t>
  </si>
  <si>
    <t>duncan.karuri@vivoenergy.com</t>
  </si>
  <si>
    <t>CUST101851</t>
  </si>
  <si>
    <t>sandra.mutua@vivoenergy.com</t>
  </si>
  <si>
    <t>Haroon Armaan</t>
  </si>
  <si>
    <t>armaan.haroon@vivoenergy.com</t>
  </si>
  <si>
    <t>0708712655</t>
  </si>
  <si>
    <t>Walter bombe</t>
  </si>
  <si>
    <t>Walbon Enterprises</t>
  </si>
  <si>
    <t>walbonenterprises@gmail.com</t>
  </si>
  <si>
    <t>0711133610</t>
  </si>
  <si>
    <t>CUST101429</t>
  </si>
  <si>
    <t>Walker Kontos</t>
  </si>
  <si>
    <t>ckariuki@walkerkontos.com</t>
  </si>
  <si>
    <t>0735411030</t>
  </si>
  <si>
    <t>CUST101083</t>
  </si>
  <si>
    <t>accounts@walkerkontos.com</t>
  </si>
  <si>
    <t>Eric Masamba</t>
  </si>
  <si>
    <t>Waridi Paradise Hotel And Suites</t>
  </si>
  <si>
    <t>info@waridi-paradise.com</t>
  </si>
  <si>
    <t>CUST101084</t>
  </si>
  <si>
    <t>samuel.accounts@waridi-paradise.com</t>
  </si>
  <si>
    <t>Samuel kariuki</t>
  </si>
  <si>
    <t>Dorothy</t>
  </si>
  <si>
    <t>Weetabix East Africa Ltd</t>
  </si>
  <si>
    <t>dcm@weetabix.com</t>
  </si>
  <si>
    <t>0720999046</t>
  </si>
  <si>
    <t>CUST101088</t>
  </si>
  <si>
    <t>rkb@weetabix.com</t>
  </si>
  <si>
    <t>Veronica Muita</t>
  </si>
  <si>
    <t>Westgate Shopping Mall Limited</t>
  </si>
  <si>
    <t>veronica@althaus.co.ke</t>
  </si>
  <si>
    <t>0780557775</t>
  </si>
  <si>
    <t>CUST101449</t>
  </si>
  <si>
    <t>martin@althaus.co.ke</t>
  </si>
  <si>
    <t>Lizah Biwott</t>
  </si>
  <si>
    <t>Weston Hotel Ltd</t>
  </si>
  <si>
    <t>lbiwott@westonhotel.com</t>
  </si>
  <si>
    <t>0709995052</t>
  </si>
  <si>
    <t>CUST101090</t>
  </si>
  <si>
    <t>lngeno@westonhotel.com</t>
  </si>
  <si>
    <t>Eugene Otieno</t>
  </si>
  <si>
    <t>Whitesands Hotel.</t>
  </si>
  <si>
    <t>Eugene.Otieno@sarovahotels.com</t>
  </si>
  <si>
    <t>CUST101093</t>
  </si>
  <si>
    <t>sawadho.haret@sarovahotels.com</t>
  </si>
  <si>
    <t>Evans Omondi</t>
  </si>
  <si>
    <t>evans.omondi@sarovahotels.com</t>
  </si>
  <si>
    <t>0719022530</t>
  </si>
  <si>
    <t>Austin Odhiambo</t>
  </si>
  <si>
    <t>Wigot Gardens Ltd</t>
  </si>
  <si>
    <t>austineodhiambo03@gmail.com</t>
  </si>
  <si>
    <t>CUST101094</t>
  </si>
  <si>
    <t>info@wigotgardens.co.ke</t>
  </si>
  <si>
    <t>Pamela Oluoch</t>
  </si>
  <si>
    <t>Philip Sambu</t>
  </si>
  <si>
    <t>Wilderness Lodges</t>
  </si>
  <si>
    <t>sambu@wildernesslodges.co.ke</t>
  </si>
  <si>
    <t>CUST101097</t>
  </si>
  <si>
    <t>kyalo@wildernesslodges.co.ke</t>
  </si>
  <si>
    <t>Janet Kiragu</t>
  </si>
  <si>
    <t>Windsor Golf And Country Club</t>
  </si>
  <si>
    <t>jkiragu@windsor.co.ke</t>
  </si>
  <si>
    <t>CUST101098</t>
  </si>
  <si>
    <t>stores@windsor.co.ke</t>
  </si>
  <si>
    <t>jmalonza@windsor.co.ke</t>
  </si>
  <si>
    <t>Zachary Muiga</t>
  </si>
  <si>
    <t>zmuiga@windsor.co.ke</t>
  </si>
  <si>
    <t>Everlyne Ireri</t>
  </si>
  <si>
    <t>Workable Limited Liability Parnership</t>
  </si>
  <si>
    <t>maureen@workable.space</t>
  </si>
  <si>
    <t>CUST101102</t>
  </si>
  <si>
    <t>Benard Wabwire</t>
  </si>
  <si>
    <t>XC Three Sixty EA Ltd</t>
  </si>
  <si>
    <t>benard@xc360.co.ke</t>
  </si>
  <si>
    <t>0728861739</t>
  </si>
  <si>
    <t>CUST101466</t>
  </si>
  <si>
    <t>accounts@xc360.co.ke</t>
  </si>
  <si>
    <t>Viral Shah</t>
  </si>
  <si>
    <t>YO BRANDS STORE</t>
  </si>
  <si>
    <t>yobrandsstore@yahoo.com</t>
  </si>
  <si>
    <t>0723678074</t>
  </si>
  <si>
    <t>CUST102232</t>
  </si>
  <si>
    <t>VIRZGUDDYBOY@YAHOO.COM</t>
  </si>
  <si>
    <t>Ms. Frida</t>
  </si>
  <si>
    <t>Yalah Enterprises Company Ltd</t>
  </si>
  <si>
    <t>yalahenterprise@gmail.com</t>
  </si>
  <si>
    <t>0724007051</t>
  </si>
  <si>
    <t>CUST101107</t>
  </si>
  <si>
    <t>Muhsin muhsin</t>
  </si>
  <si>
    <t>Yusra's Butchery Limited</t>
  </si>
  <si>
    <t>yusrabutchery@yahoo.com</t>
  </si>
  <si>
    <t>0721734194</t>
  </si>
  <si>
    <t>CUST101893</t>
  </si>
  <si>
    <t>yusrabutchery@gmail.com</t>
  </si>
  <si>
    <t>Linda Justus</t>
  </si>
  <si>
    <t>Zaf Holdings Ltd</t>
  </si>
  <si>
    <t>linda.justus@ke.knightfrank.com</t>
  </si>
  <si>
    <t>CUST101109</t>
  </si>
  <si>
    <t>Faith Kioko</t>
  </si>
  <si>
    <t>Zamara Risk And Insurance Brokers Ltd</t>
  </si>
  <si>
    <t>fkioko@zamara.co.ke</t>
  </si>
  <si>
    <t>0726775492</t>
  </si>
  <si>
    <t>CUST101111</t>
  </si>
  <si>
    <t>NANCY THUO</t>
  </si>
  <si>
    <t>Zanash Enterprises</t>
  </si>
  <si>
    <t>nancymt@gmail.com</t>
  </si>
  <si>
    <t>+254 704 073252</t>
  </si>
  <si>
    <t>CUST102245</t>
  </si>
  <si>
    <t>Asif Sumra</t>
  </si>
  <si>
    <t>Zen Garden Ltd</t>
  </si>
  <si>
    <t>accounts@zengarden.co.ke</t>
  </si>
  <si>
    <t>CUST101114</t>
  </si>
  <si>
    <t>Yasin Abdulrazak</t>
  </si>
  <si>
    <t>0722659007</t>
  </si>
  <si>
    <t>Emmanuel muasya</t>
  </si>
  <si>
    <t>andrex paper ltd</t>
  </si>
  <si>
    <t>andrexltd@gmail.com</t>
  </si>
  <si>
    <t>0722119074</t>
  </si>
  <si>
    <t>CUST102413</t>
  </si>
  <si>
    <t>Magdaline Naishore</t>
  </si>
  <si>
    <t>lake naivasha parklane resort</t>
  </si>
  <si>
    <t>info@lakenaivashaparklaneresort.co.ke</t>
  </si>
  <si>
    <t>0722321578</t>
  </si>
  <si>
    <t>CUST103182</t>
  </si>
  <si>
    <t>Esther Manyasa</t>
  </si>
  <si>
    <t>mariakani cottage hospital</t>
  </si>
  <si>
    <t>mcottage@nitsuminet.com</t>
  </si>
  <si>
    <t>CUST100594</t>
  </si>
  <si>
    <t>procurement@mchkenya.org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</si>
</sst>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color rgb="FF89878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A78D6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98781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Match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KE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Summary!$A$7:$A$10</c:f>
              <c:strCache>
                <c:ptCount val="4"/>
                <c:pt idx="0">
                  <c:v>Match (owner &amp; email align)</c:v>
                </c:pt>
                <c:pt idx="1">
                  <c:v>Different owner only</c:v>
                </c:pt>
                <c:pt idx="2">
                  <c:v>Different contact only</c:v>
                </c:pt>
                <c:pt idx="3">
                  <c:v>Different owner &amp; contact</c:v>
                </c:pt>
              </c:strCache>
            </c:strRef>
          </c:cat>
          <c:val>
            <c:numRef>
              <c:f>Summary!$B$7:$B$10</c:f>
              <c:numCache>
                <c:formatCode>General</c:formatCode>
                <c:ptCount val="4"/>
                <c:pt idx="0">
                  <c:v>53</c:v>
                </c:pt>
                <c:pt idx="1">
                  <c:v>221</c:v>
                </c:pt>
                <c:pt idx="2">
                  <c:v>206</c:v>
                </c:pt>
                <c:pt idx="3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9-42B3-A000-43419A08B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64466"/>
        <c:axId val="71568825"/>
      </c:barChart>
      <c:catAx>
        <c:axId val="800644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71568825"/>
        <c:crosses val="autoZero"/>
        <c:auto val="1"/>
        <c:lblAlgn val="ctr"/>
        <c:lblOffset val="100"/>
        <c:noMultiLvlLbl val="0"/>
      </c:catAx>
      <c:valAx>
        <c:axId val="71568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contacts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80064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13</xdr:col>
      <xdr:colOff>256320</xdr:colOff>
      <xdr:row>20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/>
  </sheetViews>
  <sheetFormatPr defaultColWidth="8.6640625" defaultRowHeight="14.4" x14ac:dyDescent="0.3"/>
  <cols>
    <col min="1" max="1" width="34" customWidth="1"/>
    <col min="2" max="3" width="14" customWidth="1"/>
  </cols>
  <sheetData>
    <row r="1" spans="1:3" ht="19.5" customHeight="1" x14ac:dyDescent="0.4">
      <c r="A1" s="1" t="s">
        <v>0</v>
      </c>
    </row>
    <row r="2" spans="1:3" ht="15" customHeight="1" x14ac:dyDescent="0.3">
      <c r="A2" s="2" t="s">
        <v>1</v>
      </c>
    </row>
    <row r="4" spans="1:3" ht="15" customHeight="1" x14ac:dyDescent="0.3">
      <c r="A4" s="3" t="s">
        <v>2</v>
      </c>
      <c r="B4" s="3" t="s">
        <v>3</v>
      </c>
      <c r="C4" s="3" t="s">
        <v>4</v>
      </c>
    </row>
    <row r="5" spans="1:3" ht="15" customHeight="1" x14ac:dyDescent="0.3">
      <c r="A5" s="4" t="s">
        <v>5</v>
      </c>
      <c r="B5" s="4">
        <f>COUNTA('Matched Contacts'!A2:A996)</f>
        <v>995</v>
      </c>
      <c r="C5" s="5">
        <f t="shared" ref="C5:C10" si="0">B5/$B$5</f>
        <v>1</v>
      </c>
    </row>
    <row r="6" spans="1:3" ht="15" customHeight="1" x14ac:dyDescent="0.3">
      <c r="A6" s="4" t="s">
        <v>6</v>
      </c>
      <c r="B6" s="4">
        <f>SUMPRODUCT(1/COUNTIF('Matched Contacts'!B2:B996,'Matched Contacts'!B2:B996))</f>
        <v>664.00000000000102</v>
      </c>
      <c r="C6" s="5">
        <f t="shared" si="0"/>
        <v>0.66733668341708641</v>
      </c>
    </row>
    <row r="7" spans="1:3" ht="15" customHeight="1" x14ac:dyDescent="0.3">
      <c r="A7" s="4" t="s">
        <v>7</v>
      </c>
      <c r="B7" s="4">
        <f>COUNTIF('Matched Contacts'!L2:L996,"Match")</f>
        <v>53</v>
      </c>
      <c r="C7" s="5">
        <f t="shared" si="0"/>
        <v>5.3266331658291456E-2</v>
      </c>
    </row>
    <row r="8" spans="1:3" ht="15" customHeight="1" x14ac:dyDescent="0.3">
      <c r="A8" s="4" t="s">
        <v>8</v>
      </c>
      <c r="B8" s="4">
        <f>COUNTIF('Matched Contacts'!L2:L996,"Different owner")</f>
        <v>221</v>
      </c>
      <c r="C8" s="5">
        <f t="shared" si="0"/>
        <v>0.22211055276381911</v>
      </c>
    </row>
    <row r="9" spans="1:3" x14ac:dyDescent="0.3">
      <c r="A9" s="4" t="s">
        <v>9</v>
      </c>
      <c r="B9" s="4">
        <f>COUNTIF('Matched Contacts'!L2:L996,"Different contact")</f>
        <v>206</v>
      </c>
      <c r="C9" s="5">
        <f t="shared" si="0"/>
        <v>0.20703517587939699</v>
      </c>
    </row>
    <row r="10" spans="1:3" x14ac:dyDescent="0.3">
      <c r="A10" s="4" t="s">
        <v>10</v>
      </c>
      <c r="B10" s="4">
        <f>COUNTIF('Matched Contacts'!L2:L996,"Different owner &amp; contact")</f>
        <v>515</v>
      </c>
      <c r="C10" s="5">
        <f t="shared" si="0"/>
        <v>0.51758793969849248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6"/>
  <sheetViews>
    <sheetView tabSelected="1" topLeftCell="F1" zoomScaleNormal="100" workbookViewId="0">
      <pane ySplit="1" topLeftCell="A2" activePane="bottomLeft" state="frozen"/>
      <selection pane="bottomLeft" activeCell="L1" sqref="L1:L1048576"/>
    </sheetView>
  </sheetViews>
  <sheetFormatPr defaultColWidth="8.6640625" defaultRowHeight="14.4" x14ac:dyDescent="0.3"/>
  <cols>
    <col min="1" max="1" width="20" customWidth="1"/>
    <col min="2" max="2" width="47.44140625" customWidth="1"/>
    <col min="3" max="3" width="26" customWidth="1"/>
    <col min="4" max="10" width="20" customWidth="1"/>
    <col min="11" max="11" width="30.6640625" customWidth="1"/>
    <col min="12" max="12" width="25.88671875" customWidth="1"/>
  </cols>
  <sheetData>
    <row r="1" spans="1:12" ht="15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</row>
    <row r="2" spans="1:12" ht="15" customHeight="1" x14ac:dyDescent="0.3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25</v>
      </c>
      <c r="L2" s="4" t="str">
        <f t="shared" ref="L2:L65" si="0">IF(AND(TRIM(LOWER(E2))=TRIM(LOWER(J2)),TRIM(LOWER(C2))=TRIM(LOWER(K2))),"Match",IF(AND(NOT(TRIM(LOWER(E2))=TRIM(LOWER(J2))),TRIM(LOWER(C2))=TRIM(LOWER(K2))),"Different owner",IF(AND(TRIM(LOWER(E2))=TRIM(LOWER(J2)),NOT(TRIM(LOWER(C2))=TRIM(LOWER(K2)))),"Different contact","Different owner &amp; contact")))</f>
        <v>Different owner</v>
      </c>
    </row>
    <row r="3" spans="1:12" ht="15" customHeight="1" x14ac:dyDescent="0.3">
      <c r="A3" s="4" t="s">
        <v>33</v>
      </c>
      <c r="B3" s="4" t="s">
        <v>24</v>
      </c>
      <c r="C3" s="4"/>
      <c r="D3" s="4"/>
      <c r="E3" s="4" t="s">
        <v>34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25</v>
      </c>
      <c r="L3" s="4" t="str">
        <f t="shared" si="0"/>
        <v>Different owner &amp; contact</v>
      </c>
    </row>
    <row r="4" spans="1:12" ht="15" customHeight="1" x14ac:dyDescent="0.3">
      <c r="A4" s="4" t="s">
        <v>35</v>
      </c>
      <c r="B4" s="4" t="s">
        <v>24</v>
      </c>
      <c r="C4" s="4"/>
      <c r="D4" s="4"/>
      <c r="E4" s="4" t="s">
        <v>34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25</v>
      </c>
      <c r="L4" s="4" t="str">
        <f t="shared" si="0"/>
        <v>Different owner &amp; contact</v>
      </c>
    </row>
    <row r="5" spans="1:12" ht="15" customHeight="1" x14ac:dyDescent="0.3">
      <c r="A5" s="4" t="s">
        <v>36</v>
      </c>
      <c r="B5" s="4" t="s">
        <v>37</v>
      </c>
      <c r="C5" s="4"/>
      <c r="D5" s="4" t="s">
        <v>38</v>
      </c>
      <c r="E5" s="4" t="s">
        <v>34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34</v>
      </c>
      <c r="K5" s="4" t="s">
        <v>43</v>
      </c>
      <c r="L5" s="4" t="str">
        <f t="shared" si="0"/>
        <v>Different contact</v>
      </c>
    </row>
    <row r="6" spans="1:12" ht="15" customHeight="1" x14ac:dyDescent="0.3">
      <c r="A6" s="4" t="s">
        <v>44</v>
      </c>
      <c r="B6" s="4" t="s">
        <v>45</v>
      </c>
      <c r="C6" s="4" t="s">
        <v>46</v>
      </c>
      <c r="D6" s="4"/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4" t="s">
        <v>46</v>
      </c>
      <c r="L6" s="4" t="str">
        <f t="shared" si="0"/>
        <v>Different owner</v>
      </c>
    </row>
    <row r="7" spans="1:12" ht="15" customHeight="1" x14ac:dyDescent="0.3">
      <c r="A7" s="4" t="s">
        <v>53</v>
      </c>
      <c r="B7" s="4" t="s">
        <v>54</v>
      </c>
      <c r="C7" s="4" t="s">
        <v>55</v>
      </c>
      <c r="D7" s="4"/>
      <c r="E7" s="4" t="s">
        <v>56</v>
      </c>
      <c r="F7" s="4" t="s">
        <v>57</v>
      </c>
      <c r="G7" s="4" t="s">
        <v>58</v>
      </c>
      <c r="H7" s="4" t="s">
        <v>41</v>
      </c>
      <c r="I7" s="4" t="s">
        <v>59</v>
      </c>
      <c r="J7" s="4" t="s">
        <v>60</v>
      </c>
      <c r="K7" s="4" t="s">
        <v>61</v>
      </c>
      <c r="L7" s="4" t="str">
        <f t="shared" si="0"/>
        <v>Different owner &amp; contact</v>
      </c>
    </row>
    <row r="8" spans="1:12" ht="15" customHeight="1" x14ac:dyDescent="0.3">
      <c r="A8" s="4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49</v>
      </c>
      <c r="H8" s="4" t="s">
        <v>68</v>
      </c>
      <c r="I8" s="4" t="s">
        <v>69</v>
      </c>
      <c r="J8" s="4" t="s">
        <v>66</v>
      </c>
      <c r="K8" s="4" t="s">
        <v>70</v>
      </c>
      <c r="L8" s="4" t="str">
        <f t="shared" si="0"/>
        <v>Different contact</v>
      </c>
    </row>
    <row r="9" spans="1:12" ht="15" customHeight="1" x14ac:dyDescent="0.3">
      <c r="A9" s="4" t="s">
        <v>71</v>
      </c>
      <c r="B9" s="4" t="s">
        <v>63</v>
      </c>
      <c r="C9" s="4" t="s">
        <v>72</v>
      </c>
      <c r="D9" s="4"/>
      <c r="E9" s="4" t="s">
        <v>66</v>
      </c>
      <c r="F9" s="4" t="s">
        <v>67</v>
      </c>
      <c r="G9" s="4" t="s">
        <v>49</v>
      </c>
      <c r="H9" s="4" t="s">
        <v>68</v>
      </c>
      <c r="I9" s="4" t="s">
        <v>69</v>
      </c>
      <c r="J9" s="4" t="s">
        <v>66</v>
      </c>
      <c r="K9" s="4" t="s">
        <v>70</v>
      </c>
      <c r="L9" s="4" t="str">
        <f t="shared" si="0"/>
        <v>Different contact</v>
      </c>
    </row>
    <row r="10" spans="1:12" ht="15" customHeight="1" x14ac:dyDescent="0.3">
      <c r="A10" s="4" t="s">
        <v>73</v>
      </c>
      <c r="B10" s="4" t="s">
        <v>63</v>
      </c>
      <c r="C10" s="4" t="s">
        <v>74</v>
      </c>
      <c r="D10" s="4" t="s">
        <v>75</v>
      </c>
      <c r="E10" s="4" t="s">
        <v>66</v>
      </c>
      <c r="F10" s="4" t="s">
        <v>67</v>
      </c>
      <c r="G10" s="4" t="s">
        <v>49</v>
      </c>
      <c r="H10" s="4" t="s">
        <v>68</v>
      </c>
      <c r="I10" s="4" t="s">
        <v>69</v>
      </c>
      <c r="J10" s="4" t="s">
        <v>66</v>
      </c>
      <c r="K10" s="4" t="s">
        <v>70</v>
      </c>
      <c r="L10" s="4" t="str">
        <f t="shared" si="0"/>
        <v>Different contact</v>
      </c>
    </row>
    <row r="11" spans="1:12" ht="15" customHeight="1" x14ac:dyDescent="0.3">
      <c r="A11" s="4" t="s">
        <v>76</v>
      </c>
      <c r="B11" s="4" t="s">
        <v>63</v>
      </c>
      <c r="C11" s="4" t="s">
        <v>77</v>
      </c>
      <c r="D11" s="4" t="s">
        <v>78</v>
      </c>
      <c r="E11" s="4" t="s">
        <v>66</v>
      </c>
      <c r="F11" s="4" t="s">
        <v>67</v>
      </c>
      <c r="G11" s="4" t="s">
        <v>49</v>
      </c>
      <c r="H11" s="4" t="s">
        <v>68</v>
      </c>
      <c r="I11" s="4" t="s">
        <v>69</v>
      </c>
      <c r="J11" s="4" t="s">
        <v>66</v>
      </c>
      <c r="K11" s="4" t="s">
        <v>70</v>
      </c>
      <c r="L11" s="4" t="str">
        <f t="shared" si="0"/>
        <v>Different contact</v>
      </c>
    </row>
    <row r="12" spans="1:12" ht="15" customHeight="1" x14ac:dyDescent="0.3">
      <c r="A12" s="4" t="s">
        <v>79</v>
      </c>
      <c r="B12" s="4" t="s">
        <v>80</v>
      </c>
      <c r="C12" s="4" t="s">
        <v>81</v>
      </c>
      <c r="D12" s="4" t="s">
        <v>82</v>
      </c>
      <c r="E12" s="4" t="s">
        <v>66</v>
      </c>
      <c r="F12" s="4" t="s">
        <v>83</v>
      </c>
      <c r="G12" s="4" t="s">
        <v>84</v>
      </c>
      <c r="H12" s="4" t="s">
        <v>41</v>
      </c>
      <c r="I12" s="4" t="s">
        <v>85</v>
      </c>
      <c r="J12" s="4" t="s">
        <v>66</v>
      </c>
      <c r="K12" s="4" t="s">
        <v>86</v>
      </c>
      <c r="L12" s="4" t="str">
        <f t="shared" si="0"/>
        <v>Different contact</v>
      </c>
    </row>
    <row r="13" spans="1:12" ht="15" customHeight="1" x14ac:dyDescent="0.3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49</v>
      </c>
      <c r="H13" s="4" t="s">
        <v>41</v>
      </c>
      <c r="I13" s="4" t="s">
        <v>93</v>
      </c>
      <c r="J13" s="4" t="s">
        <v>94</v>
      </c>
      <c r="K13" s="4" t="s">
        <v>95</v>
      </c>
      <c r="L13" s="4" t="str">
        <f t="shared" si="0"/>
        <v>Different owner &amp; contact</v>
      </c>
    </row>
    <row r="14" spans="1:12" ht="15" customHeight="1" x14ac:dyDescent="0.3">
      <c r="A14" s="4" t="s">
        <v>96</v>
      </c>
      <c r="B14" s="4" t="s">
        <v>97</v>
      </c>
      <c r="C14" s="4" t="s">
        <v>98</v>
      </c>
      <c r="D14" s="4"/>
      <c r="E14" s="4" t="s">
        <v>66</v>
      </c>
      <c r="F14" s="4" t="s">
        <v>99</v>
      </c>
      <c r="G14" s="4" t="s">
        <v>100</v>
      </c>
      <c r="H14" s="4" t="s">
        <v>41</v>
      </c>
      <c r="I14" s="4" t="s">
        <v>101</v>
      </c>
      <c r="J14" s="4" t="s">
        <v>102</v>
      </c>
      <c r="K14" s="4" t="s">
        <v>98</v>
      </c>
      <c r="L14" s="4" t="str">
        <f t="shared" si="0"/>
        <v>Different owner</v>
      </c>
    </row>
    <row r="15" spans="1:12" ht="15" customHeight="1" x14ac:dyDescent="0.3">
      <c r="A15" s="4" t="s">
        <v>103</v>
      </c>
      <c r="B15" s="4" t="s">
        <v>104</v>
      </c>
      <c r="C15" s="4" t="s">
        <v>105</v>
      </c>
      <c r="D15" s="4"/>
      <c r="E15" s="4" t="s">
        <v>106</v>
      </c>
      <c r="F15" s="4" t="s">
        <v>107</v>
      </c>
      <c r="G15" s="4" t="s">
        <v>49</v>
      </c>
      <c r="H15" s="4" t="s">
        <v>41</v>
      </c>
      <c r="I15" s="4" t="s">
        <v>108</v>
      </c>
      <c r="J15" s="4" t="s">
        <v>106</v>
      </c>
      <c r="K15" s="4" t="s">
        <v>109</v>
      </c>
      <c r="L15" s="4" t="str">
        <f t="shared" si="0"/>
        <v>Different contact</v>
      </c>
    </row>
    <row r="16" spans="1:12" ht="15" customHeight="1" x14ac:dyDescent="0.3">
      <c r="A16" s="4" t="s">
        <v>110</v>
      </c>
      <c r="B16" s="4" t="s">
        <v>111</v>
      </c>
      <c r="C16" s="4" t="s">
        <v>112</v>
      </c>
      <c r="D16" s="4" t="s">
        <v>113</v>
      </c>
      <c r="E16" s="4" t="s">
        <v>114</v>
      </c>
      <c r="F16" s="4" t="s">
        <v>115</v>
      </c>
      <c r="G16" s="4" t="s">
        <v>58</v>
      </c>
      <c r="H16" s="4" t="s">
        <v>116</v>
      </c>
      <c r="I16" s="4" t="s">
        <v>117</v>
      </c>
      <c r="J16" s="4" t="s">
        <v>114</v>
      </c>
      <c r="K16" s="4" t="s">
        <v>118</v>
      </c>
      <c r="L16" s="4" t="str">
        <f t="shared" si="0"/>
        <v>Different contact</v>
      </c>
    </row>
    <row r="17" spans="1:12" ht="15" customHeight="1" x14ac:dyDescent="0.3">
      <c r="A17" s="4" t="s">
        <v>119</v>
      </c>
      <c r="B17" s="4" t="s">
        <v>120</v>
      </c>
      <c r="C17" s="4" t="s">
        <v>121</v>
      </c>
      <c r="D17" s="4" t="s">
        <v>122</v>
      </c>
      <c r="E17" s="4" t="s">
        <v>106</v>
      </c>
      <c r="F17" s="4" t="s">
        <v>123</v>
      </c>
      <c r="G17" s="4" t="s">
        <v>124</v>
      </c>
      <c r="H17" s="4" t="s">
        <v>30</v>
      </c>
      <c r="I17" s="4" t="s">
        <v>125</v>
      </c>
      <c r="J17" s="4" t="s">
        <v>106</v>
      </c>
      <c r="K17" s="4" t="s">
        <v>121</v>
      </c>
      <c r="L17" s="4" t="str">
        <f t="shared" si="0"/>
        <v>Match</v>
      </c>
    </row>
    <row r="18" spans="1:12" ht="15" customHeight="1" x14ac:dyDescent="0.3">
      <c r="A18" s="4" t="s">
        <v>126</v>
      </c>
      <c r="B18" s="4" t="s">
        <v>127</v>
      </c>
      <c r="C18" s="4" t="s">
        <v>128</v>
      </c>
      <c r="D18" s="4"/>
      <c r="E18" s="4" t="s">
        <v>91</v>
      </c>
      <c r="F18" s="4" t="s">
        <v>129</v>
      </c>
      <c r="G18" s="4" t="s">
        <v>130</v>
      </c>
      <c r="H18" s="4" t="s">
        <v>41</v>
      </c>
      <c r="I18" s="4" t="s">
        <v>131</v>
      </c>
      <c r="J18" s="4" t="s">
        <v>32</v>
      </c>
      <c r="K18" s="4" t="s">
        <v>132</v>
      </c>
      <c r="L18" s="4" t="str">
        <f t="shared" si="0"/>
        <v>Different owner &amp; contact</v>
      </c>
    </row>
    <row r="19" spans="1:12" ht="15" customHeight="1" x14ac:dyDescent="0.3">
      <c r="A19" s="4" t="s">
        <v>133</v>
      </c>
      <c r="B19" s="4" t="s">
        <v>134</v>
      </c>
      <c r="C19" s="4" t="s">
        <v>135</v>
      </c>
      <c r="D19" s="4" t="s">
        <v>136</v>
      </c>
      <c r="E19" s="4" t="s">
        <v>52</v>
      </c>
      <c r="F19" s="4" t="s">
        <v>137</v>
      </c>
      <c r="G19" s="4" t="s">
        <v>138</v>
      </c>
      <c r="H19" s="4" t="s">
        <v>68</v>
      </c>
      <c r="I19" s="4" t="s">
        <v>93</v>
      </c>
      <c r="J19" s="4" t="s">
        <v>52</v>
      </c>
      <c r="K19" s="4" t="s">
        <v>135</v>
      </c>
      <c r="L19" s="4" t="str">
        <f t="shared" si="0"/>
        <v>Match</v>
      </c>
    </row>
    <row r="20" spans="1:12" ht="15" customHeight="1" x14ac:dyDescent="0.3">
      <c r="A20" s="4" t="s">
        <v>139</v>
      </c>
      <c r="B20" s="4" t="s">
        <v>134</v>
      </c>
      <c r="C20" s="4" t="s">
        <v>140</v>
      </c>
      <c r="D20" s="4"/>
      <c r="E20" s="4" t="s">
        <v>52</v>
      </c>
      <c r="F20" s="4" t="s">
        <v>137</v>
      </c>
      <c r="G20" s="4" t="s">
        <v>138</v>
      </c>
      <c r="H20" s="4" t="s">
        <v>68</v>
      </c>
      <c r="I20" s="4" t="s">
        <v>93</v>
      </c>
      <c r="J20" s="4" t="s">
        <v>52</v>
      </c>
      <c r="K20" s="4" t="s">
        <v>135</v>
      </c>
      <c r="L20" s="4" t="str">
        <f t="shared" si="0"/>
        <v>Different contact</v>
      </c>
    </row>
    <row r="21" spans="1:12" ht="15" customHeight="1" x14ac:dyDescent="0.3">
      <c r="A21" s="4" t="s">
        <v>141</v>
      </c>
      <c r="B21" s="4" t="s">
        <v>142</v>
      </c>
      <c r="C21" s="4" t="s">
        <v>143</v>
      </c>
      <c r="D21" s="4" t="s">
        <v>144</v>
      </c>
      <c r="E21" s="4" t="s">
        <v>66</v>
      </c>
      <c r="F21" s="4" t="s">
        <v>145</v>
      </c>
      <c r="G21" s="4" t="s">
        <v>40</v>
      </c>
      <c r="H21" s="4" t="s">
        <v>41</v>
      </c>
      <c r="I21" s="4" t="s">
        <v>59</v>
      </c>
      <c r="J21" s="4" t="s">
        <v>66</v>
      </c>
      <c r="K21" s="4" t="s">
        <v>143</v>
      </c>
      <c r="L21" s="4" t="str">
        <f t="shared" si="0"/>
        <v>Match</v>
      </c>
    </row>
    <row r="22" spans="1:12" ht="15" customHeight="1" x14ac:dyDescent="0.3">
      <c r="A22" s="4" t="s">
        <v>146</v>
      </c>
      <c r="B22" s="4" t="s">
        <v>147</v>
      </c>
      <c r="C22" s="4"/>
      <c r="D22" s="4"/>
      <c r="E22" s="4" t="s">
        <v>34</v>
      </c>
      <c r="F22" s="4" t="s">
        <v>148</v>
      </c>
      <c r="G22" s="4" t="s">
        <v>40</v>
      </c>
      <c r="H22" s="4" t="s">
        <v>41</v>
      </c>
      <c r="I22" s="4" t="s">
        <v>149</v>
      </c>
      <c r="J22" s="4" t="s">
        <v>34</v>
      </c>
      <c r="K22" s="4" t="s">
        <v>150</v>
      </c>
      <c r="L22" s="4" t="str">
        <f t="shared" si="0"/>
        <v>Different contact</v>
      </c>
    </row>
    <row r="23" spans="1:12" ht="15" customHeight="1" x14ac:dyDescent="0.3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91</v>
      </c>
      <c r="F23" s="4" t="s">
        <v>155</v>
      </c>
      <c r="G23" s="4" t="s">
        <v>84</v>
      </c>
      <c r="H23" s="4" t="s">
        <v>41</v>
      </c>
      <c r="I23" s="4" t="s">
        <v>59</v>
      </c>
      <c r="J23" s="4" t="s">
        <v>94</v>
      </c>
      <c r="K23" s="4" t="s">
        <v>156</v>
      </c>
      <c r="L23" s="4" t="str">
        <f t="shared" si="0"/>
        <v>Different owner &amp; contact</v>
      </c>
    </row>
    <row r="24" spans="1:12" ht="15" customHeight="1" x14ac:dyDescent="0.3">
      <c r="A24" s="4" t="s">
        <v>157</v>
      </c>
      <c r="B24" s="4" t="s">
        <v>152</v>
      </c>
      <c r="C24" s="4" t="s">
        <v>158</v>
      </c>
      <c r="D24" s="4" t="s">
        <v>154</v>
      </c>
      <c r="E24" s="4" t="s">
        <v>91</v>
      </c>
      <c r="F24" s="4" t="s">
        <v>155</v>
      </c>
      <c r="G24" s="4" t="s">
        <v>84</v>
      </c>
      <c r="H24" s="4" t="s">
        <v>41</v>
      </c>
      <c r="I24" s="4" t="s">
        <v>59</v>
      </c>
      <c r="J24" s="4" t="s">
        <v>94</v>
      </c>
      <c r="K24" s="4" t="s">
        <v>156</v>
      </c>
      <c r="L24" s="4" t="str">
        <f t="shared" si="0"/>
        <v>Different owner &amp; contact</v>
      </c>
    </row>
    <row r="25" spans="1:12" ht="15" customHeight="1" x14ac:dyDescent="0.3">
      <c r="A25" s="4" t="s">
        <v>159</v>
      </c>
      <c r="B25" s="4" t="s">
        <v>160</v>
      </c>
      <c r="C25" s="4" t="s">
        <v>161</v>
      </c>
      <c r="D25" s="4"/>
      <c r="E25" s="4" t="s">
        <v>56</v>
      </c>
      <c r="F25" s="4" t="s">
        <v>162</v>
      </c>
      <c r="G25" s="4" t="s">
        <v>163</v>
      </c>
      <c r="H25" s="4" t="s">
        <v>68</v>
      </c>
      <c r="I25" s="4" t="s">
        <v>164</v>
      </c>
      <c r="J25" s="4" t="s">
        <v>34</v>
      </c>
      <c r="K25" s="4" t="s">
        <v>165</v>
      </c>
      <c r="L25" s="4" t="str">
        <f t="shared" si="0"/>
        <v>Different owner &amp; contact</v>
      </c>
    </row>
    <row r="26" spans="1:12" ht="15" customHeight="1" x14ac:dyDescent="0.3">
      <c r="A26" s="4" t="s">
        <v>166</v>
      </c>
      <c r="B26" s="4" t="s">
        <v>167</v>
      </c>
      <c r="C26" s="4" t="s">
        <v>168</v>
      </c>
      <c r="D26" s="4"/>
      <c r="E26" s="4" t="s">
        <v>52</v>
      </c>
      <c r="F26" s="4" t="s">
        <v>169</v>
      </c>
      <c r="G26" s="4" t="s">
        <v>58</v>
      </c>
      <c r="H26" s="4" t="s">
        <v>41</v>
      </c>
      <c r="I26" s="4" t="s">
        <v>59</v>
      </c>
      <c r="J26" s="4" t="s">
        <v>52</v>
      </c>
      <c r="K26" s="4" t="s">
        <v>168</v>
      </c>
      <c r="L26" s="4" t="str">
        <f t="shared" si="0"/>
        <v>Match</v>
      </c>
    </row>
    <row r="27" spans="1:12" ht="15" customHeight="1" x14ac:dyDescent="0.3">
      <c r="A27" s="4" t="s">
        <v>170</v>
      </c>
      <c r="B27" s="4" t="s">
        <v>171</v>
      </c>
      <c r="C27" s="4"/>
      <c r="D27" s="4"/>
      <c r="E27" s="4" t="s">
        <v>172</v>
      </c>
      <c r="F27" s="4" t="s">
        <v>173</v>
      </c>
      <c r="G27" s="4" t="s">
        <v>58</v>
      </c>
      <c r="H27" s="4" t="s">
        <v>174</v>
      </c>
      <c r="I27" s="4" t="s">
        <v>175</v>
      </c>
      <c r="J27" s="4" t="s">
        <v>176</v>
      </c>
      <c r="K27" s="4" t="s">
        <v>177</v>
      </c>
      <c r="L27" s="4" t="str">
        <f t="shared" si="0"/>
        <v>Different owner &amp; contact</v>
      </c>
    </row>
    <row r="28" spans="1:12" ht="15" customHeight="1" x14ac:dyDescent="0.3">
      <c r="A28" s="4" t="s">
        <v>178</v>
      </c>
      <c r="B28" s="4" t="s">
        <v>171</v>
      </c>
      <c r="C28" s="4" t="s">
        <v>179</v>
      </c>
      <c r="D28" s="4" t="s">
        <v>180</v>
      </c>
      <c r="E28" s="4" t="s">
        <v>172</v>
      </c>
      <c r="F28" s="4" t="s">
        <v>173</v>
      </c>
      <c r="G28" s="4" t="s">
        <v>58</v>
      </c>
      <c r="H28" s="4" t="s">
        <v>174</v>
      </c>
      <c r="I28" s="4" t="s">
        <v>175</v>
      </c>
      <c r="J28" s="4" t="s">
        <v>176</v>
      </c>
      <c r="K28" s="4" t="s">
        <v>177</v>
      </c>
      <c r="L28" s="4" t="str">
        <f t="shared" si="0"/>
        <v>Different owner &amp; contact</v>
      </c>
    </row>
    <row r="29" spans="1:12" ht="15" customHeight="1" x14ac:dyDescent="0.3">
      <c r="A29" s="4" t="s">
        <v>181</v>
      </c>
      <c r="B29" s="4" t="s">
        <v>182</v>
      </c>
      <c r="C29" s="4" t="s">
        <v>183</v>
      </c>
      <c r="D29" s="4" t="s">
        <v>184</v>
      </c>
      <c r="E29" s="4" t="s">
        <v>52</v>
      </c>
      <c r="F29" s="4" t="s">
        <v>185</v>
      </c>
      <c r="G29" s="4" t="s">
        <v>138</v>
      </c>
      <c r="H29" s="4" t="s">
        <v>30</v>
      </c>
      <c r="I29" s="4" t="s">
        <v>125</v>
      </c>
      <c r="J29" s="4" t="s">
        <v>34</v>
      </c>
      <c r="K29" s="4" t="s">
        <v>186</v>
      </c>
      <c r="L29" s="4" t="str">
        <f t="shared" si="0"/>
        <v>Different owner &amp; contact</v>
      </c>
    </row>
    <row r="30" spans="1:12" ht="15" customHeight="1" x14ac:dyDescent="0.3">
      <c r="A30" s="4" t="s">
        <v>187</v>
      </c>
      <c r="B30" s="4" t="s">
        <v>188</v>
      </c>
      <c r="C30" s="4" t="s">
        <v>189</v>
      </c>
      <c r="D30" s="4"/>
      <c r="E30" s="4" t="s">
        <v>56</v>
      </c>
      <c r="F30" s="4" t="s">
        <v>190</v>
      </c>
      <c r="G30" s="4" t="s">
        <v>29</v>
      </c>
      <c r="H30" s="4" t="s">
        <v>41</v>
      </c>
      <c r="I30" s="4" t="s">
        <v>131</v>
      </c>
      <c r="J30" s="4" t="s">
        <v>102</v>
      </c>
      <c r="K30" s="4" t="s">
        <v>191</v>
      </c>
      <c r="L30" s="4" t="str">
        <f t="shared" si="0"/>
        <v>Different owner &amp; contact</v>
      </c>
    </row>
    <row r="31" spans="1:12" ht="15" customHeight="1" x14ac:dyDescent="0.3">
      <c r="A31" s="4" t="s">
        <v>192</v>
      </c>
      <c r="B31" s="4" t="s">
        <v>193</v>
      </c>
      <c r="C31" s="4" t="s">
        <v>194</v>
      </c>
      <c r="D31" s="4"/>
      <c r="E31" s="4" t="s">
        <v>56</v>
      </c>
      <c r="F31" s="4" t="s">
        <v>195</v>
      </c>
      <c r="G31" s="4" t="s">
        <v>58</v>
      </c>
      <c r="H31" s="4" t="s">
        <v>41</v>
      </c>
      <c r="I31" s="4" t="s">
        <v>196</v>
      </c>
      <c r="J31" s="4" t="s">
        <v>32</v>
      </c>
      <c r="K31" s="4" t="s">
        <v>197</v>
      </c>
      <c r="L31" s="4" t="str">
        <f t="shared" si="0"/>
        <v>Different owner &amp; contact</v>
      </c>
    </row>
    <row r="32" spans="1:12" ht="15" customHeight="1" x14ac:dyDescent="0.3">
      <c r="A32" s="4" t="s">
        <v>198</v>
      </c>
      <c r="B32" s="4" t="s">
        <v>199</v>
      </c>
      <c r="C32" s="4" t="s">
        <v>200</v>
      </c>
      <c r="D32" s="4" t="s">
        <v>201</v>
      </c>
      <c r="E32" s="4" t="s">
        <v>66</v>
      </c>
      <c r="F32" s="4" t="s">
        <v>202</v>
      </c>
      <c r="G32" s="4" t="s">
        <v>40</v>
      </c>
      <c r="H32" s="4" t="s">
        <v>41</v>
      </c>
      <c r="I32" s="4" t="s">
        <v>131</v>
      </c>
      <c r="J32" s="4" t="s">
        <v>66</v>
      </c>
      <c r="K32" s="4" t="s">
        <v>203</v>
      </c>
      <c r="L32" s="4" t="str">
        <f t="shared" si="0"/>
        <v>Different contact</v>
      </c>
    </row>
    <row r="33" spans="1:12" ht="15" customHeight="1" x14ac:dyDescent="0.3">
      <c r="A33" s="4" t="s">
        <v>204</v>
      </c>
      <c r="B33" s="4" t="s">
        <v>205</v>
      </c>
      <c r="C33" s="4" t="s">
        <v>206</v>
      </c>
      <c r="D33" s="4" t="s">
        <v>207</v>
      </c>
      <c r="E33" s="4" t="s">
        <v>66</v>
      </c>
      <c r="F33" s="4" t="s">
        <v>208</v>
      </c>
      <c r="G33" s="4" t="s">
        <v>209</v>
      </c>
      <c r="H33" s="4" t="s">
        <v>41</v>
      </c>
      <c r="I33" s="4" t="s">
        <v>210</v>
      </c>
      <c r="J33" s="4" t="s">
        <v>66</v>
      </c>
      <c r="K33" s="4" t="s">
        <v>211</v>
      </c>
      <c r="L33" s="4" t="str">
        <f t="shared" si="0"/>
        <v>Different contact</v>
      </c>
    </row>
    <row r="34" spans="1:12" ht="15" customHeight="1" x14ac:dyDescent="0.3">
      <c r="A34" s="4" t="s">
        <v>212</v>
      </c>
      <c r="B34" s="4" t="s">
        <v>213</v>
      </c>
      <c r="C34" s="4" t="s">
        <v>214</v>
      </c>
      <c r="D34" s="4"/>
      <c r="E34" s="4" t="s">
        <v>106</v>
      </c>
      <c r="F34" s="4" t="s">
        <v>215</v>
      </c>
      <c r="G34" s="4" t="s">
        <v>40</v>
      </c>
      <c r="H34" s="4" t="s">
        <v>41</v>
      </c>
      <c r="I34" s="4" t="s">
        <v>59</v>
      </c>
      <c r="J34" s="4" t="s">
        <v>106</v>
      </c>
      <c r="K34" s="4" t="s">
        <v>214</v>
      </c>
      <c r="L34" s="4" t="str">
        <f t="shared" si="0"/>
        <v>Match</v>
      </c>
    </row>
    <row r="35" spans="1:12" ht="15" customHeight="1" x14ac:dyDescent="0.3">
      <c r="A35" s="4" t="s">
        <v>216</v>
      </c>
      <c r="B35" s="4" t="s">
        <v>217</v>
      </c>
      <c r="C35" s="4" t="s">
        <v>218</v>
      </c>
      <c r="D35" s="4" t="s">
        <v>219</v>
      </c>
      <c r="E35" s="4" t="s">
        <v>172</v>
      </c>
      <c r="F35" s="4" t="s">
        <v>220</v>
      </c>
      <c r="G35" s="4" t="s">
        <v>130</v>
      </c>
      <c r="H35" s="4" t="s">
        <v>174</v>
      </c>
      <c r="I35" s="4" t="s">
        <v>175</v>
      </c>
      <c r="J35" s="4" t="s">
        <v>176</v>
      </c>
      <c r="K35" s="4" t="s">
        <v>221</v>
      </c>
      <c r="L35" s="4" t="str">
        <f t="shared" si="0"/>
        <v>Different owner &amp; contact</v>
      </c>
    </row>
    <row r="36" spans="1:12" ht="15" customHeight="1" x14ac:dyDescent="0.3">
      <c r="A36" s="4" t="s">
        <v>222</v>
      </c>
      <c r="B36" s="4" t="s">
        <v>217</v>
      </c>
      <c r="C36" s="4" t="s">
        <v>223</v>
      </c>
      <c r="D36" s="4"/>
      <c r="E36" s="4" t="s">
        <v>172</v>
      </c>
      <c r="F36" s="4" t="s">
        <v>220</v>
      </c>
      <c r="G36" s="4" t="s">
        <v>130</v>
      </c>
      <c r="H36" s="4" t="s">
        <v>174</v>
      </c>
      <c r="I36" s="4" t="s">
        <v>175</v>
      </c>
      <c r="J36" s="4" t="s">
        <v>176</v>
      </c>
      <c r="K36" s="4" t="s">
        <v>221</v>
      </c>
      <c r="L36" s="4" t="str">
        <f t="shared" si="0"/>
        <v>Different owner &amp; contact</v>
      </c>
    </row>
    <row r="37" spans="1:12" ht="15" customHeight="1" x14ac:dyDescent="0.3">
      <c r="A37" s="4" t="s">
        <v>224</v>
      </c>
      <c r="B37" s="4" t="s">
        <v>225</v>
      </c>
      <c r="C37" s="4" t="s">
        <v>226</v>
      </c>
      <c r="D37" s="4"/>
      <c r="E37" s="4" t="s">
        <v>91</v>
      </c>
      <c r="F37" s="4" t="s">
        <v>227</v>
      </c>
      <c r="G37" s="4" t="s">
        <v>130</v>
      </c>
      <c r="H37" s="4" t="s">
        <v>41</v>
      </c>
      <c r="I37" s="4" t="s">
        <v>228</v>
      </c>
      <c r="J37" s="4" t="s">
        <v>32</v>
      </c>
      <c r="K37" s="4" t="s">
        <v>229</v>
      </c>
      <c r="L37" s="4" t="str">
        <f t="shared" si="0"/>
        <v>Different owner &amp; contact</v>
      </c>
    </row>
    <row r="38" spans="1:12" ht="15" customHeight="1" x14ac:dyDescent="0.3">
      <c r="A38" s="4" t="s">
        <v>230</v>
      </c>
      <c r="B38" s="4" t="s">
        <v>231</v>
      </c>
      <c r="C38" s="4" t="s">
        <v>232</v>
      </c>
      <c r="D38" s="4"/>
      <c r="E38" s="4" t="s">
        <v>52</v>
      </c>
      <c r="F38" s="4" t="s">
        <v>233</v>
      </c>
      <c r="G38" s="4" t="s">
        <v>49</v>
      </c>
      <c r="H38" s="4" t="s">
        <v>30</v>
      </c>
      <c r="I38" s="4" t="s">
        <v>125</v>
      </c>
      <c r="J38" s="4" t="s">
        <v>52</v>
      </c>
      <c r="K38" s="4" t="s">
        <v>234</v>
      </c>
      <c r="L38" s="4" t="str">
        <f t="shared" si="0"/>
        <v>Different contact</v>
      </c>
    </row>
    <row r="39" spans="1:12" ht="15" customHeight="1" x14ac:dyDescent="0.3">
      <c r="A39" s="4" t="s">
        <v>235</v>
      </c>
      <c r="B39" s="4" t="s">
        <v>231</v>
      </c>
      <c r="C39" s="4" t="s">
        <v>234</v>
      </c>
      <c r="D39" s="4"/>
      <c r="E39" s="4" t="s">
        <v>52</v>
      </c>
      <c r="F39" s="4" t="s">
        <v>233</v>
      </c>
      <c r="G39" s="4" t="s">
        <v>49</v>
      </c>
      <c r="H39" s="4" t="s">
        <v>30</v>
      </c>
      <c r="I39" s="4" t="s">
        <v>125</v>
      </c>
      <c r="J39" s="4" t="s">
        <v>52</v>
      </c>
      <c r="K39" s="4" t="s">
        <v>234</v>
      </c>
      <c r="L39" s="4" t="str">
        <f t="shared" si="0"/>
        <v>Match</v>
      </c>
    </row>
    <row r="40" spans="1:12" ht="15" customHeight="1" x14ac:dyDescent="0.3">
      <c r="A40" s="4" t="s">
        <v>236</v>
      </c>
      <c r="B40" s="4" t="s">
        <v>237</v>
      </c>
      <c r="C40" s="4" t="s">
        <v>238</v>
      </c>
      <c r="D40" s="4"/>
      <c r="E40" s="4" t="s">
        <v>52</v>
      </c>
      <c r="F40" s="4" t="s">
        <v>239</v>
      </c>
      <c r="G40" s="4" t="s">
        <v>49</v>
      </c>
      <c r="H40" s="4" t="s">
        <v>41</v>
      </c>
      <c r="I40" s="4" t="s">
        <v>228</v>
      </c>
      <c r="J40" s="4" t="s">
        <v>52</v>
      </c>
      <c r="K40" s="4" t="s">
        <v>240</v>
      </c>
      <c r="L40" s="4" t="str">
        <f t="shared" si="0"/>
        <v>Different contact</v>
      </c>
    </row>
    <row r="41" spans="1:12" ht="15" customHeight="1" x14ac:dyDescent="0.3">
      <c r="A41" s="4" t="s">
        <v>241</v>
      </c>
      <c r="B41" s="4" t="s">
        <v>237</v>
      </c>
      <c r="C41" s="4" t="s">
        <v>240</v>
      </c>
      <c r="D41" s="4"/>
      <c r="E41" s="4" t="s">
        <v>52</v>
      </c>
      <c r="F41" s="4" t="s">
        <v>239</v>
      </c>
      <c r="G41" s="4" t="s">
        <v>49</v>
      </c>
      <c r="H41" s="4" t="s">
        <v>41</v>
      </c>
      <c r="I41" s="4" t="s">
        <v>228</v>
      </c>
      <c r="J41" s="4" t="s">
        <v>52</v>
      </c>
      <c r="K41" s="4" t="s">
        <v>240</v>
      </c>
      <c r="L41" s="4" t="str">
        <f t="shared" si="0"/>
        <v>Match</v>
      </c>
    </row>
    <row r="42" spans="1:12" ht="15" customHeight="1" x14ac:dyDescent="0.3">
      <c r="A42" s="4" t="s">
        <v>242</v>
      </c>
      <c r="B42" s="4" t="s">
        <v>237</v>
      </c>
      <c r="C42" s="4" t="s">
        <v>243</v>
      </c>
      <c r="D42" s="4" t="s">
        <v>244</v>
      </c>
      <c r="E42" s="4" t="s">
        <v>52</v>
      </c>
      <c r="F42" s="4" t="s">
        <v>239</v>
      </c>
      <c r="G42" s="4" t="s">
        <v>49</v>
      </c>
      <c r="H42" s="4" t="s">
        <v>41</v>
      </c>
      <c r="I42" s="4" t="s">
        <v>228</v>
      </c>
      <c r="J42" s="4" t="s">
        <v>52</v>
      </c>
      <c r="K42" s="4" t="s">
        <v>240</v>
      </c>
      <c r="L42" s="4" t="str">
        <f t="shared" si="0"/>
        <v>Different contact</v>
      </c>
    </row>
    <row r="43" spans="1:12" ht="15" customHeight="1" x14ac:dyDescent="0.3">
      <c r="A43" s="4" t="s">
        <v>245</v>
      </c>
      <c r="B43" s="4" t="s">
        <v>246</v>
      </c>
      <c r="C43" s="4" t="s">
        <v>247</v>
      </c>
      <c r="D43" s="4" t="s">
        <v>248</v>
      </c>
      <c r="E43" s="4" t="s">
        <v>91</v>
      </c>
      <c r="F43" s="4" t="s">
        <v>249</v>
      </c>
      <c r="G43" s="4" t="s">
        <v>130</v>
      </c>
      <c r="H43" s="4" t="s">
        <v>41</v>
      </c>
      <c r="I43" s="4" t="s">
        <v>228</v>
      </c>
      <c r="J43" s="4" t="s">
        <v>32</v>
      </c>
      <c r="K43" s="4" t="s">
        <v>250</v>
      </c>
      <c r="L43" s="4" t="str">
        <f t="shared" si="0"/>
        <v>Different owner &amp; contact</v>
      </c>
    </row>
    <row r="44" spans="1:12" ht="15" customHeight="1" x14ac:dyDescent="0.3">
      <c r="A44" s="4" t="s">
        <v>251</v>
      </c>
      <c r="B44" s="4" t="s">
        <v>252</v>
      </c>
      <c r="C44" s="4" t="s">
        <v>253</v>
      </c>
      <c r="D44" s="4"/>
      <c r="E44" s="4" t="s">
        <v>56</v>
      </c>
      <c r="F44" s="4" t="s">
        <v>254</v>
      </c>
      <c r="G44" s="4" t="s">
        <v>209</v>
      </c>
      <c r="H44" s="4" t="s">
        <v>41</v>
      </c>
      <c r="I44" s="4" t="s">
        <v>101</v>
      </c>
      <c r="J44" s="4" t="s">
        <v>60</v>
      </c>
      <c r="K44" s="4" t="s">
        <v>255</v>
      </c>
      <c r="L44" s="4" t="str">
        <f t="shared" si="0"/>
        <v>Different owner &amp; contact</v>
      </c>
    </row>
    <row r="45" spans="1:12" ht="15" customHeight="1" x14ac:dyDescent="0.3">
      <c r="A45" s="4" t="s">
        <v>256</v>
      </c>
      <c r="B45" s="4" t="s">
        <v>257</v>
      </c>
      <c r="C45" s="4" t="s">
        <v>258</v>
      </c>
      <c r="D45" s="4"/>
      <c r="E45" s="4" t="s">
        <v>56</v>
      </c>
      <c r="F45" s="4" t="s">
        <v>259</v>
      </c>
      <c r="G45" s="4" t="s">
        <v>163</v>
      </c>
      <c r="H45" s="4" t="s">
        <v>68</v>
      </c>
      <c r="I45" s="4" t="s">
        <v>164</v>
      </c>
      <c r="J45" s="4" t="s">
        <v>60</v>
      </c>
      <c r="K45" s="4" t="s">
        <v>260</v>
      </c>
      <c r="L45" s="4" t="str">
        <f t="shared" si="0"/>
        <v>Different owner &amp; contact</v>
      </c>
    </row>
    <row r="46" spans="1:12" ht="15" customHeight="1" x14ac:dyDescent="0.3">
      <c r="A46" s="4" t="s">
        <v>261</v>
      </c>
      <c r="B46" s="4" t="s">
        <v>262</v>
      </c>
      <c r="C46" s="4"/>
      <c r="D46" s="4"/>
      <c r="E46" s="4" t="s">
        <v>34</v>
      </c>
      <c r="F46" s="4" t="s">
        <v>263</v>
      </c>
      <c r="G46" s="4" t="s">
        <v>58</v>
      </c>
      <c r="H46" s="4" t="s">
        <v>68</v>
      </c>
      <c r="I46" s="4" t="s">
        <v>264</v>
      </c>
      <c r="J46" s="4" t="s">
        <v>34</v>
      </c>
      <c r="K46" s="4" t="s">
        <v>265</v>
      </c>
      <c r="L46" s="4" t="str">
        <f t="shared" si="0"/>
        <v>Different contact</v>
      </c>
    </row>
    <row r="47" spans="1:12" ht="15" customHeight="1" x14ac:dyDescent="0.3">
      <c r="A47" s="4" t="s">
        <v>261</v>
      </c>
      <c r="B47" s="4" t="s">
        <v>262</v>
      </c>
      <c r="C47" s="4"/>
      <c r="D47" s="4"/>
      <c r="E47" s="4" t="s">
        <v>34</v>
      </c>
      <c r="F47" s="4" t="s">
        <v>263</v>
      </c>
      <c r="G47" s="4" t="s">
        <v>58</v>
      </c>
      <c r="H47" s="4" t="s">
        <v>68</v>
      </c>
      <c r="I47" s="4" t="s">
        <v>264</v>
      </c>
      <c r="J47" s="4" t="s">
        <v>34</v>
      </c>
      <c r="K47" s="4" t="s">
        <v>265</v>
      </c>
      <c r="L47" s="4" t="str">
        <f t="shared" si="0"/>
        <v>Different contact</v>
      </c>
    </row>
    <row r="48" spans="1:12" ht="15" customHeight="1" x14ac:dyDescent="0.3">
      <c r="A48" s="4" t="s">
        <v>261</v>
      </c>
      <c r="B48" s="4" t="s">
        <v>262</v>
      </c>
      <c r="C48" s="4"/>
      <c r="D48" s="4"/>
      <c r="E48" s="4" t="s">
        <v>34</v>
      </c>
      <c r="F48" s="4" t="s">
        <v>263</v>
      </c>
      <c r="G48" s="4" t="s">
        <v>58</v>
      </c>
      <c r="H48" s="4" t="s">
        <v>68</v>
      </c>
      <c r="I48" s="4" t="s">
        <v>264</v>
      </c>
      <c r="J48" s="4" t="s">
        <v>34</v>
      </c>
      <c r="K48" s="4" t="s">
        <v>265</v>
      </c>
      <c r="L48" s="4" t="str">
        <f t="shared" si="0"/>
        <v>Different contact</v>
      </c>
    </row>
    <row r="49" spans="1:12" ht="15" customHeight="1" x14ac:dyDescent="0.3">
      <c r="A49" s="4" t="s">
        <v>266</v>
      </c>
      <c r="B49" s="4" t="s">
        <v>262</v>
      </c>
      <c r="C49" s="4" t="s">
        <v>267</v>
      </c>
      <c r="D49" s="4" t="s">
        <v>268</v>
      </c>
      <c r="E49" s="4" t="s">
        <v>27</v>
      </c>
      <c r="F49" s="4" t="s">
        <v>263</v>
      </c>
      <c r="G49" s="4" t="s">
        <v>58</v>
      </c>
      <c r="H49" s="4" t="s">
        <v>68</v>
      </c>
      <c r="I49" s="4" t="s">
        <v>264</v>
      </c>
      <c r="J49" s="4" t="s">
        <v>34</v>
      </c>
      <c r="K49" s="4" t="s">
        <v>265</v>
      </c>
      <c r="L49" s="4" t="str">
        <f t="shared" si="0"/>
        <v>Different owner &amp; contact</v>
      </c>
    </row>
    <row r="50" spans="1:12" ht="15" customHeight="1" x14ac:dyDescent="0.3">
      <c r="A50" s="4" t="s">
        <v>266</v>
      </c>
      <c r="B50" s="4" t="s">
        <v>262</v>
      </c>
      <c r="C50" s="4"/>
      <c r="D50" s="4"/>
      <c r="E50" s="4" t="s">
        <v>34</v>
      </c>
      <c r="F50" s="4" t="s">
        <v>263</v>
      </c>
      <c r="G50" s="4" t="s">
        <v>58</v>
      </c>
      <c r="H50" s="4" t="s">
        <v>68</v>
      </c>
      <c r="I50" s="4" t="s">
        <v>264</v>
      </c>
      <c r="J50" s="4" t="s">
        <v>34</v>
      </c>
      <c r="K50" s="4" t="s">
        <v>265</v>
      </c>
      <c r="L50" s="4" t="str">
        <f t="shared" si="0"/>
        <v>Different contact</v>
      </c>
    </row>
    <row r="51" spans="1:12" ht="15" customHeight="1" x14ac:dyDescent="0.3">
      <c r="A51" s="4" t="s">
        <v>269</v>
      </c>
      <c r="B51" s="4" t="s">
        <v>262</v>
      </c>
      <c r="C51" s="4" t="s">
        <v>270</v>
      </c>
      <c r="D51" s="4" t="s">
        <v>271</v>
      </c>
      <c r="E51" s="4" t="s">
        <v>34</v>
      </c>
      <c r="F51" s="4" t="s">
        <v>263</v>
      </c>
      <c r="G51" s="4" t="s">
        <v>58</v>
      </c>
      <c r="H51" s="4" t="s">
        <v>68</v>
      </c>
      <c r="I51" s="4" t="s">
        <v>264</v>
      </c>
      <c r="J51" s="4" t="s">
        <v>34</v>
      </c>
      <c r="K51" s="4" t="s">
        <v>265</v>
      </c>
      <c r="L51" s="4" t="str">
        <f t="shared" si="0"/>
        <v>Different contact</v>
      </c>
    </row>
    <row r="52" spans="1:12" ht="15" customHeight="1" x14ac:dyDescent="0.3">
      <c r="A52" s="4" t="s">
        <v>272</v>
      </c>
      <c r="B52" s="4" t="s">
        <v>262</v>
      </c>
      <c r="C52" s="4" t="s">
        <v>273</v>
      </c>
      <c r="D52" s="4" t="s">
        <v>274</v>
      </c>
      <c r="E52" s="4" t="s">
        <v>27</v>
      </c>
      <c r="F52" s="4" t="s">
        <v>263</v>
      </c>
      <c r="G52" s="4" t="s">
        <v>58</v>
      </c>
      <c r="H52" s="4" t="s">
        <v>68</v>
      </c>
      <c r="I52" s="4" t="s">
        <v>264</v>
      </c>
      <c r="J52" s="4" t="s">
        <v>34</v>
      </c>
      <c r="K52" s="4" t="s">
        <v>265</v>
      </c>
      <c r="L52" s="4" t="str">
        <f t="shared" si="0"/>
        <v>Different owner &amp; contact</v>
      </c>
    </row>
    <row r="53" spans="1:12" ht="15" customHeight="1" x14ac:dyDescent="0.3">
      <c r="A53" s="4" t="s">
        <v>275</v>
      </c>
      <c r="B53" s="4" t="s">
        <v>276</v>
      </c>
      <c r="C53" s="4" t="s">
        <v>277</v>
      </c>
      <c r="D53" s="4" t="s">
        <v>278</v>
      </c>
      <c r="E53" s="4" t="s">
        <v>66</v>
      </c>
      <c r="F53" s="4" t="s">
        <v>279</v>
      </c>
      <c r="G53" s="4" t="s">
        <v>58</v>
      </c>
      <c r="H53" s="4" t="s">
        <v>68</v>
      </c>
      <c r="I53" s="4" t="s">
        <v>280</v>
      </c>
      <c r="J53" s="4" t="s">
        <v>66</v>
      </c>
      <c r="K53" s="4" t="s">
        <v>277</v>
      </c>
      <c r="L53" s="4" t="str">
        <f t="shared" si="0"/>
        <v>Match</v>
      </c>
    </row>
    <row r="54" spans="1:12" ht="15" customHeight="1" x14ac:dyDescent="0.3">
      <c r="A54" s="4" t="s">
        <v>281</v>
      </c>
      <c r="B54" s="4" t="s">
        <v>276</v>
      </c>
      <c r="C54" s="4" t="s">
        <v>282</v>
      </c>
      <c r="D54" s="4" t="s">
        <v>283</v>
      </c>
      <c r="E54" s="4" t="s">
        <v>66</v>
      </c>
      <c r="F54" s="4" t="s">
        <v>279</v>
      </c>
      <c r="G54" s="4" t="s">
        <v>58</v>
      </c>
      <c r="H54" s="4" t="s">
        <v>68</v>
      </c>
      <c r="I54" s="4" t="s">
        <v>280</v>
      </c>
      <c r="J54" s="4" t="s">
        <v>66</v>
      </c>
      <c r="K54" s="4" t="s">
        <v>277</v>
      </c>
      <c r="L54" s="4" t="str">
        <f t="shared" si="0"/>
        <v>Different contact</v>
      </c>
    </row>
    <row r="55" spans="1:12" ht="15" customHeight="1" x14ac:dyDescent="0.3">
      <c r="A55" s="4" t="s">
        <v>284</v>
      </c>
      <c r="B55" s="4" t="s">
        <v>285</v>
      </c>
      <c r="C55" s="4" t="s">
        <v>286</v>
      </c>
      <c r="D55" s="4"/>
      <c r="E55" s="4" t="s">
        <v>27</v>
      </c>
      <c r="F55" s="4" t="s">
        <v>287</v>
      </c>
      <c r="G55" s="4" t="s">
        <v>29</v>
      </c>
      <c r="H55" s="4" t="s">
        <v>41</v>
      </c>
      <c r="I55" s="4" t="s">
        <v>85</v>
      </c>
      <c r="J55" s="4" t="s">
        <v>32</v>
      </c>
      <c r="K55" s="4" t="s">
        <v>286</v>
      </c>
      <c r="L55" s="4" t="str">
        <f t="shared" si="0"/>
        <v>Different owner</v>
      </c>
    </row>
    <row r="56" spans="1:12" ht="15" customHeight="1" x14ac:dyDescent="0.3">
      <c r="A56" s="4" t="s">
        <v>288</v>
      </c>
      <c r="B56" s="4" t="s">
        <v>289</v>
      </c>
      <c r="C56" s="4" t="s">
        <v>290</v>
      </c>
      <c r="D56" s="4" t="s">
        <v>291</v>
      </c>
      <c r="E56" s="4" t="s">
        <v>106</v>
      </c>
      <c r="F56" s="4" t="s">
        <v>292</v>
      </c>
      <c r="G56" s="4" t="s">
        <v>293</v>
      </c>
      <c r="H56" s="4" t="s">
        <v>41</v>
      </c>
      <c r="I56" s="4" t="s">
        <v>59</v>
      </c>
      <c r="J56" s="4" t="s">
        <v>106</v>
      </c>
      <c r="K56" s="4" t="s">
        <v>290</v>
      </c>
      <c r="L56" s="4" t="str">
        <f t="shared" si="0"/>
        <v>Match</v>
      </c>
    </row>
    <row r="57" spans="1:12" ht="15" customHeight="1" x14ac:dyDescent="0.3">
      <c r="A57" s="4" t="s">
        <v>294</v>
      </c>
      <c r="B57" s="4" t="s">
        <v>295</v>
      </c>
      <c r="C57" s="4" t="s">
        <v>296</v>
      </c>
      <c r="D57" s="4" t="s">
        <v>297</v>
      </c>
      <c r="E57" s="4" t="s">
        <v>106</v>
      </c>
      <c r="F57" s="4" t="s">
        <v>298</v>
      </c>
      <c r="G57" s="4" t="s">
        <v>124</v>
      </c>
      <c r="H57" s="4" t="s">
        <v>68</v>
      </c>
      <c r="I57" s="4" t="s">
        <v>299</v>
      </c>
      <c r="J57" s="4" t="s">
        <v>106</v>
      </c>
      <c r="K57" s="4" t="s">
        <v>300</v>
      </c>
      <c r="L57" s="4" t="str">
        <f t="shared" si="0"/>
        <v>Different contact</v>
      </c>
    </row>
    <row r="58" spans="1:12" ht="15" customHeight="1" x14ac:dyDescent="0.3">
      <c r="A58" s="4" t="s">
        <v>301</v>
      </c>
      <c r="B58" s="4" t="s">
        <v>302</v>
      </c>
      <c r="C58" s="4" t="s">
        <v>303</v>
      </c>
      <c r="D58" s="4" t="s">
        <v>304</v>
      </c>
      <c r="E58" s="4" t="s">
        <v>27</v>
      </c>
      <c r="F58" s="4" t="s">
        <v>305</v>
      </c>
      <c r="G58" s="4" t="s">
        <v>293</v>
      </c>
      <c r="H58" s="4" t="s">
        <v>30</v>
      </c>
      <c r="I58" s="4" t="s">
        <v>125</v>
      </c>
      <c r="J58" s="4" t="s">
        <v>34</v>
      </c>
      <c r="K58" s="4" t="s">
        <v>303</v>
      </c>
      <c r="L58" s="4" t="str">
        <f t="shared" si="0"/>
        <v>Different owner</v>
      </c>
    </row>
    <row r="59" spans="1:12" ht="15" customHeight="1" x14ac:dyDescent="0.3">
      <c r="A59" s="4" t="s">
        <v>306</v>
      </c>
      <c r="B59" s="4" t="s">
        <v>307</v>
      </c>
      <c r="C59" s="4" t="s">
        <v>308</v>
      </c>
      <c r="D59" s="4" t="s">
        <v>309</v>
      </c>
      <c r="E59" s="4" t="s">
        <v>106</v>
      </c>
      <c r="F59" s="4" t="s">
        <v>310</v>
      </c>
      <c r="G59" s="4" t="s">
        <v>124</v>
      </c>
      <c r="H59" s="4" t="s">
        <v>41</v>
      </c>
      <c r="I59" s="4" t="s">
        <v>311</v>
      </c>
      <c r="J59" s="4" t="s">
        <v>106</v>
      </c>
      <c r="K59" s="4" t="s">
        <v>312</v>
      </c>
      <c r="L59" s="4" t="str">
        <f t="shared" si="0"/>
        <v>Different contact</v>
      </c>
    </row>
    <row r="60" spans="1:12" ht="15" customHeight="1" x14ac:dyDescent="0.3">
      <c r="A60" s="4" t="s">
        <v>313</v>
      </c>
      <c r="B60" s="4" t="s">
        <v>314</v>
      </c>
      <c r="C60" s="4" t="s">
        <v>315</v>
      </c>
      <c r="D60" s="4" t="s">
        <v>316</v>
      </c>
      <c r="E60" s="4" t="s">
        <v>106</v>
      </c>
      <c r="F60" s="4" t="s">
        <v>317</v>
      </c>
      <c r="G60" s="4" t="s">
        <v>40</v>
      </c>
      <c r="H60" s="4" t="s">
        <v>41</v>
      </c>
      <c r="I60" s="4" t="s">
        <v>101</v>
      </c>
      <c r="J60" s="4" t="s">
        <v>106</v>
      </c>
      <c r="K60" s="4" t="s">
        <v>318</v>
      </c>
      <c r="L60" s="4" t="str">
        <f t="shared" si="0"/>
        <v>Different contact</v>
      </c>
    </row>
    <row r="61" spans="1:12" ht="15" customHeight="1" x14ac:dyDescent="0.3">
      <c r="A61" s="4" t="s">
        <v>319</v>
      </c>
      <c r="B61" s="4" t="s">
        <v>320</v>
      </c>
      <c r="C61" s="4" t="s">
        <v>321</v>
      </c>
      <c r="D61" s="4" t="s">
        <v>322</v>
      </c>
      <c r="E61" s="4" t="s">
        <v>91</v>
      </c>
      <c r="F61" s="4" t="s">
        <v>323</v>
      </c>
      <c r="G61" s="4" t="s">
        <v>29</v>
      </c>
      <c r="H61" s="4" t="s">
        <v>41</v>
      </c>
      <c r="I61" s="4" t="s">
        <v>85</v>
      </c>
      <c r="J61" s="4" t="s">
        <v>34</v>
      </c>
      <c r="K61" s="4" t="s">
        <v>324</v>
      </c>
      <c r="L61" s="4" t="str">
        <f t="shared" si="0"/>
        <v>Different owner &amp; contact</v>
      </c>
    </row>
    <row r="62" spans="1:12" ht="15" customHeight="1" x14ac:dyDescent="0.3">
      <c r="A62" s="4" t="s">
        <v>325</v>
      </c>
      <c r="B62" s="4" t="s">
        <v>326</v>
      </c>
      <c r="C62" s="4" t="s">
        <v>327</v>
      </c>
      <c r="D62" s="4" t="s">
        <v>328</v>
      </c>
      <c r="E62" s="4" t="s">
        <v>66</v>
      </c>
      <c r="F62" s="4" t="s">
        <v>329</v>
      </c>
      <c r="G62" s="4" t="s">
        <v>209</v>
      </c>
      <c r="H62" s="4" t="s">
        <v>41</v>
      </c>
      <c r="I62" s="4" t="s">
        <v>101</v>
      </c>
      <c r="J62" s="4" t="s">
        <v>66</v>
      </c>
      <c r="K62" s="4" t="s">
        <v>330</v>
      </c>
      <c r="L62" s="4" t="str">
        <f t="shared" si="0"/>
        <v>Different contact</v>
      </c>
    </row>
    <row r="63" spans="1:12" ht="15" customHeight="1" x14ac:dyDescent="0.3">
      <c r="A63" s="4" t="s">
        <v>331</v>
      </c>
      <c r="B63" s="4" t="s">
        <v>332</v>
      </c>
      <c r="C63" s="4" t="s">
        <v>333</v>
      </c>
      <c r="D63" s="4" t="s">
        <v>334</v>
      </c>
      <c r="E63" s="4" t="s">
        <v>335</v>
      </c>
      <c r="F63" s="4" t="s">
        <v>336</v>
      </c>
      <c r="G63" s="4" t="s">
        <v>337</v>
      </c>
      <c r="H63" s="4" t="s">
        <v>338</v>
      </c>
      <c r="I63" s="4" t="s">
        <v>338</v>
      </c>
      <c r="J63" s="4" t="s">
        <v>335</v>
      </c>
      <c r="K63" s="4" t="s">
        <v>339</v>
      </c>
      <c r="L63" s="4" t="str">
        <f t="shared" si="0"/>
        <v>Different contact</v>
      </c>
    </row>
    <row r="64" spans="1:12" ht="15" customHeight="1" x14ac:dyDescent="0.3">
      <c r="A64" s="4" t="s">
        <v>340</v>
      </c>
      <c r="B64" s="4" t="s">
        <v>341</v>
      </c>
      <c r="C64" s="4" t="s">
        <v>342</v>
      </c>
      <c r="D64" s="4"/>
      <c r="E64" s="4" t="s">
        <v>343</v>
      </c>
      <c r="F64" s="4" t="s">
        <v>344</v>
      </c>
      <c r="G64" s="4" t="s">
        <v>58</v>
      </c>
      <c r="H64" s="4" t="s">
        <v>41</v>
      </c>
      <c r="I64" s="4" t="s">
        <v>101</v>
      </c>
      <c r="J64" s="4" t="s">
        <v>106</v>
      </c>
      <c r="K64" s="4" t="s">
        <v>345</v>
      </c>
      <c r="L64" s="4" t="str">
        <f t="shared" si="0"/>
        <v>Different owner &amp; contact</v>
      </c>
    </row>
    <row r="65" spans="1:12" ht="15" customHeight="1" x14ac:dyDescent="0.3">
      <c r="A65" s="4" t="s">
        <v>346</v>
      </c>
      <c r="B65" s="4" t="s">
        <v>341</v>
      </c>
      <c r="C65" s="4" t="s">
        <v>347</v>
      </c>
      <c r="D65" s="4"/>
      <c r="E65" s="4" t="s">
        <v>106</v>
      </c>
      <c r="F65" s="4" t="s">
        <v>344</v>
      </c>
      <c r="G65" s="4" t="s">
        <v>58</v>
      </c>
      <c r="H65" s="4" t="s">
        <v>41</v>
      </c>
      <c r="I65" s="4" t="s">
        <v>101</v>
      </c>
      <c r="J65" s="4" t="s">
        <v>106</v>
      </c>
      <c r="K65" s="4" t="s">
        <v>345</v>
      </c>
      <c r="L65" s="4" t="str">
        <f t="shared" si="0"/>
        <v>Different contact</v>
      </c>
    </row>
    <row r="66" spans="1:12" ht="15" customHeight="1" x14ac:dyDescent="0.3">
      <c r="A66" s="4" t="s">
        <v>348</v>
      </c>
      <c r="B66" s="4" t="s">
        <v>349</v>
      </c>
      <c r="C66" s="4" t="s">
        <v>350</v>
      </c>
      <c r="D66" s="4"/>
      <c r="E66" s="4" t="s">
        <v>52</v>
      </c>
      <c r="F66" s="4" t="s">
        <v>351</v>
      </c>
      <c r="G66" s="4" t="s">
        <v>130</v>
      </c>
      <c r="H66" s="4" t="s">
        <v>68</v>
      </c>
      <c r="I66" s="4" t="s">
        <v>299</v>
      </c>
      <c r="J66" s="4" t="s">
        <v>102</v>
      </c>
      <c r="K66" s="4" t="s">
        <v>350</v>
      </c>
      <c r="L66" s="4" t="str">
        <f t="shared" ref="L66:L129" si="1">IF(AND(TRIM(LOWER(E66))=TRIM(LOWER(J66)),TRIM(LOWER(C66))=TRIM(LOWER(K66))),"Match",IF(AND(NOT(TRIM(LOWER(E66))=TRIM(LOWER(J66))),TRIM(LOWER(C66))=TRIM(LOWER(K66))),"Different owner",IF(AND(TRIM(LOWER(E66))=TRIM(LOWER(J66)),NOT(TRIM(LOWER(C66))=TRIM(LOWER(K66)))),"Different contact","Different owner &amp; contact")))</f>
        <v>Different owner</v>
      </c>
    </row>
    <row r="67" spans="1:12" ht="15" customHeight="1" x14ac:dyDescent="0.3">
      <c r="A67" s="4" t="s">
        <v>352</v>
      </c>
      <c r="B67" s="4" t="s">
        <v>353</v>
      </c>
      <c r="C67" s="4" t="s">
        <v>354</v>
      </c>
      <c r="D67" s="4" t="s">
        <v>355</v>
      </c>
      <c r="E67" s="4" t="s">
        <v>52</v>
      </c>
      <c r="F67" s="4" t="s">
        <v>356</v>
      </c>
      <c r="G67" s="4" t="s">
        <v>40</v>
      </c>
      <c r="H67" s="4" t="s">
        <v>30</v>
      </c>
      <c r="I67" s="4" t="s">
        <v>125</v>
      </c>
      <c r="J67" s="4" t="s">
        <v>34</v>
      </c>
      <c r="K67" s="4" t="s">
        <v>357</v>
      </c>
      <c r="L67" s="4" t="str">
        <f t="shared" si="1"/>
        <v>Different owner &amp; contact</v>
      </c>
    </row>
    <row r="68" spans="1:12" ht="15" customHeight="1" x14ac:dyDescent="0.3">
      <c r="A68" s="4" t="s">
        <v>358</v>
      </c>
      <c r="B68" s="4" t="s">
        <v>359</v>
      </c>
      <c r="C68" s="4"/>
      <c r="D68" s="4"/>
      <c r="E68" s="4" t="s">
        <v>34</v>
      </c>
      <c r="F68" s="4" t="s">
        <v>360</v>
      </c>
      <c r="G68" s="4" t="s">
        <v>361</v>
      </c>
      <c r="H68" s="4" t="s">
        <v>41</v>
      </c>
      <c r="I68" s="4" t="s">
        <v>42</v>
      </c>
      <c r="J68" s="4" t="s">
        <v>34</v>
      </c>
      <c r="K68" s="4" t="s">
        <v>362</v>
      </c>
      <c r="L68" s="4" t="str">
        <f t="shared" si="1"/>
        <v>Different contact</v>
      </c>
    </row>
    <row r="69" spans="1:12" ht="15" customHeight="1" x14ac:dyDescent="0.3">
      <c r="A69" s="4" t="s">
        <v>363</v>
      </c>
      <c r="B69" s="4" t="s">
        <v>359</v>
      </c>
      <c r="C69" s="4" t="s">
        <v>364</v>
      </c>
      <c r="D69" s="4" t="s">
        <v>365</v>
      </c>
      <c r="E69" s="4" t="s">
        <v>27</v>
      </c>
      <c r="F69" s="4" t="s">
        <v>360</v>
      </c>
      <c r="G69" s="4" t="s">
        <v>361</v>
      </c>
      <c r="H69" s="4" t="s">
        <v>41</v>
      </c>
      <c r="I69" s="4" t="s">
        <v>42</v>
      </c>
      <c r="J69" s="4" t="s">
        <v>34</v>
      </c>
      <c r="K69" s="4" t="s">
        <v>362</v>
      </c>
      <c r="L69" s="4" t="str">
        <f t="shared" si="1"/>
        <v>Different owner &amp; contact</v>
      </c>
    </row>
    <row r="70" spans="1:12" ht="15" customHeight="1" x14ac:dyDescent="0.3">
      <c r="A70" s="4" t="s">
        <v>366</v>
      </c>
      <c r="B70" s="4" t="s">
        <v>359</v>
      </c>
      <c r="C70" s="4" t="s">
        <v>367</v>
      </c>
      <c r="D70" s="4" t="s">
        <v>368</v>
      </c>
      <c r="E70" s="4" t="s">
        <v>27</v>
      </c>
      <c r="F70" s="4" t="s">
        <v>360</v>
      </c>
      <c r="G70" s="4" t="s">
        <v>361</v>
      </c>
      <c r="H70" s="4" t="s">
        <v>41</v>
      </c>
      <c r="I70" s="4" t="s">
        <v>42</v>
      </c>
      <c r="J70" s="4" t="s">
        <v>34</v>
      </c>
      <c r="K70" s="4" t="s">
        <v>362</v>
      </c>
      <c r="L70" s="4" t="str">
        <f t="shared" si="1"/>
        <v>Different owner &amp; contact</v>
      </c>
    </row>
    <row r="71" spans="1:12" ht="15" customHeight="1" x14ac:dyDescent="0.3">
      <c r="A71" s="4" t="s">
        <v>369</v>
      </c>
      <c r="B71" s="4" t="s">
        <v>370</v>
      </c>
      <c r="C71" s="4"/>
      <c r="D71" s="4" t="s">
        <v>371</v>
      </c>
      <c r="E71" s="4" t="s">
        <v>172</v>
      </c>
      <c r="F71" s="4" t="s">
        <v>372</v>
      </c>
      <c r="G71" s="4" t="s">
        <v>361</v>
      </c>
      <c r="H71" s="4" t="s">
        <v>174</v>
      </c>
      <c r="I71" s="4" t="s">
        <v>175</v>
      </c>
      <c r="J71" s="4" t="s">
        <v>176</v>
      </c>
      <c r="K71" s="4" t="s">
        <v>373</v>
      </c>
      <c r="L71" s="4" t="str">
        <f t="shared" si="1"/>
        <v>Different owner &amp; contact</v>
      </c>
    </row>
    <row r="72" spans="1:12" ht="15" customHeight="1" x14ac:dyDescent="0.3">
      <c r="A72" s="4" t="s">
        <v>374</v>
      </c>
      <c r="B72" s="4" t="s">
        <v>370</v>
      </c>
      <c r="C72" s="4" t="s">
        <v>375</v>
      </c>
      <c r="D72" s="4" t="s">
        <v>371</v>
      </c>
      <c r="E72" s="4" t="s">
        <v>172</v>
      </c>
      <c r="F72" s="4" t="s">
        <v>372</v>
      </c>
      <c r="G72" s="4" t="s">
        <v>361</v>
      </c>
      <c r="H72" s="4" t="s">
        <v>174</v>
      </c>
      <c r="I72" s="4" t="s">
        <v>175</v>
      </c>
      <c r="J72" s="4" t="s">
        <v>176</v>
      </c>
      <c r="K72" s="4" t="s">
        <v>373</v>
      </c>
      <c r="L72" s="4" t="str">
        <f t="shared" si="1"/>
        <v>Different owner &amp; contact</v>
      </c>
    </row>
    <row r="73" spans="1:12" ht="15" customHeight="1" x14ac:dyDescent="0.3">
      <c r="A73" s="4" t="s">
        <v>376</v>
      </c>
      <c r="B73" s="4" t="s">
        <v>370</v>
      </c>
      <c r="C73" s="4"/>
      <c r="D73" s="4" t="s">
        <v>377</v>
      </c>
      <c r="E73" s="4" t="s">
        <v>172</v>
      </c>
      <c r="F73" s="4" t="s">
        <v>372</v>
      </c>
      <c r="G73" s="4" t="s">
        <v>361</v>
      </c>
      <c r="H73" s="4" t="s">
        <v>174</v>
      </c>
      <c r="I73" s="4" t="s">
        <v>175</v>
      </c>
      <c r="J73" s="4" t="s">
        <v>176</v>
      </c>
      <c r="K73" s="4" t="s">
        <v>373</v>
      </c>
      <c r="L73" s="4" t="str">
        <f t="shared" si="1"/>
        <v>Different owner &amp; contact</v>
      </c>
    </row>
    <row r="74" spans="1:12" ht="15" customHeight="1" x14ac:dyDescent="0.3">
      <c r="A74" s="4" t="s">
        <v>378</v>
      </c>
      <c r="B74" s="4" t="s">
        <v>379</v>
      </c>
      <c r="C74" s="4" t="s">
        <v>380</v>
      </c>
      <c r="D74" s="4"/>
      <c r="E74" s="4" t="s">
        <v>56</v>
      </c>
      <c r="F74" s="4" t="s">
        <v>381</v>
      </c>
      <c r="G74" s="4" t="s">
        <v>84</v>
      </c>
      <c r="H74" s="4" t="s">
        <v>68</v>
      </c>
      <c r="I74" s="4" t="s">
        <v>280</v>
      </c>
      <c r="J74" s="4" t="s">
        <v>60</v>
      </c>
      <c r="K74" s="4" t="s">
        <v>382</v>
      </c>
      <c r="L74" s="4" t="str">
        <f t="shared" si="1"/>
        <v>Different owner &amp; contact</v>
      </c>
    </row>
    <row r="75" spans="1:12" ht="15" customHeight="1" x14ac:dyDescent="0.3">
      <c r="A75" s="4" t="s">
        <v>383</v>
      </c>
      <c r="B75" s="4" t="s">
        <v>384</v>
      </c>
      <c r="C75" s="4"/>
      <c r="D75" s="4"/>
      <c r="E75" s="4" t="s">
        <v>385</v>
      </c>
      <c r="F75" s="4" t="s">
        <v>386</v>
      </c>
      <c r="G75" s="4" t="s">
        <v>40</v>
      </c>
      <c r="H75" s="4" t="s">
        <v>41</v>
      </c>
      <c r="I75" s="4" t="s">
        <v>101</v>
      </c>
      <c r="J75" s="4" t="s">
        <v>106</v>
      </c>
      <c r="K75" s="4" t="s">
        <v>387</v>
      </c>
      <c r="L75" s="4" t="str">
        <f t="shared" si="1"/>
        <v>Different owner &amp; contact</v>
      </c>
    </row>
    <row r="76" spans="1:12" ht="15" customHeight="1" x14ac:dyDescent="0.3">
      <c r="A76" s="4" t="s">
        <v>388</v>
      </c>
      <c r="B76" s="4" t="s">
        <v>384</v>
      </c>
      <c r="C76" s="4" t="s">
        <v>387</v>
      </c>
      <c r="D76" s="4"/>
      <c r="E76" s="4" t="s">
        <v>106</v>
      </c>
      <c r="F76" s="4" t="s">
        <v>386</v>
      </c>
      <c r="G76" s="4" t="s">
        <v>40</v>
      </c>
      <c r="H76" s="4" t="s">
        <v>41</v>
      </c>
      <c r="I76" s="4" t="s">
        <v>101</v>
      </c>
      <c r="J76" s="4" t="s">
        <v>106</v>
      </c>
      <c r="K76" s="4" t="s">
        <v>387</v>
      </c>
      <c r="L76" s="4" t="str">
        <f t="shared" si="1"/>
        <v>Match</v>
      </c>
    </row>
    <row r="77" spans="1:12" ht="15" customHeight="1" x14ac:dyDescent="0.3">
      <c r="A77" s="4" t="s">
        <v>389</v>
      </c>
      <c r="B77" s="4" t="s">
        <v>390</v>
      </c>
      <c r="C77" s="4" t="s">
        <v>391</v>
      </c>
      <c r="D77" s="4" t="s">
        <v>392</v>
      </c>
      <c r="E77" s="4" t="s">
        <v>27</v>
      </c>
      <c r="F77" s="4" t="s">
        <v>393</v>
      </c>
      <c r="G77" s="4" t="s">
        <v>361</v>
      </c>
      <c r="H77" s="4" t="s">
        <v>68</v>
      </c>
      <c r="I77" s="4" t="s">
        <v>299</v>
      </c>
      <c r="J77" s="4" t="s">
        <v>394</v>
      </c>
      <c r="K77" s="4" t="s">
        <v>395</v>
      </c>
      <c r="L77" s="4" t="str">
        <f t="shared" si="1"/>
        <v>Different owner &amp; contact</v>
      </c>
    </row>
    <row r="78" spans="1:12" ht="15" customHeight="1" x14ac:dyDescent="0.3">
      <c r="A78" s="4" t="s">
        <v>396</v>
      </c>
      <c r="B78" s="4" t="s">
        <v>390</v>
      </c>
      <c r="C78" s="4" t="s">
        <v>397</v>
      </c>
      <c r="D78" s="4"/>
      <c r="E78" s="4" t="s">
        <v>27</v>
      </c>
      <c r="F78" s="4" t="s">
        <v>393</v>
      </c>
      <c r="G78" s="4" t="s">
        <v>361</v>
      </c>
      <c r="H78" s="4" t="s">
        <v>68</v>
      </c>
      <c r="I78" s="4" t="s">
        <v>299</v>
      </c>
      <c r="J78" s="4" t="s">
        <v>394</v>
      </c>
      <c r="K78" s="4" t="s">
        <v>395</v>
      </c>
      <c r="L78" s="4" t="str">
        <f t="shared" si="1"/>
        <v>Different owner &amp; contact</v>
      </c>
    </row>
    <row r="79" spans="1:12" ht="15" customHeight="1" x14ac:dyDescent="0.3">
      <c r="A79" s="4" t="s">
        <v>398</v>
      </c>
      <c r="B79" s="4" t="s">
        <v>390</v>
      </c>
      <c r="C79" s="4" t="s">
        <v>395</v>
      </c>
      <c r="D79" s="4" t="s">
        <v>399</v>
      </c>
      <c r="E79" s="4" t="s">
        <v>27</v>
      </c>
      <c r="F79" s="4" t="s">
        <v>393</v>
      </c>
      <c r="G79" s="4" t="s">
        <v>361</v>
      </c>
      <c r="H79" s="4" t="s">
        <v>68</v>
      </c>
      <c r="I79" s="4" t="s">
        <v>299</v>
      </c>
      <c r="J79" s="4" t="s">
        <v>394</v>
      </c>
      <c r="K79" s="4" t="s">
        <v>395</v>
      </c>
      <c r="L79" s="4" t="str">
        <f t="shared" si="1"/>
        <v>Different owner</v>
      </c>
    </row>
    <row r="80" spans="1:12" ht="15" customHeight="1" x14ac:dyDescent="0.3">
      <c r="A80" s="4" t="s">
        <v>400</v>
      </c>
      <c r="B80" s="4" t="s">
        <v>401</v>
      </c>
      <c r="C80" s="4"/>
      <c r="D80" s="4" t="s">
        <v>402</v>
      </c>
      <c r="E80" s="4" t="s">
        <v>385</v>
      </c>
      <c r="F80" s="4" t="s">
        <v>403</v>
      </c>
      <c r="G80" s="4" t="s">
        <v>29</v>
      </c>
      <c r="H80" s="4" t="s">
        <v>68</v>
      </c>
      <c r="I80" s="4" t="s">
        <v>404</v>
      </c>
      <c r="J80" s="4" t="s">
        <v>102</v>
      </c>
      <c r="K80" s="4" t="s">
        <v>405</v>
      </c>
      <c r="L80" s="4" t="str">
        <f t="shared" si="1"/>
        <v>Different owner &amp; contact</v>
      </c>
    </row>
    <row r="81" spans="1:12" ht="15" customHeight="1" x14ac:dyDescent="0.3">
      <c r="A81" s="4" t="s">
        <v>406</v>
      </c>
      <c r="B81" s="4" t="s">
        <v>401</v>
      </c>
      <c r="C81" s="4" t="s">
        <v>407</v>
      </c>
      <c r="D81" s="4"/>
      <c r="E81" s="4" t="s">
        <v>56</v>
      </c>
      <c r="F81" s="4" t="s">
        <v>403</v>
      </c>
      <c r="G81" s="4" t="s">
        <v>29</v>
      </c>
      <c r="H81" s="4" t="s">
        <v>68</v>
      </c>
      <c r="I81" s="4" t="s">
        <v>404</v>
      </c>
      <c r="J81" s="4" t="s">
        <v>102</v>
      </c>
      <c r="K81" s="4" t="s">
        <v>405</v>
      </c>
      <c r="L81" s="4" t="str">
        <f t="shared" si="1"/>
        <v>Different owner &amp; contact</v>
      </c>
    </row>
    <row r="82" spans="1:12" ht="15" customHeight="1" x14ac:dyDescent="0.3">
      <c r="A82" s="4" t="s">
        <v>408</v>
      </c>
      <c r="B82" s="4" t="s">
        <v>409</v>
      </c>
      <c r="C82" s="4" t="s">
        <v>410</v>
      </c>
      <c r="D82" s="4" t="s">
        <v>411</v>
      </c>
      <c r="E82" s="4" t="s">
        <v>106</v>
      </c>
      <c r="F82" s="4" t="s">
        <v>412</v>
      </c>
      <c r="G82" s="4" t="s">
        <v>58</v>
      </c>
      <c r="H82" s="4" t="s">
        <v>68</v>
      </c>
      <c r="I82" s="4" t="s">
        <v>93</v>
      </c>
      <c r="J82" s="4" t="s">
        <v>106</v>
      </c>
      <c r="K82" s="4" t="s">
        <v>413</v>
      </c>
      <c r="L82" s="4" t="str">
        <f t="shared" si="1"/>
        <v>Different contact</v>
      </c>
    </row>
    <row r="83" spans="1:12" ht="15" customHeight="1" x14ac:dyDescent="0.3">
      <c r="A83" s="4" t="s">
        <v>414</v>
      </c>
      <c r="B83" s="4" t="s">
        <v>409</v>
      </c>
      <c r="C83" s="4" t="s">
        <v>413</v>
      </c>
      <c r="D83" s="4"/>
      <c r="E83" s="4" t="s">
        <v>343</v>
      </c>
      <c r="F83" s="4" t="s">
        <v>412</v>
      </c>
      <c r="G83" s="4" t="s">
        <v>58</v>
      </c>
      <c r="H83" s="4" t="s">
        <v>68</v>
      </c>
      <c r="I83" s="4" t="s">
        <v>93</v>
      </c>
      <c r="J83" s="4" t="s">
        <v>106</v>
      </c>
      <c r="K83" s="4" t="s">
        <v>413</v>
      </c>
      <c r="L83" s="4" t="str">
        <f t="shared" si="1"/>
        <v>Different owner</v>
      </c>
    </row>
    <row r="84" spans="1:12" ht="15" customHeight="1" x14ac:dyDescent="0.3">
      <c r="A84" s="4" t="s">
        <v>415</v>
      </c>
      <c r="B84" s="4" t="s">
        <v>409</v>
      </c>
      <c r="C84" s="4"/>
      <c r="D84" s="4"/>
      <c r="E84" s="4" t="s">
        <v>34</v>
      </c>
      <c r="F84" s="4" t="s">
        <v>412</v>
      </c>
      <c r="G84" s="4" t="s">
        <v>58</v>
      </c>
      <c r="H84" s="4" t="s">
        <v>68</v>
      </c>
      <c r="I84" s="4" t="s">
        <v>93</v>
      </c>
      <c r="J84" s="4" t="s">
        <v>106</v>
      </c>
      <c r="K84" s="4" t="s">
        <v>413</v>
      </c>
      <c r="L84" s="4" t="str">
        <f t="shared" si="1"/>
        <v>Different owner &amp; contact</v>
      </c>
    </row>
    <row r="85" spans="1:12" ht="15" customHeight="1" x14ac:dyDescent="0.3">
      <c r="A85" s="4" t="s">
        <v>416</v>
      </c>
      <c r="B85" s="4" t="s">
        <v>417</v>
      </c>
      <c r="C85" s="4" t="s">
        <v>418</v>
      </c>
      <c r="D85" s="4" t="s">
        <v>419</v>
      </c>
      <c r="E85" s="4" t="s">
        <v>91</v>
      </c>
      <c r="F85" s="4" t="s">
        <v>420</v>
      </c>
      <c r="G85" s="4" t="s">
        <v>29</v>
      </c>
      <c r="H85" s="4" t="s">
        <v>30</v>
      </c>
      <c r="I85" s="4" t="s">
        <v>125</v>
      </c>
      <c r="J85" s="4" t="s">
        <v>102</v>
      </c>
      <c r="K85" s="4"/>
      <c r="L85" s="4" t="str">
        <f t="shared" si="1"/>
        <v>Different owner &amp; contact</v>
      </c>
    </row>
    <row r="86" spans="1:12" ht="15" customHeight="1" x14ac:dyDescent="0.3">
      <c r="A86" s="4" t="s">
        <v>421</v>
      </c>
      <c r="B86" s="4" t="s">
        <v>422</v>
      </c>
      <c r="C86" s="4" t="s">
        <v>423</v>
      </c>
      <c r="D86" s="4" t="s">
        <v>424</v>
      </c>
      <c r="E86" s="4" t="s">
        <v>66</v>
      </c>
      <c r="F86" s="4" t="s">
        <v>425</v>
      </c>
      <c r="G86" s="4" t="s">
        <v>209</v>
      </c>
      <c r="H86" s="4" t="s">
        <v>41</v>
      </c>
      <c r="I86" s="4" t="s">
        <v>101</v>
      </c>
      <c r="J86" s="4" t="s">
        <v>102</v>
      </c>
      <c r="K86" s="4" t="s">
        <v>426</v>
      </c>
      <c r="L86" s="4" t="str">
        <f t="shared" si="1"/>
        <v>Different owner &amp; contact</v>
      </c>
    </row>
    <row r="87" spans="1:12" ht="15" customHeight="1" x14ac:dyDescent="0.3">
      <c r="A87" s="4" t="s">
        <v>427</v>
      </c>
      <c r="B87" s="4" t="s">
        <v>428</v>
      </c>
      <c r="C87" s="4" t="s">
        <v>429</v>
      </c>
      <c r="D87" s="4" t="s">
        <v>430</v>
      </c>
      <c r="E87" s="4" t="s">
        <v>27</v>
      </c>
      <c r="F87" s="4" t="s">
        <v>431</v>
      </c>
      <c r="G87" s="4" t="s">
        <v>49</v>
      </c>
      <c r="H87" s="4" t="s">
        <v>41</v>
      </c>
      <c r="I87" s="4" t="s">
        <v>432</v>
      </c>
      <c r="J87" s="4" t="s">
        <v>52</v>
      </c>
      <c r="K87" s="4" t="s">
        <v>433</v>
      </c>
      <c r="L87" s="4" t="str">
        <f t="shared" si="1"/>
        <v>Different owner &amp; contact</v>
      </c>
    </row>
    <row r="88" spans="1:12" ht="15" customHeight="1" x14ac:dyDescent="0.3">
      <c r="A88" s="4" t="s">
        <v>434</v>
      </c>
      <c r="B88" s="4" t="s">
        <v>428</v>
      </c>
      <c r="C88" s="4" t="s">
        <v>435</v>
      </c>
      <c r="D88" s="4" t="s">
        <v>436</v>
      </c>
      <c r="E88" s="4" t="s">
        <v>27</v>
      </c>
      <c r="F88" s="4" t="s">
        <v>431</v>
      </c>
      <c r="G88" s="4" t="s">
        <v>49</v>
      </c>
      <c r="H88" s="4" t="s">
        <v>41</v>
      </c>
      <c r="I88" s="4" t="s">
        <v>432</v>
      </c>
      <c r="J88" s="4" t="s">
        <v>52</v>
      </c>
      <c r="K88" s="4" t="s">
        <v>433</v>
      </c>
      <c r="L88" s="4" t="str">
        <f t="shared" si="1"/>
        <v>Different owner &amp; contact</v>
      </c>
    </row>
    <row r="89" spans="1:12" ht="15" customHeight="1" x14ac:dyDescent="0.3">
      <c r="A89" s="4" t="s">
        <v>434</v>
      </c>
      <c r="B89" s="4" t="s">
        <v>428</v>
      </c>
      <c r="C89" s="4" t="s">
        <v>437</v>
      </c>
      <c r="D89" s="4" t="s">
        <v>438</v>
      </c>
      <c r="E89" s="4" t="s">
        <v>27</v>
      </c>
      <c r="F89" s="4" t="s">
        <v>431</v>
      </c>
      <c r="G89" s="4" t="s">
        <v>49</v>
      </c>
      <c r="H89" s="4" t="s">
        <v>41</v>
      </c>
      <c r="I89" s="4" t="s">
        <v>432</v>
      </c>
      <c r="J89" s="4" t="s">
        <v>52</v>
      </c>
      <c r="K89" s="4" t="s">
        <v>433</v>
      </c>
      <c r="L89" s="4" t="str">
        <f t="shared" si="1"/>
        <v>Different owner &amp; contact</v>
      </c>
    </row>
    <row r="90" spans="1:12" ht="15" customHeight="1" x14ac:dyDescent="0.3">
      <c r="A90" s="4" t="s">
        <v>439</v>
      </c>
      <c r="B90" s="4" t="s">
        <v>428</v>
      </c>
      <c r="C90" s="4" t="s">
        <v>440</v>
      </c>
      <c r="D90" s="4" t="s">
        <v>441</v>
      </c>
      <c r="E90" s="4" t="s">
        <v>27</v>
      </c>
      <c r="F90" s="4" t="s">
        <v>431</v>
      </c>
      <c r="G90" s="4" t="s">
        <v>49</v>
      </c>
      <c r="H90" s="4" t="s">
        <v>41</v>
      </c>
      <c r="I90" s="4" t="s">
        <v>432</v>
      </c>
      <c r="J90" s="4" t="s">
        <v>52</v>
      </c>
      <c r="K90" s="4" t="s">
        <v>433</v>
      </c>
      <c r="L90" s="4" t="str">
        <f t="shared" si="1"/>
        <v>Different owner &amp; contact</v>
      </c>
    </row>
    <row r="91" spans="1:12" ht="15" customHeight="1" x14ac:dyDescent="0.3">
      <c r="A91" s="4" t="s">
        <v>442</v>
      </c>
      <c r="B91" s="4" t="s">
        <v>428</v>
      </c>
      <c r="C91" s="4" t="s">
        <v>443</v>
      </c>
      <c r="D91" s="4"/>
      <c r="E91" s="4" t="s">
        <v>172</v>
      </c>
      <c r="F91" s="4" t="s">
        <v>431</v>
      </c>
      <c r="G91" s="4" t="s">
        <v>49</v>
      </c>
      <c r="H91" s="4" t="s">
        <v>41</v>
      </c>
      <c r="I91" s="4" t="s">
        <v>432</v>
      </c>
      <c r="J91" s="4" t="s">
        <v>52</v>
      </c>
      <c r="K91" s="4" t="s">
        <v>433</v>
      </c>
      <c r="L91" s="4" t="str">
        <f t="shared" si="1"/>
        <v>Different owner &amp; contact</v>
      </c>
    </row>
    <row r="92" spans="1:12" ht="15" customHeight="1" x14ac:dyDescent="0.3">
      <c r="A92" s="4" t="s">
        <v>444</v>
      </c>
      <c r="B92" s="4" t="s">
        <v>428</v>
      </c>
      <c r="C92" s="4" t="s">
        <v>445</v>
      </c>
      <c r="D92" s="4" t="s">
        <v>446</v>
      </c>
      <c r="E92" s="4" t="s">
        <v>27</v>
      </c>
      <c r="F92" s="4" t="s">
        <v>431</v>
      </c>
      <c r="G92" s="4" t="s">
        <v>49</v>
      </c>
      <c r="H92" s="4" t="s">
        <v>41</v>
      </c>
      <c r="I92" s="4" t="s">
        <v>432</v>
      </c>
      <c r="J92" s="4" t="s">
        <v>52</v>
      </c>
      <c r="K92" s="4" t="s">
        <v>433</v>
      </c>
      <c r="L92" s="4" t="str">
        <f t="shared" si="1"/>
        <v>Different owner &amp; contact</v>
      </c>
    </row>
    <row r="93" spans="1:12" ht="15" customHeight="1" x14ac:dyDescent="0.3">
      <c r="A93" s="4" t="s">
        <v>447</v>
      </c>
      <c r="B93" s="4" t="s">
        <v>428</v>
      </c>
      <c r="C93" s="4" t="s">
        <v>448</v>
      </c>
      <c r="D93" s="4" t="s">
        <v>449</v>
      </c>
      <c r="E93" s="4" t="s">
        <v>27</v>
      </c>
      <c r="F93" s="4" t="s">
        <v>431</v>
      </c>
      <c r="G93" s="4" t="s">
        <v>49</v>
      </c>
      <c r="H93" s="4" t="s">
        <v>41</v>
      </c>
      <c r="I93" s="4" t="s">
        <v>432</v>
      </c>
      <c r="J93" s="4" t="s">
        <v>52</v>
      </c>
      <c r="K93" s="4" t="s">
        <v>433</v>
      </c>
      <c r="L93" s="4" t="str">
        <f t="shared" si="1"/>
        <v>Different owner &amp; contact</v>
      </c>
    </row>
    <row r="94" spans="1:12" ht="15" customHeight="1" x14ac:dyDescent="0.3">
      <c r="A94" s="4" t="s">
        <v>450</v>
      </c>
      <c r="B94" s="4" t="s">
        <v>428</v>
      </c>
      <c r="C94" s="4" t="s">
        <v>433</v>
      </c>
      <c r="D94" s="4" t="s">
        <v>451</v>
      </c>
      <c r="E94" s="4" t="s">
        <v>27</v>
      </c>
      <c r="F94" s="4" t="s">
        <v>431</v>
      </c>
      <c r="G94" s="4" t="s">
        <v>49</v>
      </c>
      <c r="H94" s="4" t="s">
        <v>41</v>
      </c>
      <c r="I94" s="4" t="s">
        <v>432</v>
      </c>
      <c r="J94" s="4" t="s">
        <v>52</v>
      </c>
      <c r="K94" s="4" t="s">
        <v>433</v>
      </c>
      <c r="L94" s="4" t="str">
        <f t="shared" si="1"/>
        <v>Different owner</v>
      </c>
    </row>
    <row r="95" spans="1:12" ht="15" customHeight="1" x14ac:dyDescent="0.3">
      <c r="A95" s="4" t="s">
        <v>452</v>
      </c>
      <c r="B95" s="4" t="s">
        <v>428</v>
      </c>
      <c r="C95" s="4"/>
      <c r="D95" s="4" t="s">
        <v>453</v>
      </c>
      <c r="E95" s="4" t="s">
        <v>172</v>
      </c>
      <c r="F95" s="4" t="s">
        <v>431</v>
      </c>
      <c r="G95" s="4" t="s">
        <v>49</v>
      </c>
      <c r="H95" s="4" t="s">
        <v>41</v>
      </c>
      <c r="I95" s="4" t="s">
        <v>432</v>
      </c>
      <c r="J95" s="4" t="s">
        <v>52</v>
      </c>
      <c r="K95" s="4" t="s">
        <v>433</v>
      </c>
      <c r="L95" s="4" t="str">
        <f t="shared" si="1"/>
        <v>Different owner &amp; contact</v>
      </c>
    </row>
    <row r="96" spans="1:12" ht="15" customHeight="1" x14ac:dyDescent="0.3">
      <c r="A96" s="4" t="s">
        <v>454</v>
      </c>
      <c r="B96" s="4" t="s">
        <v>428</v>
      </c>
      <c r="C96" s="4"/>
      <c r="D96" s="4" t="s">
        <v>455</v>
      </c>
      <c r="E96" s="4" t="s">
        <v>385</v>
      </c>
      <c r="F96" s="4" t="s">
        <v>431</v>
      </c>
      <c r="G96" s="4" t="s">
        <v>49</v>
      </c>
      <c r="H96" s="4" t="s">
        <v>41</v>
      </c>
      <c r="I96" s="4" t="s">
        <v>432</v>
      </c>
      <c r="J96" s="4" t="s">
        <v>52</v>
      </c>
      <c r="K96" s="4" t="s">
        <v>433</v>
      </c>
      <c r="L96" s="4" t="str">
        <f t="shared" si="1"/>
        <v>Different owner &amp; contact</v>
      </c>
    </row>
    <row r="97" spans="1:12" ht="15" customHeight="1" x14ac:dyDescent="0.3">
      <c r="A97" s="4" t="s">
        <v>456</v>
      </c>
      <c r="B97" s="4" t="s">
        <v>457</v>
      </c>
      <c r="C97" s="4" t="s">
        <v>458</v>
      </c>
      <c r="D97" s="4" t="s">
        <v>459</v>
      </c>
      <c r="E97" s="4" t="s">
        <v>172</v>
      </c>
      <c r="F97" s="4" t="s">
        <v>460</v>
      </c>
      <c r="G97" s="4" t="s">
        <v>49</v>
      </c>
      <c r="H97" s="4" t="s">
        <v>174</v>
      </c>
      <c r="I97" s="4" t="s">
        <v>175</v>
      </c>
      <c r="J97" s="4" t="s">
        <v>176</v>
      </c>
      <c r="K97" s="4"/>
      <c r="L97" s="4" t="str">
        <f t="shared" si="1"/>
        <v>Different owner &amp; contact</v>
      </c>
    </row>
    <row r="98" spans="1:12" ht="15" customHeight="1" x14ac:dyDescent="0.3">
      <c r="A98" s="4" t="s">
        <v>461</v>
      </c>
      <c r="B98" s="4" t="s">
        <v>457</v>
      </c>
      <c r="C98" s="4" t="s">
        <v>462</v>
      </c>
      <c r="D98" s="4"/>
      <c r="E98" s="4" t="s">
        <v>172</v>
      </c>
      <c r="F98" s="4" t="s">
        <v>460</v>
      </c>
      <c r="G98" s="4" t="s">
        <v>49</v>
      </c>
      <c r="H98" s="4" t="s">
        <v>174</v>
      </c>
      <c r="I98" s="4" t="s">
        <v>175</v>
      </c>
      <c r="J98" s="4" t="s">
        <v>176</v>
      </c>
      <c r="K98" s="4"/>
      <c r="L98" s="4" t="str">
        <f t="shared" si="1"/>
        <v>Different owner &amp; contact</v>
      </c>
    </row>
    <row r="99" spans="1:12" ht="15" customHeight="1" x14ac:dyDescent="0.3">
      <c r="A99" s="4" t="s">
        <v>463</v>
      </c>
      <c r="B99" s="4" t="s">
        <v>457</v>
      </c>
      <c r="C99" s="4" t="s">
        <v>464</v>
      </c>
      <c r="D99" s="4" t="s">
        <v>465</v>
      </c>
      <c r="E99" s="4" t="s">
        <v>27</v>
      </c>
      <c r="F99" s="4" t="s">
        <v>460</v>
      </c>
      <c r="G99" s="4" t="s">
        <v>49</v>
      </c>
      <c r="H99" s="4" t="s">
        <v>174</v>
      </c>
      <c r="I99" s="4" t="s">
        <v>175</v>
      </c>
      <c r="J99" s="4" t="s">
        <v>176</v>
      </c>
      <c r="K99" s="4"/>
      <c r="L99" s="4" t="str">
        <f t="shared" si="1"/>
        <v>Different owner &amp; contact</v>
      </c>
    </row>
    <row r="100" spans="1:12" ht="15" customHeight="1" x14ac:dyDescent="0.3">
      <c r="A100" s="4" t="s">
        <v>466</v>
      </c>
      <c r="B100" s="4" t="s">
        <v>457</v>
      </c>
      <c r="C100" s="4" t="s">
        <v>467</v>
      </c>
      <c r="D100" s="4" t="s">
        <v>468</v>
      </c>
      <c r="E100" s="4" t="s">
        <v>27</v>
      </c>
      <c r="F100" s="4" t="s">
        <v>460</v>
      </c>
      <c r="G100" s="4" t="s">
        <v>49</v>
      </c>
      <c r="H100" s="4" t="s">
        <v>174</v>
      </c>
      <c r="I100" s="4" t="s">
        <v>175</v>
      </c>
      <c r="J100" s="4" t="s">
        <v>176</v>
      </c>
      <c r="K100" s="4"/>
      <c r="L100" s="4" t="str">
        <f t="shared" si="1"/>
        <v>Different owner &amp; contact</v>
      </c>
    </row>
    <row r="101" spans="1:12" ht="15" customHeight="1" x14ac:dyDescent="0.3">
      <c r="A101" s="4" t="s">
        <v>469</v>
      </c>
      <c r="B101" s="4" t="s">
        <v>470</v>
      </c>
      <c r="C101" s="4" t="s">
        <v>471</v>
      </c>
      <c r="D101" s="4" t="s">
        <v>472</v>
      </c>
      <c r="E101" s="4" t="s">
        <v>27</v>
      </c>
      <c r="F101" s="4" t="s">
        <v>473</v>
      </c>
      <c r="G101" s="4" t="s">
        <v>138</v>
      </c>
      <c r="H101" s="4" t="s">
        <v>68</v>
      </c>
      <c r="I101" s="4" t="s">
        <v>93</v>
      </c>
      <c r="J101" s="4" t="s">
        <v>102</v>
      </c>
      <c r="K101" s="4" t="s">
        <v>474</v>
      </c>
      <c r="L101" s="4" t="str">
        <f t="shared" si="1"/>
        <v>Different owner &amp; contact</v>
      </c>
    </row>
    <row r="102" spans="1:12" ht="15" customHeight="1" x14ac:dyDescent="0.3">
      <c r="A102" s="4" t="s">
        <v>475</v>
      </c>
      <c r="B102" s="4" t="s">
        <v>470</v>
      </c>
      <c r="C102" s="4" t="s">
        <v>476</v>
      </c>
      <c r="D102" s="4" t="s">
        <v>477</v>
      </c>
      <c r="E102" s="4" t="s">
        <v>27</v>
      </c>
      <c r="F102" s="4" t="s">
        <v>473</v>
      </c>
      <c r="G102" s="4" t="s">
        <v>138</v>
      </c>
      <c r="H102" s="4" t="s">
        <v>68</v>
      </c>
      <c r="I102" s="4" t="s">
        <v>93</v>
      </c>
      <c r="J102" s="4" t="s">
        <v>102</v>
      </c>
      <c r="K102" s="4" t="s">
        <v>474</v>
      </c>
      <c r="L102" s="4" t="str">
        <f t="shared" si="1"/>
        <v>Different owner &amp; contact</v>
      </c>
    </row>
    <row r="103" spans="1:12" ht="15" customHeight="1" x14ac:dyDescent="0.3">
      <c r="A103" s="4" t="s">
        <v>478</v>
      </c>
      <c r="B103" s="4" t="s">
        <v>479</v>
      </c>
      <c r="C103" s="4" t="s">
        <v>480</v>
      </c>
      <c r="D103" s="4" t="s">
        <v>481</v>
      </c>
      <c r="E103" s="4" t="s">
        <v>172</v>
      </c>
      <c r="F103" s="4" t="s">
        <v>482</v>
      </c>
      <c r="G103" s="4" t="s">
        <v>58</v>
      </c>
      <c r="H103" s="4" t="s">
        <v>174</v>
      </c>
      <c r="I103" s="4" t="s">
        <v>175</v>
      </c>
      <c r="J103" s="4" t="s">
        <v>176</v>
      </c>
      <c r="K103" s="4" t="s">
        <v>483</v>
      </c>
      <c r="L103" s="4" t="str">
        <f t="shared" si="1"/>
        <v>Different owner &amp; contact</v>
      </c>
    </row>
    <row r="104" spans="1:12" ht="15" customHeight="1" x14ac:dyDescent="0.3">
      <c r="A104" s="4" t="s">
        <v>484</v>
      </c>
      <c r="B104" s="4" t="s">
        <v>479</v>
      </c>
      <c r="C104" s="4" t="s">
        <v>485</v>
      </c>
      <c r="D104" s="4" t="s">
        <v>486</v>
      </c>
      <c r="E104" s="4" t="s">
        <v>172</v>
      </c>
      <c r="F104" s="4" t="s">
        <v>482</v>
      </c>
      <c r="G104" s="4" t="s">
        <v>58</v>
      </c>
      <c r="H104" s="4" t="s">
        <v>174</v>
      </c>
      <c r="I104" s="4" t="s">
        <v>175</v>
      </c>
      <c r="J104" s="4" t="s">
        <v>176</v>
      </c>
      <c r="K104" s="4" t="s">
        <v>483</v>
      </c>
      <c r="L104" s="4" t="str">
        <f t="shared" si="1"/>
        <v>Different owner &amp; contact</v>
      </c>
    </row>
    <row r="105" spans="1:12" ht="15" customHeight="1" x14ac:dyDescent="0.3">
      <c r="A105" s="4" t="s">
        <v>487</v>
      </c>
      <c r="B105" s="4" t="s">
        <v>479</v>
      </c>
      <c r="C105" s="4" t="s">
        <v>488</v>
      </c>
      <c r="D105" s="4" t="s">
        <v>489</v>
      </c>
      <c r="E105" s="4" t="s">
        <v>172</v>
      </c>
      <c r="F105" s="4" t="s">
        <v>482</v>
      </c>
      <c r="G105" s="4" t="s">
        <v>58</v>
      </c>
      <c r="H105" s="4" t="s">
        <v>174</v>
      </c>
      <c r="I105" s="4" t="s">
        <v>175</v>
      </c>
      <c r="J105" s="4" t="s">
        <v>176</v>
      </c>
      <c r="K105" s="4" t="s">
        <v>483</v>
      </c>
      <c r="L105" s="4" t="str">
        <f t="shared" si="1"/>
        <v>Different owner &amp; contact</v>
      </c>
    </row>
    <row r="106" spans="1:12" ht="15" customHeight="1" x14ac:dyDescent="0.3">
      <c r="A106" s="4" t="s">
        <v>490</v>
      </c>
      <c r="B106" s="4" t="s">
        <v>491</v>
      </c>
      <c r="C106" s="4" t="s">
        <v>492</v>
      </c>
      <c r="D106" s="4" t="s">
        <v>493</v>
      </c>
      <c r="E106" s="4" t="s">
        <v>66</v>
      </c>
      <c r="F106" s="4" t="s">
        <v>494</v>
      </c>
      <c r="G106" s="4" t="s">
        <v>58</v>
      </c>
      <c r="H106" s="4" t="s">
        <v>68</v>
      </c>
      <c r="I106" s="4" t="s">
        <v>264</v>
      </c>
      <c r="J106" s="4" t="s">
        <v>66</v>
      </c>
      <c r="K106" s="4" t="s">
        <v>495</v>
      </c>
      <c r="L106" s="4" t="str">
        <f t="shared" si="1"/>
        <v>Different contact</v>
      </c>
    </row>
    <row r="107" spans="1:12" ht="15" customHeight="1" x14ac:dyDescent="0.3">
      <c r="A107" s="4" t="s">
        <v>496</v>
      </c>
      <c r="B107" s="4" t="s">
        <v>497</v>
      </c>
      <c r="C107" s="4" t="s">
        <v>498</v>
      </c>
      <c r="D107" s="4"/>
      <c r="E107" s="4" t="s">
        <v>343</v>
      </c>
      <c r="F107" s="4" t="s">
        <v>499</v>
      </c>
      <c r="G107" s="4" t="s">
        <v>361</v>
      </c>
      <c r="H107" s="4" t="s">
        <v>500</v>
      </c>
      <c r="I107" s="4" t="s">
        <v>501</v>
      </c>
      <c r="J107" s="4" t="s">
        <v>32</v>
      </c>
      <c r="K107" s="4" t="s">
        <v>498</v>
      </c>
      <c r="L107" s="4" t="str">
        <f t="shared" si="1"/>
        <v>Different owner</v>
      </c>
    </row>
    <row r="108" spans="1:12" ht="15" customHeight="1" x14ac:dyDescent="0.3">
      <c r="A108" s="4" t="s">
        <v>502</v>
      </c>
      <c r="B108" s="4" t="s">
        <v>497</v>
      </c>
      <c r="C108" s="4" t="s">
        <v>503</v>
      </c>
      <c r="D108" s="4" t="s">
        <v>504</v>
      </c>
      <c r="E108" s="4" t="s">
        <v>52</v>
      </c>
      <c r="F108" s="4" t="s">
        <v>499</v>
      </c>
      <c r="G108" s="4" t="s">
        <v>361</v>
      </c>
      <c r="H108" s="4" t="s">
        <v>500</v>
      </c>
      <c r="I108" s="4" t="s">
        <v>501</v>
      </c>
      <c r="J108" s="4" t="s">
        <v>32</v>
      </c>
      <c r="K108" s="4" t="s">
        <v>498</v>
      </c>
      <c r="L108" s="4" t="str">
        <f t="shared" si="1"/>
        <v>Different owner &amp; contact</v>
      </c>
    </row>
    <row r="109" spans="1:12" ht="15" customHeight="1" x14ac:dyDescent="0.3">
      <c r="A109" s="4" t="s">
        <v>505</v>
      </c>
      <c r="B109" s="4" t="s">
        <v>506</v>
      </c>
      <c r="C109" s="4" t="s">
        <v>507</v>
      </c>
      <c r="D109" s="4"/>
      <c r="E109" s="4" t="s">
        <v>343</v>
      </c>
      <c r="F109" s="4" t="s">
        <v>508</v>
      </c>
      <c r="G109" s="4" t="s">
        <v>58</v>
      </c>
      <c r="H109" s="4" t="s">
        <v>41</v>
      </c>
      <c r="I109" s="4" t="s">
        <v>509</v>
      </c>
      <c r="J109" s="4" t="s">
        <v>32</v>
      </c>
      <c r="K109" s="4" t="s">
        <v>507</v>
      </c>
      <c r="L109" s="4" t="str">
        <f t="shared" si="1"/>
        <v>Different owner</v>
      </c>
    </row>
    <row r="110" spans="1:12" ht="15" customHeight="1" x14ac:dyDescent="0.3">
      <c r="A110" s="4" t="s">
        <v>510</v>
      </c>
      <c r="B110" s="4" t="s">
        <v>511</v>
      </c>
      <c r="C110" s="4" t="s">
        <v>512</v>
      </c>
      <c r="D110" s="4" t="s">
        <v>513</v>
      </c>
      <c r="E110" s="4" t="s">
        <v>56</v>
      </c>
      <c r="F110" s="4" t="s">
        <v>514</v>
      </c>
      <c r="G110" s="4" t="s">
        <v>515</v>
      </c>
      <c r="H110" s="4" t="s">
        <v>68</v>
      </c>
      <c r="I110" s="4" t="s">
        <v>516</v>
      </c>
      <c r="J110" s="4" t="s">
        <v>102</v>
      </c>
      <c r="K110" s="4" t="s">
        <v>512</v>
      </c>
      <c r="L110" s="4" t="str">
        <f t="shared" si="1"/>
        <v>Different owner</v>
      </c>
    </row>
    <row r="111" spans="1:12" ht="15" customHeight="1" x14ac:dyDescent="0.3">
      <c r="A111" s="4" t="s">
        <v>517</v>
      </c>
      <c r="B111" s="4" t="s">
        <v>518</v>
      </c>
      <c r="C111" s="4" t="s">
        <v>519</v>
      </c>
      <c r="D111" s="4"/>
      <c r="E111" s="4" t="s">
        <v>52</v>
      </c>
      <c r="F111" s="4" t="s">
        <v>520</v>
      </c>
      <c r="G111" s="4" t="s">
        <v>521</v>
      </c>
      <c r="H111" s="4" t="s">
        <v>50</v>
      </c>
      <c r="I111" s="4" t="s">
        <v>196</v>
      </c>
      <c r="J111" s="4" t="s">
        <v>34</v>
      </c>
      <c r="K111" s="4" t="s">
        <v>519</v>
      </c>
      <c r="L111" s="4" t="str">
        <f t="shared" si="1"/>
        <v>Different owner</v>
      </c>
    </row>
    <row r="112" spans="1:12" ht="15" customHeight="1" x14ac:dyDescent="0.3">
      <c r="A112" s="4" t="s">
        <v>522</v>
      </c>
      <c r="B112" s="4" t="s">
        <v>523</v>
      </c>
      <c r="C112" s="4" t="s">
        <v>524</v>
      </c>
      <c r="D112" s="4" t="s">
        <v>525</v>
      </c>
      <c r="E112" s="4" t="s">
        <v>91</v>
      </c>
      <c r="F112" s="4" t="s">
        <v>526</v>
      </c>
      <c r="G112" s="4" t="s">
        <v>40</v>
      </c>
      <c r="H112" s="4" t="s">
        <v>41</v>
      </c>
      <c r="I112" s="4" t="s">
        <v>42</v>
      </c>
      <c r="J112" s="4" t="s">
        <v>94</v>
      </c>
      <c r="K112" s="4" t="s">
        <v>527</v>
      </c>
      <c r="L112" s="4" t="str">
        <f t="shared" si="1"/>
        <v>Different owner &amp; contact</v>
      </c>
    </row>
    <row r="113" spans="1:12" ht="15" customHeight="1" x14ac:dyDescent="0.3">
      <c r="A113" s="4" t="s">
        <v>528</v>
      </c>
      <c r="B113" s="4" t="s">
        <v>529</v>
      </c>
      <c r="C113" s="4" t="s">
        <v>530</v>
      </c>
      <c r="D113" s="4" t="s">
        <v>531</v>
      </c>
      <c r="E113" s="4" t="s">
        <v>52</v>
      </c>
      <c r="F113" s="4" t="s">
        <v>532</v>
      </c>
      <c r="G113" s="4" t="s">
        <v>124</v>
      </c>
      <c r="H113" s="4" t="s">
        <v>41</v>
      </c>
      <c r="I113" s="4" t="s">
        <v>533</v>
      </c>
      <c r="J113" s="4" t="s">
        <v>34</v>
      </c>
      <c r="K113" s="4" t="s">
        <v>530</v>
      </c>
      <c r="L113" s="4" t="str">
        <f t="shared" si="1"/>
        <v>Different owner</v>
      </c>
    </row>
    <row r="114" spans="1:12" ht="15" customHeight="1" x14ac:dyDescent="0.3">
      <c r="A114" s="4" t="s">
        <v>534</v>
      </c>
      <c r="B114" s="4" t="s">
        <v>535</v>
      </c>
      <c r="C114" s="4" t="s">
        <v>536</v>
      </c>
      <c r="D114" s="4"/>
      <c r="E114" s="4" t="s">
        <v>56</v>
      </c>
      <c r="F114" s="4" t="s">
        <v>537</v>
      </c>
      <c r="G114" s="4" t="s">
        <v>84</v>
      </c>
      <c r="H114" s="4" t="s">
        <v>68</v>
      </c>
      <c r="I114" s="4" t="s">
        <v>538</v>
      </c>
      <c r="J114" s="4" t="s">
        <v>60</v>
      </c>
      <c r="K114" s="4" t="s">
        <v>539</v>
      </c>
      <c r="L114" s="4" t="str">
        <f t="shared" si="1"/>
        <v>Different owner &amp; contact</v>
      </c>
    </row>
    <row r="115" spans="1:12" ht="15" customHeight="1" x14ac:dyDescent="0.3">
      <c r="A115" s="4" t="s">
        <v>540</v>
      </c>
      <c r="B115" s="4" t="s">
        <v>541</v>
      </c>
      <c r="C115" s="4" t="s">
        <v>542</v>
      </c>
      <c r="D115" s="4" t="s">
        <v>543</v>
      </c>
      <c r="E115" s="4" t="s">
        <v>172</v>
      </c>
      <c r="F115" s="4" t="s">
        <v>544</v>
      </c>
      <c r="G115" s="4" t="s">
        <v>49</v>
      </c>
      <c r="H115" s="4" t="s">
        <v>174</v>
      </c>
      <c r="I115" s="4" t="s">
        <v>175</v>
      </c>
      <c r="J115" s="4" t="s">
        <v>176</v>
      </c>
      <c r="K115" s="4" t="s">
        <v>542</v>
      </c>
      <c r="L115" s="4" t="str">
        <f t="shared" si="1"/>
        <v>Different owner</v>
      </c>
    </row>
    <row r="116" spans="1:12" ht="15" customHeight="1" x14ac:dyDescent="0.3">
      <c r="A116" s="4" t="s">
        <v>545</v>
      </c>
      <c r="B116" s="4" t="s">
        <v>546</v>
      </c>
      <c r="C116" s="4" t="s">
        <v>547</v>
      </c>
      <c r="D116" s="4" t="s">
        <v>548</v>
      </c>
      <c r="E116" s="4" t="s">
        <v>172</v>
      </c>
      <c r="F116" s="4" t="s">
        <v>549</v>
      </c>
      <c r="G116" s="4" t="s">
        <v>29</v>
      </c>
      <c r="H116" s="4" t="s">
        <v>174</v>
      </c>
      <c r="I116" s="4" t="s">
        <v>175</v>
      </c>
      <c r="J116" s="4" t="s">
        <v>176</v>
      </c>
      <c r="K116" s="4" t="s">
        <v>550</v>
      </c>
      <c r="L116" s="4" t="str">
        <f t="shared" si="1"/>
        <v>Different owner &amp; contact</v>
      </c>
    </row>
    <row r="117" spans="1:12" ht="15" customHeight="1" x14ac:dyDescent="0.3">
      <c r="A117" s="4" t="s">
        <v>551</v>
      </c>
      <c r="B117" s="4" t="s">
        <v>552</v>
      </c>
      <c r="C117" s="4" t="s">
        <v>553</v>
      </c>
      <c r="D117" s="4"/>
      <c r="E117" s="4" t="s">
        <v>343</v>
      </c>
      <c r="F117" s="4" t="s">
        <v>554</v>
      </c>
      <c r="G117" s="4" t="s">
        <v>361</v>
      </c>
      <c r="H117" s="4" t="s">
        <v>68</v>
      </c>
      <c r="I117" s="4" t="s">
        <v>264</v>
      </c>
      <c r="J117" s="4" t="s">
        <v>52</v>
      </c>
      <c r="K117" s="4" t="s">
        <v>553</v>
      </c>
      <c r="L117" s="4" t="str">
        <f t="shared" si="1"/>
        <v>Different owner</v>
      </c>
    </row>
    <row r="118" spans="1:12" ht="15" customHeight="1" x14ac:dyDescent="0.3">
      <c r="A118" s="4" t="s">
        <v>555</v>
      </c>
      <c r="B118" s="4" t="s">
        <v>552</v>
      </c>
      <c r="C118" s="4"/>
      <c r="D118" s="4" t="s">
        <v>556</v>
      </c>
      <c r="E118" s="4" t="s">
        <v>385</v>
      </c>
      <c r="F118" s="4" t="s">
        <v>554</v>
      </c>
      <c r="G118" s="4" t="s">
        <v>361</v>
      </c>
      <c r="H118" s="4" t="s">
        <v>68</v>
      </c>
      <c r="I118" s="4" t="s">
        <v>264</v>
      </c>
      <c r="J118" s="4" t="s">
        <v>52</v>
      </c>
      <c r="K118" s="4" t="s">
        <v>553</v>
      </c>
      <c r="L118" s="4" t="str">
        <f t="shared" si="1"/>
        <v>Different owner &amp; contact</v>
      </c>
    </row>
    <row r="119" spans="1:12" ht="15" customHeight="1" x14ac:dyDescent="0.3">
      <c r="A119" s="4" t="s">
        <v>557</v>
      </c>
      <c r="B119" s="4" t="s">
        <v>552</v>
      </c>
      <c r="C119" s="4" t="s">
        <v>558</v>
      </c>
      <c r="D119" s="4" t="s">
        <v>559</v>
      </c>
      <c r="E119" s="4" t="s">
        <v>52</v>
      </c>
      <c r="F119" s="4" t="s">
        <v>554</v>
      </c>
      <c r="G119" s="4" t="s">
        <v>361</v>
      </c>
      <c r="H119" s="4" t="s">
        <v>68</v>
      </c>
      <c r="I119" s="4" t="s">
        <v>264</v>
      </c>
      <c r="J119" s="4" t="s">
        <v>52</v>
      </c>
      <c r="K119" s="4" t="s">
        <v>553</v>
      </c>
      <c r="L119" s="4" t="str">
        <f t="shared" si="1"/>
        <v>Different contact</v>
      </c>
    </row>
    <row r="120" spans="1:12" ht="15" customHeight="1" x14ac:dyDescent="0.3">
      <c r="A120" s="4" t="s">
        <v>560</v>
      </c>
      <c r="B120" s="4" t="s">
        <v>561</v>
      </c>
      <c r="C120" s="4" t="s">
        <v>562</v>
      </c>
      <c r="D120" s="4" t="s">
        <v>563</v>
      </c>
      <c r="E120" s="4" t="s">
        <v>52</v>
      </c>
      <c r="F120" s="4" t="s">
        <v>564</v>
      </c>
      <c r="G120" s="4" t="s">
        <v>138</v>
      </c>
      <c r="H120" s="4" t="s">
        <v>68</v>
      </c>
      <c r="I120" s="4" t="s">
        <v>299</v>
      </c>
      <c r="J120" s="4" t="s">
        <v>52</v>
      </c>
      <c r="K120" s="4" t="s">
        <v>565</v>
      </c>
      <c r="L120" s="4" t="str">
        <f t="shared" si="1"/>
        <v>Different contact</v>
      </c>
    </row>
    <row r="121" spans="1:12" ht="15" customHeight="1" x14ac:dyDescent="0.3">
      <c r="A121" s="4" t="s">
        <v>566</v>
      </c>
      <c r="B121" s="4" t="s">
        <v>567</v>
      </c>
      <c r="C121" s="4" t="s">
        <v>568</v>
      </c>
      <c r="D121" s="4"/>
      <c r="E121" s="4" t="s">
        <v>91</v>
      </c>
      <c r="F121" s="4" t="s">
        <v>569</v>
      </c>
      <c r="G121" s="4" t="s">
        <v>29</v>
      </c>
      <c r="H121" s="4" t="s">
        <v>68</v>
      </c>
      <c r="I121" s="4" t="s">
        <v>570</v>
      </c>
      <c r="J121" s="4" t="s">
        <v>102</v>
      </c>
      <c r="K121" s="4" t="s">
        <v>571</v>
      </c>
      <c r="L121" s="4" t="str">
        <f t="shared" si="1"/>
        <v>Different owner &amp; contact</v>
      </c>
    </row>
    <row r="122" spans="1:12" ht="15" customHeight="1" x14ac:dyDescent="0.3">
      <c r="A122" s="4" t="s">
        <v>572</v>
      </c>
      <c r="B122" s="4" t="s">
        <v>573</v>
      </c>
      <c r="C122" s="4" t="s">
        <v>574</v>
      </c>
      <c r="D122" s="4" t="s">
        <v>575</v>
      </c>
      <c r="E122" s="4" t="s">
        <v>106</v>
      </c>
      <c r="F122" s="4" t="s">
        <v>576</v>
      </c>
      <c r="G122" s="4" t="s">
        <v>577</v>
      </c>
      <c r="H122" s="4" t="s">
        <v>30</v>
      </c>
      <c r="I122" s="4" t="s">
        <v>125</v>
      </c>
      <c r="J122" s="4" t="s">
        <v>102</v>
      </c>
      <c r="K122" s="4" t="s">
        <v>574</v>
      </c>
      <c r="L122" s="4" t="str">
        <f t="shared" si="1"/>
        <v>Different owner</v>
      </c>
    </row>
    <row r="123" spans="1:12" ht="15" customHeight="1" x14ac:dyDescent="0.3">
      <c r="A123" s="4" t="s">
        <v>578</v>
      </c>
      <c r="B123" s="4" t="s">
        <v>579</v>
      </c>
      <c r="C123" s="4"/>
      <c r="D123" s="4"/>
      <c r="E123" s="4" t="s">
        <v>34</v>
      </c>
      <c r="F123" s="4" t="s">
        <v>580</v>
      </c>
      <c r="G123" s="4" t="s">
        <v>130</v>
      </c>
      <c r="H123" s="4" t="s">
        <v>41</v>
      </c>
      <c r="I123" s="4" t="s">
        <v>131</v>
      </c>
      <c r="J123" s="4" t="s">
        <v>34</v>
      </c>
      <c r="K123" s="4" t="s">
        <v>581</v>
      </c>
      <c r="L123" s="4" t="str">
        <f t="shared" si="1"/>
        <v>Different contact</v>
      </c>
    </row>
    <row r="124" spans="1:12" ht="15" customHeight="1" x14ac:dyDescent="0.3">
      <c r="A124" s="4" t="s">
        <v>582</v>
      </c>
      <c r="B124" s="4" t="s">
        <v>579</v>
      </c>
      <c r="C124" s="4" t="s">
        <v>581</v>
      </c>
      <c r="D124" s="4"/>
      <c r="E124" s="4" t="s">
        <v>52</v>
      </c>
      <c r="F124" s="4" t="s">
        <v>580</v>
      </c>
      <c r="G124" s="4" t="s">
        <v>130</v>
      </c>
      <c r="H124" s="4" t="s">
        <v>41</v>
      </c>
      <c r="I124" s="4" t="s">
        <v>131</v>
      </c>
      <c r="J124" s="4" t="s">
        <v>34</v>
      </c>
      <c r="K124" s="4" t="s">
        <v>581</v>
      </c>
      <c r="L124" s="4" t="str">
        <f t="shared" si="1"/>
        <v>Different owner</v>
      </c>
    </row>
    <row r="125" spans="1:12" ht="15" customHeight="1" x14ac:dyDescent="0.3">
      <c r="A125" s="4" t="s">
        <v>583</v>
      </c>
      <c r="B125" s="4" t="s">
        <v>584</v>
      </c>
      <c r="C125" s="4" t="s">
        <v>585</v>
      </c>
      <c r="D125" s="4" t="s">
        <v>586</v>
      </c>
      <c r="E125" s="4" t="s">
        <v>27</v>
      </c>
      <c r="F125" s="4" t="s">
        <v>587</v>
      </c>
      <c r="G125" s="4" t="s">
        <v>138</v>
      </c>
      <c r="H125" s="4" t="s">
        <v>41</v>
      </c>
      <c r="I125" s="4" t="s">
        <v>101</v>
      </c>
      <c r="J125" s="4" t="s">
        <v>34</v>
      </c>
      <c r="K125" s="4" t="s">
        <v>585</v>
      </c>
      <c r="L125" s="4" t="str">
        <f t="shared" si="1"/>
        <v>Different owner</v>
      </c>
    </row>
    <row r="126" spans="1:12" ht="15" customHeight="1" x14ac:dyDescent="0.3">
      <c r="A126" s="4" t="s">
        <v>588</v>
      </c>
      <c r="B126" s="4" t="s">
        <v>589</v>
      </c>
      <c r="C126" s="4" t="s">
        <v>590</v>
      </c>
      <c r="D126" s="4" t="s">
        <v>591</v>
      </c>
      <c r="E126" s="4" t="s">
        <v>27</v>
      </c>
      <c r="F126" s="4" t="s">
        <v>592</v>
      </c>
      <c r="G126" s="4" t="s">
        <v>130</v>
      </c>
      <c r="H126" s="4" t="s">
        <v>41</v>
      </c>
      <c r="I126" s="4" t="s">
        <v>131</v>
      </c>
      <c r="J126" s="4" t="s">
        <v>52</v>
      </c>
      <c r="K126" s="4" t="s">
        <v>593</v>
      </c>
      <c r="L126" s="4" t="str">
        <f t="shared" si="1"/>
        <v>Different owner &amp; contact</v>
      </c>
    </row>
    <row r="127" spans="1:12" ht="15" customHeight="1" x14ac:dyDescent="0.3">
      <c r="A127" s="4" t="s">
        <v>594</v>
      </c>
      <c r="B127" s="4" t="s">
        <v>595</v>
      </c>
      <c r="C127" s="4" t="s">
        <v>596</v>
      </c>
      <c r="D127" s="4" t="s">
        <v>597</v>
      </c>
      <c r="E127" s="4" t="s">
        <v>27</v>
      </c>
      <c r="F127" s="4" t="s">
        <v>598</v>
      </c>
      <c r="G127" s="4" t="s">
        <v>40</v>
      </c>
      <c r="H127" s="4" t="s">
        <v>50</v>
      </c>
      <c r="I127" s="4" t="s">
        <v>196</v>
      </c>
      <c r="J127" s="4" t="s">
        <v>114</v>
      </c>
      <c r="K127" s="4" t="s">
        <v>599</v>
      </c>
      <c r="L127" s="4" t="str">
        <f t="shared" si="1"/>
        <v>Different owner &amp; contact</v>
      </c>
    </row>
    <row r="128" spans="1:12" ht="15" customHeight="1" x14ac:dyDescent="0.3">
      <c r="A128" s="4" t="s">
        <v>600</v>
      </c>
      <c r="B128" s="4" t="s">
        <v>595</v>
      </c>
      <c r="C128" s="4" t="s">
        <v>599</v>
      </c>
      <c r="D128" s="4"/>
      <c r="E128" s="4" t="s">
        <v>27</v>
      </c>
      <c r="F128" s="4" t="s">
        <v>598</v>
      </c>
      <c r="G128" s="4" t="s">
        <v>40</v>
      </c>
      <c r="H128" s="4" t="s">
        <v>50</v>
      </c>
      <c r="I128" s="4" t="s">
        <v>196</v>
      </c>
      <c r="J128" s="4" t="s">
        <v>114</v>
      </c>
      <c r="K128" s="4" t="s">
        <v>599</v>
      </c>
      <c r="L128" s="4" t="str">
        <f t="shared" si="1"/>
        <v>Different owner</v>
      </c>
    </row>
    <row r="129" spans="1:12" ht="15" customHeight="1" x14ac:dyDescent="0.3">
      <c r="A129" s="4" t="s">
        <v>601</v>
      </c>
      <c r="B129" s="4" t="s">
        <v>595</v>
      </c>
      <c r="C129" s="4" t="s">
        <v>602</v>
      </c>
      <c r="D129" s="4"/>
      <c r="E129" s="4" t="s">
        <v>27</v>
      </c>
      <c r="F129" s="4" t="s">
        <v>598</v>
      </c>
      <c r="G129" s="4" t="s">
        <v>40</v>
      </c>
      <c r="H129" s="4" t="s">
        <v>50</v>
      </c>
      <c r="I129" s="4" t="s">
        <v>196</v>
      </c>
      <c r="J129" s="4" t="s">
        <v>114</v>
      </c>
      <c r="K129" s="4" t="s">
        <v>599</v>
      </c>
      <c r="L129" s="4" t="str">
        <f t="shared" si="1"/>
        <v>Different owner &amp; contact</v>
      </c>
    </row>
    <row r="130" spans="1:12" ht="15" customHeight="1" x14ac:dyDescent="0.3">
      <c r="A130" s="4" t="s">
        <v>603</v>
      </c>
      <c r="B130" s="4" t="s">
        <v>604</v>
      </c>
      <c r="C130" s="4" t="s">
        <v>605</v>
      </c>
      <c r="D130" s="4" t="s">
        <v>606</v>
      </c>
      <c r="E130" s="4" t="s">
        <v>106</v>
      </c>
      <c r="F130" s="4" t="s">
        <v>607</v>
      </c>
      <c r="G130" s="4" t="s">
        <v>40</v>
      </c>
      <c r="H130" s="4" t="s">
        <v>41</v>
      </c>
      <c r="I130" s="4" t="s">
        <v>149</v>
      </c>
      <c r="J130" s="4" t="s">
        <v>106</v>
      </c>
      <c r="K130" s="4" t="s">
        <v>608</v>
      </c>
      <c r="L130" s="4" t="str">
        <f t="shared" ref="L130:L193" si="2">IF(AND(TRIM(LOWER(E130))=TRIM(LOWER(J130)),TRIM(LOWER(C130))=TRIM(LOWER(K130))),"Match",IF(AND(NOT(TRIM(LOWER(E130))=TRIM(LOWER(J130))),TRIM(LOWER(C130))=TRIM(LOWER(K130))),"Different owner",IF(AND(TRIM(LOWER(E130))=TRIM(LOWER(J130)),NOT(TRIM(LOWER(C130))=TRIM(LOWER(K130)))),"Different contact","Different owner &amp; contact")))</f>
        <v>Different contact</v>
      </c>
    </row>
    <row r="131" spans="1:12" ht="15" customHeight="1" x14ac:dyDescent="0.3">
      <c r="A131" s="4" t="s">
        <v>609</v>
      </c>
      <c r="B131" s="4" t="s">
        <v>610</v>
      </c>
      <c r="C131" s="4" t="s">
        <v>611</v>
      </c>
      <c r="D131" s="4" t="s">
        <v>606</v>
      </c>
      <c r="E131" s="4" t="s">
        <v>106</v>
      </c>
      <c r="F131" s="4" t="s">
        <v>612</v>
      </c>
      <c r="G131" s="4" t="s">
        <v>40</v>
      </c>
      <c r="H131" s="4" t="s">
        <v>30</v>
      </c>
      <c r="I131" s="4" t="s">
        <v>149</v>
      </c>
      <c r="J131" s="4" t="s">
        <v>106</v>
      </c>
      <c r="K131" s="4" t="s">
        <v>608</v>
      </c>
      <c r="L131" s="4" t="str">
        <f t="shared" si="2"/>
        <v>Different contact</v>
      </c>
    </row>
    <row r="132" spans="1:12" ht="15" customHeight="1" x14ac:dyDescent="0.3">
      <c r="A132" s="4" t="s">
        <v>613</v>
      </c>
      <c r="B132" s="4" t="s">
        <v>614</v>
      </c>
      <c r="C132" s="4" t="s">
        <v>615</v>
      </c>
      <c r="D132" s="4" t="s">
        <v>616</v>
      </c>
      <c r="E132" s="4" t="s">
        <v>27</v>
      </c>
      <c r="F132" s="4" t="s">
        <v>617</v>
      </c>
      <c r="G132" s="4" t="s">
        <v>40</v>
      </c>
      <c r="H132" s="4" t="s">
        <v>41</v>
      </c>
      <c r="I132" s="4" t="s">
        <v>149</v>
      </c>
      <c r="J132" s="4" t="s">
        <v>106</v>
      </c>
      <c r="K132" s="4" t="s">
        <v>608</v>
      </c>
      <c r="L132" s="4" t="str">
        <f t="shared" si="2"/>
        <v>Different owner &amp; contact</v>
      </c>
    </row>
    <row r="133" spans="1:12" ht="15" customHeight="1" x14ac:dyDescent="0.3">
      <c r="A133" s="4" t="s">
        <v>618</v>
      </c>
      <c r="B133" s="4" t="s">
        <v>619</v>
      </c>
      <c r="C133" s="4" t="s">
        <v>620</v>
      </c>
      <c r="D133" s="4"/>
      <c r="E133" s="4" t="s">
        <v>91</v>
      </c>
      <c r="F133" s="4" t="s">
        <v>621</v>
      </c>
      <c r="G133" s="4" t="s">
        <v>84</v>
      </c>
      <c r="H133" s="4" t="s">
        <v>68</v>
      </c>
      <c r="I133" s="4" t="s">
        <v>93</v>
      </c>
      <c r="J133" s="4" t="s">
        <v>32</v>
      </c>
      <c r="K133" s="4" t="s">
        <v>622</v>
      </c>
      <c r="L133" s="4" t="str">
        <f t="shared" si="2"/>
        <v>Different owner &amp; contact</v>
      </c>
    </row>
    <row r="134" spans="1:12" ht="15" customHeight="1" x14ac:dyDescent="0.3">
      <c r="A134" s="4" t="s">
        <v>623</v>
      </c>
      <c r="B134" s="4" t="s">
        <v>624</v>
      </c>
      <c r="C134" s="4" t="s">
        <v>625</v>
      </c>
      <c r="D134" s="4" t="s">
        <v>626</v>
      </c>
      <c r="E134" s="4" t="s">
        <v>172</v>
      </c>
      <c r="F134" s="4" t="s">
        <v>627</v>
      </c>
      <c r="G134" s="4" t="s">
        <v>361</v>
      </c>
      <c r="H134" s="4" t="s">
        <v>174</v>
      </c>
      <c r="I134" s="4" t="s">
        <v>175</v>
      </c>
      <c r="J134" s="4" t="s">
        <v>176</v>
      </c>
      <c r="K134" s="4" t="s">
        <v>625</v>
      </c>
      <c r="L134" s="4" t="str">
        <f t="shared" si="2"/>
        <v>Different owner</v>
      </c>
    </row>
    <row r="135" spans="1:12" ht="15" customHeight="1" x14ac:dyDescent="0.3">
      <c r="A135" s="4" t="s">
        <v>628</v>
      </c>
      <c r="B135" s="4" t="s">
        <v>629</v>
      </c>
      <c r="C135" s="4" t="s">
        <v>630</v>
      </c>
      <c r="D135" s="4" t="s">
        <v>631</v>
      </c>
      <c r="E135" s="4" t="s">
        <v>91</v>
      </c>
      <c r="F135" s="4" t="s">
        <v>632</v>
      </c>
      <c r="G135" s="4" t="s">
        <v>29</v>
      </c>
      <c r="H135" s="4" t="s">
        <v>41</v>
      </c>
      <c r="I135" s="4" t="s">
        <v>228</v>
      </c>
      <c r="J135" s="4" t="s">
        <v>102</v>
      </c>
      <c r="K135" s="4" t="s">
        <v>633</v>
      </c>
      <c r="L135" s="4" t="str">
        <f t="shared" si="2"/>
        <v>Different owner &amp; contact</v>
      </c>
    </row>
    <row r="136" spans="1:12" ht="15" customHeight="1" x14ac:dyDescent="0.3">
      <c r="A136" s="4" t="s">
        <v>634</v>
      </c>
      <c r="B136" s="4" t="s">
        <v>635</v>
      </c>
      <c r="C136" s="4" t="s">
        <v>636</v>
      </c>
      <c r="D136" s="4"/>
      <c r="E136" s="4" t="s">
        <v>106</v>
      </c>
      <c r="F136" s="4" t="s">
        <v>637</v>
      </c>
      <c r="G136" s="4" t="s">
        <v>209</v>
      </c>
      <c r="H136" s="4" t="s">
        <v>41</v>
      </c>
      <c r="I136" s="4" t="s">
        <v>638</v>
      </c>
      <c r="J136" s="4" t="s">
        <v>106</v>
      </c>
      <c r="K136" s="4" t="s">
        <v>636</v>
      </c>
      <c r="L136" s="4" t="str">
        <f t="shared" si="2"/>
        <v>Match</v>
      </c>
    </row>
    <row r="137" spans="1:12" ht="15" customHeight="1" x14ac:dyDescent="0.3">
      <c r="A137" s="4" t="s">
        <v>639</v>
      </c>
      <c r="B137" s="4" t="s">
        <v>640</v>
      </c>
      <c r="C137" s="4" t="s">
        <v>641</v>
      </c>
      <c r="D137" s="4"/>
      <c r="E137" s="4" t="s">
        <v>47</v>
      </c>
      <c r="F137" s="4" t="s">
        <v>642</v>
      </c>
      <c r="G137" s="4" t="s">
        <v>40</v>
      </c>
      <c r="H137" s="4" t="s">
        <v>41</v>
      </c>
      <c r="I137" s="4" t="s">
        <v>101</v>
      </c>
      <c r="J137" s="4" t="s">
        <v>34</v>
      </c>
      <c r="K137" s="4" t="s">
        <v>641</v>
      </c>
      <c r="L137" s="4" t="str">
        <f t="shared" si="2"/>
        <v>Different owner</v>
      </c>
    </row>
    <row r="138" spans="1:12" ht="15" customHeight="1" x14ac:dyDescent="0.3">
      <c r="A138" s="4" t="s">
        <v>643</v>
      </c>
      <c r="B138" s="4" t="s">
        <v>644</v>
      </c>
      <c r="C138" s="4" t="s">
        <v>645</v>
      </c>
      <c r="D138" s="4"/>
      <c r="E138" s="4" t="s">
        <v>106</v>
      </c>
      <c r="F138" s="4" t="s">
        <v>646</v>
      </c>
      <c r="G138" s="4" t="s">
        <v>40</v>
      </c>
      <c r="H138" s="4" t="s">
        <v>41</v>
      </c>
      <c r="I138" s="4" t="s">
        <v>101</v>
      </c>
      <c r="J138" s="4" t="s">
        <v>106</v>
      </c>
      <c r="K138" s="4" t="s">
        <v>647</v>
      </c>
      <c r="L138" s="4" t="str">
        <f t="shared" si="2"/>
        <v>Different contact</v>
      </c>
    </row>
    <row r="139" spans="1:12" ht="15" customHeight="1" x14ac:dyDescent="0.3">
      <c r="A139" s="4" t="s">
        <v>648</v>
      </c>
      <c r="B139" s="4" t="s">
        <v>649</v>
      </c>
      <c r="C139" s="4" t="s">
        <v>650</v>
      </c>
      <c r="D139" s="4"/>
      <c r="E139" s="4" t="s">
        <v>52</v>
      </c>
      <c r="F139" s="4" t="s">
        <v>651</v>
      </c>
      <c r="G139" s="4" t="s">
        <v>124</v>
      </c>
      <c r="H139" s="4" t="s">
        <v>41</v>
      </c>
      <c r="I139" s="4" t="s">
        <v>42</v>
      </c>
      <c r="J139" s="4" t="s">
        <v>52</v>
      </c>
      <c r="K139" s="4" t="s">
        <v>650</v>
      </c>
      <c r="L139" s="4" t="str">
        <f t="shared" si="2"/>
        <v>Match</v>
      </c>
    </row>
    <row r="140" spans="1:12" ht="15" customHeight="1" x14ac:dyDescent="0.3">
      <c r="A140" s="4" t="s">
        <v>652</v>
      </c>
      <c r="B140" s="4" t="s">
        <v>653</v>
      </c>
      <c r="C140" s="4" t="s">
        <v>654</v>
      </c>
      <c r="D140" s="4"/>
      <c r="E140" s="4" t="s">
        <v>66</v>
      </c>
      <c r="F140" s="4" t="s">
        <v>655</v>
      </c>
      <c r="G140" s="4" t="s">
        <v>361</v>
      </c>
      <c r="H140" s="4" t="s">
        <v>68</v>
      </c>
      <c r="I140" s="4" t="s">
        <v>280</v>
      </c>
      <c r="J140" s="4" t="s">
        <v>66</v>
      </c>
      <c r="K140" s="4" t="s">
        <v>654</v>
      </c>
      <c r="L140" s="4" t="str">
        <f t="shared" si="2"/>
        <v>Match</v>
      </c>
    </row>
    <row r="141" spans="1:12" ht="15" customHeight="1" x14ac:dyDescent="0.3">
      <c r="A141" s="4" t="s">
        <v>656</v>
      </c>
      <c r="B141" s="4" t="s">
        <v>657</v>
      </c>
      <c r="C141" s="4"/>
      <c r="D141" s="4"/>
      <c r="E141" s="4" t="s">
        <v>34</v>
      </c>
      <c r="F141" s="4" t="s">
        <v>658</v>
      </c>
      <c r="G141" s="4" t="s">
        <v>124</v>
      </c>
      <c r="H141" s="4" t="s">
        <v>41</v>
      </c>
      <c r="I141" s="4" t="s">
        <v>42</v>
      </c>
      <c r="J141" s="4" t="s">
        <v>102</v>
      </c>
      <c r="K141" s="4" t="s">
        <v>659</v>
      </c>
      <c r="L141" s="4" t="str">
        <f t="shared" si="2"/>
        <v>Different owner &amp; contact</v>
      </c>
    </row>
    <row r="142" spans="1:12" ht="15" customHeight="1" x14ac:dyDescent="0.3">
      <c r="A142" s="4" t="s">
        <v>660</v>
      </c>
      <c r="B142" s="4" t="s">
        <v>657</v>
      </c>
      <c r="C142" s="4"/>
      <c r="D142" s="4" t="s">
        <v>661</v>
      </c>
      <c r="E142" s="4" t="s">
        <v>34</v>
      </c>
      <c r="F142" s="4" t="s">
        <v>658</v>
      </c>
      <c r="G142" s="4" t="s">
        <v>124</v>
      </c>
      <c r="H142" s="4" t="s">
        <v>41</v>
      </c>
      <c r="I142" s="4" t="s">
        <v>42</v>
      </c>
      <c r="J142" s="4" t="s">
        <v>102</v>
      </c>
      <c r="K142" s="4" t="s">
        <v>659</v>
      </c>
      <c r="L142" s="4" t="str">
        <f t="shared" si="2"/>
        <v>Different owner &amp; contact</v>
      </c>
    </row>
    <row r="143" spans="1:12" ht="15" customHeight="1" x14ac:dyDescent="0.3">
      <c r="A143" s="4" t="s">
        <v>662</v>
      </c>
      <c r="B143" s="4" t="s">
        <v>663</v>
      </c>
      <c r="C143" s="4" t="s">
        <v>664</v>
      </c>
      <c r="D143" s="4" t="s">
        <v>665</v>
      </c>
      <c r="E143" s="4" t="s">
        <v>172</v>
      </c>
      <c r="F143" s="4" t="s">
        <v>666</v>
      </c>
      <c r="G143" s="4" t="s">
        <v>577</v>
      </c>
      <c r="H143" s="4" t="s">
        <v>174</v>
      </c>
      <c r="I143" s="4" t="s">
        <v>175</v>
      </c>
      <c r="J143" s="4" t="s">
        <v>176</v>
      </c>
      <c r="K143" s="4" t="s">
        <v>664</v>
      </c>
      <c r="L143" s="4" t="str">
        <f t="shared" si="2"/>
        <v>Different owner</v>
      </c>
    </row>
    <row r="144" spans="1:12" ht="15" customHeight="1" x14ac:dyDescent="0.3">
      <c r="A144" s="4" t="s">
        <v>667</v>
      </c>
      <c r="B144" s="4" t="s">
        <v>668</v>
      </c>
      <c r="C144" s="4" t="s">
        <v>669</v>
      </c>
      <c r="D144" s="4" t="s">
        <v>670</v>
      </c>
      <c r="E144" s="4" t="s">
        <v>106</v>
      </c>
      <c r="F144" s="4" t="s">
        <v>671</v>
      </c>
      <c r="G144" s="4" t="s">
        <v>40</v>
      </c>
      <c r="H144" s="4" t="s">
        <v>116</v>
      </c>
      <c r="I144" s="4" t="s">
        <v>672</v>
      </c>
      <c r="J144" s="4" t="s">
        <v>106</v>
      </c>
      <c r="K144" s="4" t="s">
        <v>673</v>
      </c>
      <c r="L144" s="4" t="str">
        <f t="shared" si="2"/>
        <v>Different contact</v>
      </c>
    </row>
    <row r="145" spans="1:12" ht="15" customHeight="1" x14ac:dyDescent="0.3">
      <c r="A145" s="4" t="s">
        <v>674</v>
      </c>
      <c r="B145" s="4" t="s">
        <v>668</v>
      </c>
      <c r="C145" s="4" t="s">
        <v>673</v>
      </c>
      <c r="D145" s="4"/>
      <c r="E145" s="4" t="s">
        <v>106</v>
      </c>
      <c r="F145" s="4" t="s">
        <v>671</v>
      </c>
      <c r="G145" s="4" t="s">
        <v>40</v>
      </c>
      <c r="H145" s="4" t="s">
        <v>116</v>
      </c>
      <c r="I145" s="4" t="s">
        <v>672</v>
      </c>
      <c r="J145" s="4" t="s">
        <v>106</v>
      </c>
      <c r="K145" s="4" t="s">
        <v>673</v>
      </c>
      <c r="L145" s="4" t="str">
        <f t="shared" si="2"/>
        <v>Match</v>
      </c>
    </row>
    <row r="146" spans="1:12" ht="15" customHeight="1" x14ac:dyDescent="0.3">
      <c r="A146" s="4" t="s">
        <v>675</v>
      </c>
      <c r="B146" s="4" t="s">
        <v>676</v>
      </c>
      <c r="C146" s="4" t="s">
        <v>677</v>
      </c>
      <c r="D146" s="4" t="s">
        <v>678</v>
      </c>
      <c r="E146" s="4" t="s">
        <v>66</v>
      </c>
      <c r="F146" s="4" t="s">
        <v>679</v>
      </c>
      <c r="G146" s="4" t="s">
        <v>29</v>
      </c>
      <c r="H146" s="4" t="s">
        <v>41</v>
      </c>
      <c r="I146" s="4" t="s">
        <v>680</v>
      </c>
      <c r="J146" s="4" t="s">
        <v>66</v>
      </c>
      <c r="K146" s="4" t="s">
        <v>681</v>
      </c>
      <c r="L146" s="4" t="str">
        <f t="shared" si="2"/>
        <v>Different contact</v>
      </c>
    </row>
    <row r="147" spans="1:12" ht="15" customHeight="1" x14ac:dyDescent="0.3">
      <c r="A147" s="4" t="s">
        <v>682</v>
      </c>
      <c r="B147" s="4" t="s">
        <v>676</v>
      </c>
      <c r="C147" s="4" t="s">
        <v>683</v>
      </c>
      <c r="D147" s="4" t="s">
        <v>684</v>
      </c>
      <c r="E147" s="4" t="s">
        <v>66</v>
      </c>
      <c r="F147" s="4" t="s">
        <v>679</v>
      </c>
      <c r="G147" s="4" t="s">
        <v>29</v>
      </c>
      <c r="H147" s="4" t="s">
        <v>41</v>
      </c>
      <c r="I147" s="4" t="s">
        <v>680</v>
      </c>
      <c r="J147" s="4" t="s">
        <v>66</v>
      </c>
      <c r="K147" s="4" t="s">
        <v>681</v>
      </c>
      <c r="L147" s="4" t="str">
        <f t="shared" si="2"/>
        <v>Different contact</v>
      </c>
    </row>
    <row r="148" spans="1:12" ht="15" customHeight="1" x14ac:dyDescent="0.3">
      <c r="A148" s="4" t="s">
        <v>685</v>
      </c>
      <c r="B148" s="4" t="s">
        <v>686</v>
      </c>
      <c r="C148" s="4" t="s">
        <v>687</v>
      </c>
      <c r="D148" s="4" t="s">
        <v>688</v>
      </c>
      <c r="E148" s="4" t="s">
        <v>106</v>
      </c>
      <c r="F148" s="4" t="s">
        <v>689</v>
      </c>
      <c r="G148" s="4" t="s">
        <v>690</v>
      </c>
      <c r="H148" s="4" t="s">
        <v>30</v>
      </c>
      <c r="I148" s="4" t="s">
        <v>125</v>
      </c>
      <c r="J148" s="4" t="s">
        <v>106</v>
      </c>
      <c r="K148" s="4" t="s">
        <v>691</v>
      </c>
      <c r="L148" s="4" t="str">
        <f t="shared" si="2"/>
        <v>Different contact</v>
      </c>
    </row>
    <row r="149" spans="1:12" ht="15" customHeight="1" x14ac:dyDescent="0.3">
      <c r="A149" s="4" t="s">
        <v>692</v>
      </c>
      <c r="B149" s="4" t="s">
        <v>686</v>
      </c>
      <c r="C149" s="4"/>
      <c r="D149" s="4"/>
      <c r="E149" s="4" t="s">
        <v>34</v>
      </c>
      <c r="F149" s="4" t="s">
        <v>689</v>
      </c>
      <c r="G149" s="4" t="s">
        <v>690</v>
      </c>
      <c r="H149" s="4" t="s">
        <v>30</v>
      </c>
      <c r="I149" s="4" t="s">
        <v>125</v>
      </c>
      <c r="J149" s="4" t="s">
        <v>106</v>
      </c>
      <c r="K149" s="4" t="s">
        <v>691</v>
      </c>
      <c r="L149" s="4" t="str">
        <f t="shared" si="2"/>
        <v>Different owner &amp; contact</v>
      </c>
    </row>
    <row r="150" spans="1:12" ht="15" customHeight="1" x14ac:dyDescent="0.3">
      <c r="A150" s="4" t="s">
        <v>693</v>
      </c>
      <c r="B150" s="4" t="s">
        <v>694</v>
      </c>
      <c r="C150" s="4" t="s">
        <v>695</v>
      </c>
      <c r="D150" s="4" t="s">
        <v>696</v>
      </c>
      <c r="E150" s="4" t="s">
        <v>91</v>
      </c>
      <c r="F150" s="4" t="s">
        <v>697</v>
      </c>
      <c r="G150" s="4" t="s">
        <v>49</v>
      </c>
      <c r="H150" s="4" t="s">
        <v>68</v>
      </c>
      <c r="I150" s="4" t="s">
        <v>93</v>
      </c>
      <c r="J150" s="4" t="s">
        <v>32</v>
      </c>
      <c r="K150" s="4" t="s">
        <v>698</v>
      </c>
      <c r="L150" s="4" t="str">
        <f t="shared" si="2"/>
        <v>Different owner &amp; contact</v>
      </c>
    </row>
    <row r="151" spans="1:12" ht="15" customHeight="1" x14ac:dyDescent="0.3">
      <c r="A151" s="4" t="s">
        <v>699</v>
      </c>
      <c r="B151" s="4" t="s">
        <v>700</v>
      </c>
      <c r="C151" s="4" t="s">
        <v>701</v>
      </c>
      <c r="D151" s="4"/>
      <c r="E151" s="4" t="s">
        <v>56</v>
      </c>
      <c r="F151" s="4" t="s">
        <v>702</v>
      </c>
      <c r="G151" s="4" t="s">
        <v>58</v>
      </c>
      <c r="H151" s="4" t="s">
        <v>116</v>
      </c>
      <c r="I151" s="4" t="s">
        <v>703</v>
      </c>
      <c r="J151" s="4" t="s">
        <v>114</v>
      </c>
      <c r="K151" s="4" t="s">
        <v>704</v>
      </c>
      <c r="L151" s="4" t="str">
        <f t="shared" si="2"/>
        <v>Different owner &amp; contact</v>
      </c>
    </row>
    <row r="152" spans="1:12" ht="15" customHeight="1" x14ac:dyDescent="0.3">
      <c r="A152" s="4" t="s">
        <v>705</v>
      </c>
      <c r="B152" s="4" t="s">
        <v>706</v>
      </c>
      <c r="C152" s="4" t="s">
        <v>707</v>
      </c>
      <c r="D152" s="4" t="s">
        <v>708</v>
      </c>
      <c r="E152" s="4" t="s">
        <v>106</v>
      </c>
      <c r="F152" s="4" t="s">
        <v>709</v>
      </c>
      <c r="G152" s="4" t="s">
        <v>124</v>
      </c>
      <c r="H152" s="4" t="s">
        <v>41</v>
      </c>
      <c r="I152" s="4" t="s">
        <v>533</v>
      </c>
      <c r="J152" s="4" t="s">
        <v>106</v>
      </c>
      <c r="K152" s="4" t="s">
        <v>707</v>
      </c>
      <c r="L152" s="4" t="str">
        <f t="shared" si="2"/>
        <v>Match</v>
      </c>
    </row>
    <row r="153" spans="1:12" ht="15" customHeight="1" x14ac:dyDescent="0.3">
      <c r="A153" s="4" t="s">
        <v>710</v>
      </c>
      <c r="B153" s="4" t="s">
        <v>711</v>
      </c>
      <c r="C153" s="4" t="s">
        <v>712</v>
      </c>
      <c r="D153" s="4"/>
      <c r="E153" s="4" t="s">
        <v>56</v>
      </c>
      <c r="F153" s="4" t="s">
        <v>713</v>
      </c>
      <c r="G153" s="4" t="s">
        <v>138</v>
      </c>
      <c r="H153" s="4" t="s">
        <v>68</v>
      </c>
      <c r="I153" s="4" t="s">
        <v>714</v>
      </c>
      <c r="J153" s="4" t="s">
        <v>102</v>
      </c>
      <c r="K153" s="4" t="s">
        <v>712</v>
      </c>
      <c r="L153" s="4" t="str">
        <f t="shared" si="2"/>
        <v>Different owner</v>
      </c>
    </row>
    <row r="154" spans="1:12" ht="15" customHeight="1" x14ac:dyDescent="0.3">
      <c r="A154" s="4" t="s">
        <v>715</v>
      </c>
      <c r="B154" s="4" t="s">
        <v>716</v>
      </c>
      <c r="C154" s="4" t="s">
        <v>717</v>
      </c>
      <c r="D154" s="4" t="s">
        <v>718</v>
      </c>
      <c r="E154" s="4" t="s">
        <v>66</v>
      </c>
      <c r="F154" s="4" t="s">
        <v>719</v>
      </c>
      <c r="G154" s="4" t="s">
        <v>58</v>
      </c>
      <c r="H154" s="4" t="s">
        <v>41</v>
      </c>
      <c r="I154" s="4" t="s">
        <v>538</v>
      </c>
      <c r="J154" s="4" t="s">
        <v>32</v>
      </c>
      <c r="K154" s="4" t="s">
        <v>720</v>
      </c>
      <c r="L154" s="4" t="str">
        <f t="shared" si="2"/>
        <v>Different owner &amp; contact</v>
      </c>
    </row>
    <row r="155" spans="1:12" ht="15" customHeight="1" x14ac:dyDescent="0.3">
      <c r="A155" s="4" t="s">
        <v>721</v>
      </c>
      <c r="B155" s="4" t="s">
        <v>716</v>
      </c>
      <c r="C155" s="4" t="s">
        <v>722</v>
      </c>
      <c r="D155" s="4" t="s">
        <v>723</v>
      </c>
      <c r="E155" s="4" t="s">
        <v>66</v>
      </c>
      <c r="F155" s="4" t="s">
        <v>719</v>
      </c>
      <c r="G155" s="4" t="s">
        <v>58</v>
      </c>
      <c r="H155" s="4" t="s">
        <v>41</v>
      </c>
      <c r="I155" s="4" t="s">
        <v>538</v>
      </c>
      <c r="J155" s="4" t="s">
        <v>32</v>
      </c>
      <c r="K155" s="4" t="s">
        <v>720</v>
      </c>
      <c r="L155" s="4" t="str">
        <f t="shared" si="2"/>
        <v>Different owner &amp; contact</v>
      </c>
    </row>
    <row r="156" spans="1:12" ht="15" customHeight="1" x14ac:dyDescent="0.3">
      <c r="A156" s="4" t="s">
        <v>724</v>
      </c>
      <c r="B156" s="4" t="s">
        <v>725</v>
      </c>
      <c r="C156" s="4" t="s">
        <v>726</v>
      </c>
      <c r="D156" s="4" t="s">
        <v>727</v>
      </c>
      <c r="E156" s="4" t="s">
        <v>52</v>
      </c>
      <c r="F156" s="4" t="s">
        <v>728</v>
      </c>
      <c r="G156" s="4" t="s">
        <v>124</v>
      </c>
      <c r="H156" s="4" t="s">
        <v>41</v>
      </c>
      <c r="I156" s="4" t="s">
        <v>42</v>
      </c>
      <c r="J156" s="4" t="s">
        <v>32</v>
      </c>
      <c r="K156" s="4" t="s">
        <v>729</v>
      </c>
      <c r="L156" s="4" t="str">
        <f t="shared" si="2"/>
        <v>Different owner &amp; contact</v>
      </c>
    </row>
    <row r="157" spans="1:12" ht="15" customHeight="1" x14ac:dyDescent="0.3">
      <c r="A157" s="4" t="s">
        <v>730</v>
      </c>
      <c r="B157" s="4" t="s">
        <v>731</v>
      </c>
      <c r="C157" s="4" t="s">
        <v>732</v>
      </c>
      <c r="D157" s="4"/>
      <c r="E157" s="4" t="s">
        <v>343</v>
      </c>
      <c r="F157" s="4" t="s">
        <v>733</v>
      </c>
      <c r="G157" s="4" t="s">
        <v>58</v>
      </c>
      <c r="H157" s="4" t="s">
        <v>41</v>
      </c>
      <c r="I157" s="4" t="s">
        <v>734</v>
      </c>
      <c r="J157" s="4" t="s">
        <v>52</v>
      </c>
      <c r="K157" s="4" t="s">
        <v>732</v>
      </c>
      <c r="L157" s="4" t="str">
        <f t="shared" si="2"/>
        <v>Different owner</v>
      </c>
    </row>
    <row r="158" spans="1:12" ht="15" customHeight="1" x14ac:dyDescent="0.3">
      <c r="A158" s="4" t="s">
        <v>735</v>
      </c>
      <c r="B158" s="4" t="s">
        <v>736</v>
      </c>
      <c r="C158" s="4" t="s">
        <v>737</v>
      </c>
      <c r="D158" s="4" t="s">
        <v>738</v>
      </c>
      <c r="E158" s="4" t="s">
        <v>91</v>
      </c>
      <c r="F158" s="4" t="s">
        <v>739</v>
      </c>
      <c r="G158" s="4" t="s">
        <v>49</v>
      </c>
      <c r="H158" s="4" t="s">
        <v>41</v>
      </c>
      <c r="I158" s="4" t="s">
        <v>131</v>
      </c>
      <c r="J158" s="4" t="s">
        <v>94</v>
      </c>
      <c r="K158" s="4" t="s">
        <v>740</v>
      </c>
      <c r="L158" s="4" t="str">
        <f t="shared" si="2"/>
        <v>Different owner &amp; contact</v>
      </c>
    </row>
    <row r="159" spans="1:12" ht="15" customHeight="1" x14ac:dyDescent="0.3">
      <c r="A159" s="4" t="s">
        <v>741</v>
      </c>
      <c r="B159" s="4" t="s">
        <v>742</v>
      </c>
      <c r="C159" s="4"/>
      <c r="D159" s="4" t="s">
        <v>743</v>
      </c>
      <c r="E159" s="4" t="s">
        <v>27</v>
      </c>
      <c r="F159" s="4" t="s">
        <v>744</v>
      </c>
      <c r="G159" s="4" t="s">
        <v>84</v>
      </c>
      <c r="H159" s="4" t="s">
        <v>745</v>
      </c>
      <c r="I159" s="4" t="s">
        <v>746</v>
      </c>
      <c r="J159" s="4" t="s">
        <v>394</v>
      </c>
      <c r="K159" s="4" t="s">
        <v>747</v>
      </c>
      <c r="L159" s="4" t="str">
        <f t="shared" si="2"/>
        <v>Different owner &amp; contact</v>
      </c>
    </row>
    <row r="160" spans="1:12" ht="15" customHeight="1" x14ac:dyDescent="0.3">
      <c r="A160" s="4" t="s">
        <v>748</v>
      </c>
      <c r="B160" s="4" t="s">
        <v>749</v>
      </c>
      <c r="C160" s="4"/>
      <c r="D160" s="4"/>
      <c r="E160" s="4" t="s">
        <v>91</v>
      </c>
      <c r="F160" s="4" t="s">
        <v>750</v>
      </c>
      <c r="G160" s="4" t="s">
        <v>58</v>
      </c>
      <c r="H160" s="4" t="s">
        <v>41</v>
      </c>
      <c r="I160" s="4" t="s">
        <v>93</v>
      </c>
      <c r="J160" s="4" t="s">
        <v>94</v>
      </c>
      <c r="K160" s="4" t="s">
        <v>751</v>
      </c>
      <c r="L160" s="4" t="str">
        <f t="shared" si="2"/>
        <v>Different owner &amp; contact</v>
      </c>
    </row>
    <row r="161" spans="1:12" ht="15" customHeight="1" x14ac:dyDescent="0.3">
      <c r="A161" s="4" t="s">
        <v>752</v>
      </c>
      <c r="B161" s="4" t="s">
        <v>749</v>
      </c>
      <c r="C161" s="4" t="s">
        <v>753</v>
      </c>
      <c r="D161" s="4" t="s">
        <v>754</v>
      </c>
      <c r="E161" s="4" t="s">
        <v>91</v>
      </c>
      <c r="F161" s="4" t="s">
        <v>750</v>
      </c>
      <c r="G161" s="4" t="s">
        <v>58</v>
      </c>
      <c r="H161" s="4" t="s">
        <v>41</v>
      </c>
      <c r="I161" s="4" t="s">
        <v>93</v>
      </c>
      <c r="J161" s="4" t="s">
        <v>94</v>
      </c>
      <c r="K161" s="4" t="s">
        <v>751</v>
      </c>
      <c r="L161" s="4" t="str">
        <f t="shared" si="2"/>
        <v>Different owner &amp; contact</v>
      </c>
    </row>
    <row r="162" spans="1:12" ht="15" customHeight="1" x14ac:dyDescent="0.3">
      <c r="A162" s="4" t="s">
        <v>755</v>
      </c>
      <c r="B162" s="4" t="s">
        <v>756</v>
      </c>
      <c r="C162" s="4" t="s">
        <v>757</v>
      </c>
      <c r="D162" s="4"/>
      <c r="E162" s="4" t="s">
        <v>56</v>
      </c>
      <c r="F162" s="4" t="s">
        <v>758</v>
      </c>
      <c r="G162" s="4" t="s">
        <v>58</v>
      </c>
      <c r="H162" s="4" t="s">
        <v>41</v>
      </c>
      <c r="I162" s="4" t="s">
        <v>516</v>
      </c>
      <c r="J162" s="4" t="s">
        <v>32</v>
      </c>
      <c r="K162" s="4" t="s">
        <v>759</v>
      </c>
      <c r="L162" s="4" t="str">
        <f t="shared" si="2"/>
        <v>Different owner &amp; contact</v>
      </c>
    </row>
    <row r="163" spans="1:12" ht="15" customHeight="1" x14ac:dyDescent="0.3">
      <c r="A163" s="4" t="s">
        <v>760</v>
      </c>
      <c r="B163" s="4" t="s">
        <v>761</v>
      </c>
      <c r="C163" s="4" t="s">
        <v>762</v>
      </c>
      <c r="D163" s="4" t="s">
        <v>763</v>
      </c>
      <c r="E163" s="4" t="s">
        <v>91</v>
      </c>
      <c r="F163" s="4" t="s">
        <v>764</v>
      </c>
      <c r="G163" s="4" t="s">
        <v>124</v>
      </c>
      <c r="H163" s="4" t="s">
        <v>41</v>
      </c>
      <c r="I163" s="4" t="s">
        <v>101</v>
      </c>
      <c r="J163" s="4" t="s">
        <v>765</v>
      </c>
      <c r="K163" s="4" t="s">
        <v>762</v>
      </c>
      <c r="L163" s="4" t="str">
        <f t="shared" si="2"/>
        <v>Different owner</v>
      </c>
    </row>
    <row r="164" spans="1:12" ht="15" customHeight="1" x14ac:dyDescent="0.3">
      <c r="A164" s="4" t="s">
        <v>766</v>
      </c>
      <c r="B164" s="4" t="s">
        <v>767</v>
      </c>
      <c r="C164" s="4" t="s">
        <v>768</v>
      </c>
      <c r="D164" s="4" t="s">
        <v>769</v>
      </c>
      <c r="E164" s="4" t="s">
        <v>66</v>
      </c>
      <c r="F164" s="4" t="s">
        <v>770</v>
      </c>
      <c r="G164" s="4" t="s">
        <v>58</v>
      </c>
      <c r="H164" s="4" t="s">
        <v>41</v>
      </c>
      <c r="I164" s="4" t="s">
        <v>101</v>
      </c>
      <c r="J164" s="4" t="s">
        <v>66</v>
      </c>
      <c r="K164" s="4" t="s">
        <v>771</v>
      </c>
      <c r="L164" s="4" t="str">
        <f t="shared" si="2"/>
        <v>Different contact</v>
      </c>
    </row>
    <row r="165" spans="1:12" ht="15" customHeight="1" x14ac:dyDescent="0.3">
      <c r="A165" s="4" t="s">
        <v>772</v>
      </c>
      <c r="B165" s="4" t="s">
        <v>773</v>
      </c>
      <c r="C165" s="4"/>
      <c r="D165" s="4" t="s">
        <v>774</v>
      </c>
      <c r="E165" s="4" t="s">
        <v>32</v>
      </c>
      <c r="F165" s="4" t="s">
        <v>775</v>
      </c>
      <c r="G165" s="4" t="s">
        <v>58</v>
      </c>
      <c r="H165" s="4" t="s">
        <v>30</v>
      </c>
      <c r="I165" s="4" t="s">
        <v>125</v>
      </c>
      <c r="J165" s="4" t="s">
        <v>32</v>
      </c>
      <c r="K165" s="4" t="s">
        <v>776</v>
      </c>
      <c r="L165" s="4" t="str">
        <f t="shared" si="2"/>
        <v>Different contact</v>
      </c>
    </row>
    <row r="166" spans="1:12" ht="15" customHeight="1" x14ac:dyDescent="0.3">
      <c r="A166" s="4" t="s">
        <v>777</v>
      </c>
      <c r="B166" s="4" t="s">
        <v>773</v>
      </c>
      <c r="C166" s="4" t="s">
        <v>778</v>
      </c>
      <c r="D166" s="4" t="s">
        <v>774</v>
      </c>
      <c r="E166" s="4" t="s">
        <v>52</v>
      </c>
      <c r="F166" s="4" t="s">
        <v>775</v>
      </c>
      <c r="G166" s="4" t="s">
        <v>58</v>
      </c>
      <c r="H166" s="4" t="s">
        <v>30</v>
      </c>
      <c r="I166" s="4" t="s">
        <v>125</v>
      </c>
      <c r="J166" s="4" t="s">
        <v>32</v>
      </c>
      <c r="K166" s="4" t="s">
        <v>776</v>
      </c>
      <c r="L166" s="4" t="str">
        <f t="shared" si="2"/>
        <v>Different owner &amp; contact</v>
      </c>
    </row>
    <row r="167" spans="1:12" ht="15" customHeight="1" x14ac:dyDescent="0.3">
      <c r="A167" s="4" t="s">
        <v>779</v>
      </c>
      <c r="B167" s="4" t="s">
        <v>773</v>
      </c>
      <c r="C167" s="4" t="s">
        <v>776</v>
      </c>
      <c r="D167" s="4"/>
      <c r="E167" s="4" t="s">
        <v>343</v>
      </c>
      <c r="F167" s="4" t="s">
        <v>775</v>
      </c>
      <c r="G167" s="4" t="s">
        <v>58</v>
      </c>
      <c r="H167" s="4" t="s">
        <v>30</v>
      </c>
      <c r="I167" s="4" t="s">
        <v>125</v>
      </c>
      <c r="J167" s="4" t="s">
        <v>32</v>
      </c>
      <c r="K167" s="4" t="s">
        <v>776</v>
      </c>
      <c r="L167" s="4" t="str">
        <f t="shared" si="2"/>
        <v>Different owner</v>
      </c>
    </row>
    <row r="168" spans="1:12" ht="15" customHeight="1" x14ac:dyDescent="0.3">
      <c r="A168" s="4" t="s">
        <v>780</v>
      </c>
      <c r="B168" s="4" t="s">
        <v>781</v>
      </c>
      <c r="C168" s="4" t="s">
        <v>782</v>
      </c>
      <c r="D168" s="4" t="s">
        <v>783</v>
      </c>
      <c r="E168" s="4" t="s">
        <v>27</v>
      </c>
      <c r="F168" s="4" t="s">
        <v>784</v>
      </c>
      <c r="G168" s="4" t="s">
        <v>124</v>
      </c>
      <c r="H168" s="4" t="s">
        <v>68</v>
      </c>
      <c r="I168" s="4" t="s">
        <v>125</v>
      </c>
      <c r="J168" s="4" t="s">
        <v>52</v>
      </c>
      <c r="K168" s="4" t="s">
        <v>782</v>
      </c>
      <c r="L168" s="4" t="str">
        <f t="shared" si="2"/>
        <v>Different owner</v>
      </c>
    </row>
    <row r="169" spans="1:12" ht="15" customHeight="1" x14ac:dyDescent="0.3">
      <c r="A169" s="4" t="s">
        <v>785</v>
      </c>
      <c r="B169" s="4" t="s">
        <v>786</v>
      </c>
      <c r="C169" s="4"/>
      <c r="D169" s="4" t="s">
        <v>787</v>
      </c>
      <c r="E169" s="4" t="s">
        <v>385</v>
      </c>
      <c r="F169" s="4" t="s">
        <v>788</v>
      </c>
      <c r="G169" s="4" t="s">
        <v>124</v>
      </c>
      <c r="H169" s="4" t="s">
        <v>30</v>
      </c>
      <c r="I169" s="4" t="s">
        <v>125</v>
      </c>
      <c r="J169" s="4" t="s">
        <v>34</v>
      </c>
      <c r="K169" s="4" t="s">
        <v>789</v>
      </c>
      <c r="L169" s="4" t="str">
        <f t="shared" si="2"/>
        <v>Different owner &amp; contact</v>
      </c>
    </row>
    <row r="170" spans="1:12" ht="15" customHeight="1" x14ac:dyDescent="0.3">
      <c r="A170" s="4" t="s">
        <v>790</v>
      </c>
      <c r="B170" s="4" t="s">
        <v>786</v>
      </c>
      <c r="C170" s="4"/>
      <c r="D170" s="4"/>
      <c r="E170" s="4" t="s">
        <v>34</v>
      </c>
      <c r="F170" s="4" t="s">
        <v>788</v>
      </c>
      <c r="G170" s="4" t="s">
        <v>124</v>
      </c>
      <c r="H170" s="4" t="s">
        <v>30</v>
      </c>
      <c r="I170" s="4" t="s">
        <v>125</v>
      </c>
      <c r="J170" s="4" t="s">
        <v>34</v>
      </c>
      <c r="K170" s="4" t="s">
        <v>789</v>
      </c>
      <c r="L170" s="4" t="str">
        <f t="shared" si="2"/>
        <v>Different contact</v>
      </c>
    </row>
    <row r="171" spans="1:12" ht="15" customHeight="1" x14ac:dyDescent="0.3">
      <c r="A171" s="4" t="s">
        <v>791</v>
      </c>
      <c r="B171" s="4" t="s">
        <v>786</v>
      </c>
      <c r="C171" s="4" t="s">
        <v>789</v>
      </c>
      <c r="D171" s="4" t="s">
        <v>787</v>
      </c>
      <c r="E171" s="4" t="s">
        <v>52</v>
      </c>
      <c r="F171" s="4" t="s">
        <v>788</v>
      </c>
      <c r="G171" s="4" t="s">
        <v>124</v>
      </c>
      <c r="H171" s="4" t="s">
        <v>30</v>
      </c>
      <c r="I171" s="4" t="s">
        <v>125</v>
      </c>
      <c r="J171" s="4" t="s">
        <v>34</v>
      </c>
      <c r="K171" s="4" t="s">
        <v>789</v>
      </c>
      <c r="L171" s="4" t="str">
        <f t="shared" si="2"/>
        <v>Different owner</v>
      </c>
    </row>
    <row r="172" spans="1:12" ht="15" customHeight="1" x14ac:dyDescent="0.3">
      <c r="A172" s="4" t="s">
        <v>792</v>
      </c>
      <c r="B172" s="4" t="s">
        <v>793</v>
      </c>
      <c r="C172" s="4" t="s">
        <v>794</v>
      </c>
      <c r="D172" s="4"/>
      <c r="E172" s="4" t="s">
        <v>56</v>
      </c>
      <c r="F172" s="4" t="s">
        <v>795</v>
      </c>
      <c r="G172" s="4" t="s">
        <v>29</v>
      </c>
      <c r="H172" s="4" t="s">
        <v>68</v>
      </c>
      <c r="I172" s="4" t="s">
        <v>93</v>
      </c>
      <c r="J172" s="4" t="s">
        <v>102</v>
      </c>
      <c r="K172" s="4" t="s">
        <v>796</v>
      </c>
      <c r="L172" s="4" t="str">
        <f t="shared" si="2"/>
        <v>Different owner &amp; contact</v>
      </c>
    </row>
    <row r="173" spans="1:12" ht="15" customHeight="1" x14ac:dyDescent="0.3">
      <c r="A173" s="4" t="s">
        <v>797</v>
      </c>
      <c r="B173" s="4" t="s">
        <v>798</v>
      </c>
      <c r="C173" s="4" t="s">
        <v>799</v>
      </c>
      <c r="D173" s="4" t="s">
        <v>800</v>
      </c>
      <c r="E173" s="4" t="s">
        <v>91</v>
      </c>
      <c r="F173" s="4" t="s">
        <v>801</v>
      </c>
      <c r="G173" s="4" t="s">
        <v>58</v>
      </c>
      <c r="H173" s="4" t="s">
        <v>41</v>
      </c>
      <c r="I173" s="4" t="s">
        <v>131</v>
      </c>
      <c r="J173" s="4" t="s">
        <v>32</v>
      </c>
      <c r="K173" s="4" t="s">
        <v>802</v>
      </c>
      <c r="L173" s="4" t="str">
        <f t="shared" si="2"/>
        <v>Different owner &amp; contact</v>
      </c>
    </row>
    <row r="174" spans="1:12" ht="15" customHeight="1" x14ac:dyDescent="0.3">
      <c r="A174" s="4" t="s">
        <v>803</v>
      </c>
      <c r="B174" s="4" t="s">
        <v>804</v>
      </c>
      <c r="C174" s="4" t="s">
        <v>805</v>
      </c>
      <c r="D174" s="4"/>
      <c r="E174" s="4" t="s">
        <v>91</v>
      </c>
      <c r="F174" s="4" t="s">
        <v>806</v>
      </c>
      <c r="G174" s="4" t="s">
        <v>130</v>
      </c>
      <c r="H174" s="4" t="s">
        <v>30</v>
      </c>
      <c r="I174" s="4" t="s">
        <v>125</v>
      </c>
      <c r="J174" s="4" t="s">
        <v>102</v>
      </c>
      <c r="K174" s="4" t="s">
        <v>805</v>
      </c>
      <c r="L174" s="4" t="str">
        <f t="shared" si="2"/>
        <v>Different owner</v>
      </c>
    </row>
    <row r="175" spans="1:12" ht="15" customHeight="1" x14ac:dyDescent="0.3">
      <c r="A175" s="4" t="s">
        <v>807</v>
      </c>
      <c r="B175" s="4" t="s">
        <v>808</v>
      </c>
      <c r="C175" s="4" t="s">
        <v>809</v>
      </c>
      <c r="D175" s="4" t="s">
        <v>810</v>
      </c>
      <c r="E175" s="4" t="s">
        <v>47</v>
      </c>
      <c r="F175" s="4" t="s">
        <v>811</v>
      </c>
      <c r="G175" s="4" t="s">
        <v>130</v>
      </c>
      <c r="H175" s="4" t="s">
        <v>41</v>
      </c>
      <c r="I175" s="4" t="s">
        <v>404</v>
      </c>
      <c r="J175" s="4" t="s">
        <v>66</v>
      </c>
      <c r="K175" s="4" t="s">
        <v>809</v>
      </c>
      <c r="L175" s="4" t="str">
        <f t="shared" si="2"/>
        <v>Different owner</v>
      </c>
    </row>
    <row r="176" spans="1:12" ht="15" customHeight="1" x14ac:dyDescent="0.3">
      <c r="A176" s="4" t="s">
        <v>812</v>
      </c>
      <c r="B176" s="4" t="s">
        <v>813</v>
      </c>
      <c r="C176" s="4" t="s">
        <v>814</v>
      </c>
      <c r="D176" s="4" t="s">
        <v>815</v>
      </c>
      <c r="E176" s="4" t="s">
        <v>91</v>
      </c>
      <c r="F176" s="4" t="s">
        <v>816</v>
      </c>
      <c r="G176" s="4" t="s">
        <v>124</v>
      </c>
      <c r="H176" s="4" t="s">
        <v>30</v>
      </c>
      <c r="I176" s="4" t="s">
        <v>538</v>
      </c>
      <c r="J176" s="4" t="s">
        <v>94</v>
      </c>
      <c r="K176" s="4" t="s">
        <v>817</v>
      </c>
      <c r="L176" s="4" t="str">
        <f t="shared" si="2"/>
        <v>Different owner &amp; contact</v>
      </c>
    </row>
    <row r="177" spans="1:12" ht="15" customHeight="1" x14ac:dyDescent="0.3">
      <c r="A177" s="4" t="s">
        <v>818</v>
      </c>
      <c r="B177" s="4" t="s">
        <v>819</v>
      </c>
      <c r="C177" s="4" t="s">
        <v>820</v>
      </c>
      <c r="D177" s="4" t="s">
        <v>821</v>
      </c>
      <c r="E177" s="4" t="s">
        <v>27</v>
      </c>
      <c r="F177" s="4" t="s">
        <v>822</v>
      </c>
      <c r="G177" s="4" t="s">
        <v>49</v>
      </c>
      <c r="H177" s="4" t="s">
        <v>41</v>
      </c>
      <c r="I177" s="4" t="s">
        <v>823</v>
      </c>
      <c r="J177" s="4" t="s">
        <v>34</v>
      </c>
      <c r="K177" s="4" t="s">
        <v>820</v>
      </c>
      <c r="L177" s="4" t="str">
        <f t="shared" si="2"/>
        <v>Different owner</v>
      </c>
    </row>
    <row r="178" spans="1:12" ht="15" customHeight="1" x14ac:dyDescent="0.3">
      <c r="A178" s="4" t="s">
        <v>824</v>
      </c>
      <c r="B178" s="4" t="s">
        <v>825</v>
      </c>
      <c r="C178" s="4" t="s">
        <v>826</v>
      </c>
      <c r="D178" s="4" t="s">
        <v>827</v>
      </c>
      <c r="E178" s="4" t="s">
        <v>56</v>
      </c>
      <c r="F178" s="4" t="s">
        <v>828</v>
      </c>
      <c r="G178" s="4" t="s">
        <v>209</v>
      </c>
      <c r="H178" s="4" t="s">
        <v>41</v>
      </c>
      <c r="I178" s="4" t="s">
        <v>131</v>
      </c>
      <c r="J178" s="4" t="s">
        <v>60</v>
      </c>
      <c r="K178" s="4" t="s">
        <v>829</v>
      </c>
      <c r="L178" s="4" t="str">
        <f t="shared" si="2"/>
        <v>Different owner &amp; contact</v>
      </c>
    </row>
    <row r="179" spans="1:12" ht="15" customHeight="1" x14ac:dyDescent="0.3">
      <c r="A179" s="4" t="s">
        <v>830</v>
      </c>
      <c r="B179" s="4" t="s">
        <v>831</v>
      </c>
      <c r="C179" s="4" t="s">
        <v>832</v>
      </c>
      <c r="D179" s="4" t="s">
        <v>833</v>
      </c>
      <c r="E179" s="4" t="s">
        <v>91</v>
      </c>
      <c r="F179" s="4" t="s">
        <v>834</v>
      </c>
      <c r="G179" s="4" t="s">
        <v>49</v>
      </c>
      <c r="H179" s="4" t="s">
        <v>41</v>
      </c>
      <c r="I179" s="4" t="s">
        <v>228</v>
      </c>
      <c r="J179" s="4" t="s">
        <v>94</v>
      </c>
      <c r="K179" s="4" t="s">
        <v>835</v>
      </c>
      <c r="L179" s="4" t="str">
        <f t="shared" si="2"/>
        <v>Different owner &amp; contact</v>
      </c>
    </row>
    <row r="180" spans="1:12" ht="15" customHeight="1" x14ac:dyDescent="0.3">
      <c r="A180" s="4" t="s">
        <v>836</v>
      </c>
      <c r="B180" s="4" t="s">
        <v>837</v>
      </c>
      <c r="C180" s="4" t="s">
        <v>838</v>
      </c>
      <c r="D180" s="4"/>
      <c r="E180" s="4" t="s">
        <v>56</v>
      </c>
      <c r="F180" s="4" t="s">
        <v>839</v>
      </c>
      <c r="G180" s="4" t="s">
        <v>209</v>
      </c>
      <c r="H180" s="4" t="s">
        <v>41</v>
      </c>
      <c r="I180" s="4" t="s">
        <v>101</v>
      </c>
      <c r="J180" s="4" t="s">
        <v>102</v>
      </c>
      <c r="K180" s="4" t="s">
        <v>840</v>
      </c>
      <c r="L180" s="4" t="str">
        <f t="shared" si="2"/>
        <v>Different owner &amp; contact</v>
      </c>
    </row>
    <row r="181" spans="1:12" ht="15" customHeight="1" x14ac:dyDescent="0.3">
      <c r="A181" s="4" t="s">
        <v>841</v>
      </c>
      <c r="B181" s="4" t="s">
        <v>842</v>
      </c>
      <c r="C181" s="4" t="s">
        <v>843</v>
      </c>
      <c r="D181" s="4" t="s">
        <v>844</v>
      </c>
      <c r="E181" s="4" t="s">
        <v>91</v>
      </c>
      <c r="F181" s="4" t="s">
        <v>845</v>
      </c>
      <c r="G181" s="4" t="s">
        <v>361</v>
      </c>
      <c r="H181" s="4" t="s">
        <v>41</v>
      </c>
      <c r="I181" s="4" t="s">
        <v>131</v>
      </c>
      <c r="J181" s="4" t="s">
        <v>94</v>
      </c>
      <c r="K181" s="4" t="s">
        <v>846</v>
      </c>
      <c r="L181" s="4" t="str">
        <f t="shared" si="2"/>
        <v>Different owner &amp; contact</v>
      </c>
    </row>
    <row r="182" spans="1:12" ht="15" customHeight="1" x14ac:dyDescent="0.3">
      <c r="A182" s="4" t="s">
        <v>847</v>
      </c>
      <c r="B182" s="4" t="s">
        <v>842</v>
      </c>
      <c r="C182" s="4"/>
      <c r="D182" s="4"/>
      <c r="E182" s="4" t="s">
        <v>848</v>
      </c>
      <c r="F182" s="4" t="s">
        <v>845</v>
      </c>
      <c r="G182" s="4" t="s">
        <v>361</v>
      </c>
      <c r="H182" s="4" t="s">
        <v>41</v>
      </c>
      <c r="I182" s="4" t="s">
        <v>131</v>
      </c>
      <c r="J182" s="4" t="s">
        <v>94</v>
      </c>
      <c r="K182" s="4" t="s">
        <v>846</v>
      </c>
      <c r="L182" s="4" t="str">
        <f t="shared" si="2"/>
        <v>Different owner &amp; contact</v>
      </c>
    </row>
    <row r="183" spans="1:12" ht="15" customHeight="1" x14ac:dyDescent="0.3">
      <c r="A183" s="4" t="s">
        <v>849</v>
      </c>
      <c r="B183" s="4" t="s">
        <v>850</v>
      </c>
      <c r="C183" s="4" t="s">
        <v>851</v>
      </c>
      <c r="D183" s="4"/>
      <c r="E183" s="4" t="s">
        <v>343</v>
      </c>
      <c r="F183" s="4" t="s">
        <v>852</v>
      </c>
      <c r="G183" s="4" t="s">
        <v>58</v>
      </c>
      <c r="H183" s="4" t="s">
        <v>41</v>
      </c>
      <c r="I183" s="4" t="s">
        <v>823</v>
      </c>
      <c r="J183" s="4" t="s">
        <v>34</v>
      </c>
      <c r="K183" s="4" t="s">
        <v>853</v>
      </c>
      <c r="L183" s="4" t="str">
        <f t="shared" si="2"/>
        <v>Different owner &amp; contact</v>
      </c>
    </row>
    <row r="184" spans="1:12" ht="15" customHeight="1" x14ac:dyDescent="0.3">
      <c r="A184" s="4" t="s">
        <v>854</v>
      </c>
      <c r="B184" s="4" t="s">
        <v>850</v>
      </c>
      <c r="C184" s="4"/>
      <c r="D184" s="4"/>
      <c r="E184" s="4" t="s">
        <v>34</v>
      </c>
      <c r="F184" s="4" t="s">
        <v>852</v>
      </c>
      <c r="G184" s="4" t="s">
        <v>58</v>
      </c>
      <c r="H184" s="4" t="s">
        <v>41</v>
      </c>
      <c r="I184" s="4" t="s">
        <v>823</v>
      </c>
      <c r="J184" s="4" t="s">
        <v>34</v>
      </c>
      <c r="K184" s="4" t="s">
        <v>853</v>
      </c>
      <c r="L184" s="4" t="str">
        <f t="shared" si="2"/>
        <v>Different contact</v>
      </c>
    </row>
    <row r="185" spans="1:12" ht="15" customHeight="1" x14ac:dyDescent="0.3">
      <c r="A185" s="4" t="s">
        <v>855</v>
      </c>
      <c r="B185" s="4" t="s">
        <v>850</v>
      </c>
      <c r="C185" s="4" t="s">
        <v>856</v>
      </c>
      <c r="D185" s="4" t="s">
        <v>857</v>
      </c>
      <c r="E185" s="4" t="s">
        <v>27</v>
      </c>
      <c r="F185" s="4" t="s">
        <v>852</v>
      </c>
      <c r="G185" s="4" t="s">
        <v>58</v>
      </c>
      <c r="H185" s="4" t="s">
        <v>41</v>
      </c>
      <c r="I185" s="4" t="s">
        <v>823</v>
      </c>
      <c r="J185" s="4" t="s">
        <v>34</v>
      </c>
      <c r="K185" s="4" t="s">
        <v>853</v>
      </c>
      <c r="L185" s="4" t="str">
        <f t="shared" si="2"/>
        <v>Different owner &amp; contact</v>
      </c>
    </row>
    <row r="186" spans="1:12" ht="15" customHeight="1" x14ac:dyDescent="0.3">
      <c r="A186" s="4" t="s">
        <v>858</v>
      </c>
      <c r="B186" s="4" t="s">
        <v>859</v>
      </c>
      <c r="C186" s="4" t="s">
        <v>860</v>
      </c>
      <c r="D186" s="4" t="s">
        <v>861</v>
      </c>
      <c r="E186" s="4" t="s">
        <v>172</v>
      </c>
      <c r="F186" s="4" t="s">
        <v>862</v>
      </c>
      <c r="G186" s="4" t="s">
        <v>58</v>
      </c>
      <c r="H186" s="4" t="s">
        <v>174</v>
      </c>
      <c r="I186" s="4" t="s">
        <v>863</v>
      </c>
      <c r="J186" s="4" t="s">
        <v>176</v>
      </c>
      <c r="K186" s="4" t="s">
        <v>864</v>
      </c>
      <c r="L186" s="4" t="str">
        <f t="shared" si="2"/>
        <v>Different owner &amp; contact</v>
      </c>
    </row>
    <row r="187" spans="1:12" ht="15" customHeight="1" x14ac:dyDescent="0.3">
      <c r="A187" s="4" t="s">
        <v>139</v>
      </c>
      <c r="B187" s="4" t="s">
        <v>859</v>
      </c>
      <c r="C187" s="4"/>
      <c r="D187" s="4" t="s">
        <v>865</v>
      </c>
      <c r="E187" s="4" t="s">
        <v>172</v>
      </c>
      <c r="F187" s="4" t="s">
        <v>862</v>
      </c>
      <c r="G187" s="4" t="s">
        <v>58</v>
      </c>
      <c r="H187" s="4" t="s">
        <v>174</v>
      </c>
      <c r="I187" s="4" t="s">
        <v>863</v>
      </c>
      <c r="J187" s="4" t="s">
        <v>176</v>
      </c>
      <c r="K187" s="4" t="s">
        <v>864</v>
      </c>
      <c r="L187" s="4" t="str">
        <f t="shared" si="2"/>
        <v>Different owner &amp; contact</v>
      </c>
    </row>
    <row r="188" spans="1:12" ht="15" customHeight="1" x14ac:dyDescent="0.3">
      <c r="A188" s="4" t="s">
        <v>139</v>
      </c>
      <c r="B188" s="4" t="s">
        <v>859</v>
      </c>
      <c r="C188" s="4"/>
      <c r="D188" s="4" t="s">
        <v>866</v>
      </c>
      <c r="E188" s="4" t="s">
        <v>172</v>
      </c>
      <c r="F188" s="4" t="s">
        <v>862</v>
      </c>
      <c r="G188" s="4" t="s">
        <v>58</v>
      </c>
      <c r="H188" s="4" t="s">
        <v>174</v>
      </c>
      <c r="I188" s="4" t="s">
        <v>863</v>
      </c>
      <c r="J188" s="4" t="s">
        <v>176</v>
      </c>
      <c r="K188" s="4" t="s">
        <v>864</v>
      </c>
      <c r="L188" s="4" t="str">
        <f t="shared" si="2"/>
        <v>Different owner &amp; contact</v>
      </c>
    </row>
    <row r="189" spans="1:12" ht="15" customHeight="1" x14ac:dyDescent="0.3">
      <c r="A189" s="4" t="s">
        <v>867</v>
      </c>
      <c r="B189" s="4" t="s">
        <v>868</v>
      </c>
      <c r="C189" s="4"/>
      <c r="D189" s="4"/>
      <c r="E189" s="4" t="s">
        <v>34</v>
      </c>
      <c r="F189" s="4" t="s">
        <v>869</v>
      </c>
      <c r="G189" s="4" t="s">
        <v>361</v>
      </c>
      <c r="H189" s="4" t="s">
        <v>68</v>
      </c>
      <c r="I189" s="4" t="s">
        <v>264</v>
      </c>
      <c r="J189" s="4" t="s">
        <v>34</v>
      </c>
      <c r="K189" s="4" t="s">
        <v>870</v>
      </c>
      <c r="L189" s="4" t="str">
        <f t="shared" si="2"/>
        <v>Different contact</v>
      </c>
    </row>
    <row r="190" spans="1:12" ht="15" customHeight="1" x14ac:dyDescent="0.3">
      <c r="A190" s="4" t="s">
        <v>871</v>
      </c>
      <c r="B190" s="4" t="s">
        <v>872</v>
      </c>
      <c r="C190" s="4"/>
      <c r="D190" s="4"/>
      <c r="E190" s="4" t="s">
        <v>34</v>
      </c>
      <c r="F190" s="4" t="s">
        <v>873</v>
      </c>
      <c r="G190" s="4" t="s">
        <v>84</v>
      </c>
      <c r="H190" s="4" t="s">
        <v>41</v>
      </c>
      <c r="I190" s="4" t="s">
        <v>59</v>
      </c>
      <c r="J190" s="4" t="s">
        <v>34</v>
      </c>
      <c r="K190" s="4" t="s">
        <v>874</v>
      </c>
      <c r="L190" s="4" t="str">
        <f t="shared" si="2"/>
        <v>Different contact</v>
      </c>
    </row>
    <row r="191" spans="1:12" ht="15" customHeight="1" x14ac:dyDescent="0.3">
      <c r="A191" s="4" t="s">
        <v>875</v>
      </c>
      <c r="B191" s="4" t="s">
        <v>872</v>
      </c>
      <c r="C191" s="4" t="s">
        <v>876</v>
      </c>
      <c r="D191" s="4" t="s">
        <v>877</v>
      </c>
      <c r="E191" s="4" t="s">
        <v>27</v>
      </c>
      <c r="F191" s="4" t="s">
        <v>873</v>
      </c>
      <c r="G191" s="4" t="s">
        <v>84</v>
      </c>
      <c r="H191" s="4" t="s">
        <v>41</v>
      </c>
      <c r="I191" s="4" t="s">
        <v>59</v>
      </c>
      <c r="J191" s="4" t="s">
        <v>34</v>
      </c>
      <c r="K191" s="4" t="s">
        <v>874</v>
      </c>
      <c r="L191" s="4" t="str">
        <f t="shared" si="2"/>
        <v>Different owner &amp; contact</v>
      </c>
    </row>
    <row r="192" spans="1:12" ht="15" customHeight="1" x14ac:dyDescent="0.3">
      <c r="A192" s="4" t="s">
        <v>878</v>
      </c>
      <c r="B192" s="4" t="s">
        <v>879</v>
      </c>
      <c r="C192" s="4" t="s">
        <v>880</v>
      </c>
      <c r="D192" s="4" t="s">
        <v>881</v>
      </c>
      <c r="E192" s="4" t="s">
        <v>91</v>
      </c>
      <c r="F192" s="4" t="s">
        <v>882</v>
      </c>
      <c r="G192" s="4" t="s">
        <v>577</v>
      </c>
      <c r="H192" s="4" t="s">
        <v>68</v>
      </c>
      <c r="I192" s="4" t="s">
        <v>883</v>
      </c>
      <c r="J192" s="4" t="s">
        <v>102</v>
      </c>
      <c r="K192" s="4" t="s">
        <v>884</v>
      </c>
      <c r="L192" s="4" t="str">
        <f t="shared" si="2"/>
        <v>Different owner &amp; contact</v>
      </c>
    </row>
    <row r="193" spans="1:12" ht="15" customHeight="1" x14ac:dyDescent="0.3">
      <c r="A193" s="4" t="s">
        <v>885</v>
      </c>
      <c r="B193" s="4" t="s">
        <v>886</v>
      </c>
      <c r="C193" s="4" t="s">
        <v>887</v>
      </c>
      <c r="D193" s="4"/>
      <c r="E193" s="4" t="s">
        <v>91</v>
      </c>
      <c r="F193" s="4" t="s">
        <v>888</v>
      </c>
      <c r="G193" s="4" t="s">
        <v>361</v>
      </c>
      <c r="H193" s="4" t="s">
        <v>41</v>
      </c>
      <c r="I193" s="4" t="s">
        <v>889</v>
      </c>
      <c r="J193" s="4" t="s">
        <v>102</v>
      </c>
      <c r="K193" s="4" t="s">
        <v>887</v>
      </c>
      <c r="L193" s="4" t="str">
        <f t="shared" si="2"/>
        <v>Different owner</v>
      </c>
    </row>
    <row r="194" spans="1:12" ht="15" customHeight="1" x14ac:dyDescent="0.3">
      <c r="A194" s="4" t="s">
        <v>890</v>
      </c>
      <c r="B194" s="4" t="s">
        <v>891</v>
      </c>
      <c r="C194" s="4" t="s">
        <v>892</v>
      </c>
      <c r="D194" s="4" t="s">
        <v>893</v>
      </c>
      <c r="E194" s="4" t="s">
        <v>894</v>
      </c>
      <c r="F194" s="4" t="s">
        <v>895</v>
      </c>
      <c r="G194" s="4" t="s">
        <v>124</v>
      </c>
      <c r="H194" s="4" t="s">
        <v>174</v>
      </c>
      <c r="I194" s="4" t="s">
        <v>175</v>
      </c>
      <c r="J194" s="4" t="s">
        <v>176</v>
      </c>
      <c r="K194" s="4"/>
      <c r="L194" s="4" t="str">
        <f t="shared" ref="L194:L257" si="3">IF(AND(TRIM(LOWER(E194))=TRIM(LOWER(J194)),TRIM(LOWER(C194))=TRIM(LOWER(K194))),"Match",IF(AND(NOT(TRIM(LOWER(E194))=TRIM(LOWER(J194))),TRIM(LOWER(C194))=TRIM(LOWER(K194))),"Different owner",IF(AND(TRIM(LOWER(E194))=TRIM(LOWER(J194)),NOT(TRIM(LOWER(C194))=TRIM(LOWER(K194)))),"Different contact","Different owner &amp; contact")))</f>
        <v>Different owner &amp; contact</v>
      </c>
    </row>
    <row r="195" spans="1:12" ht="15" customHeight="1" x14ac:dyDescent="0.3">
      <c r="A195" s="4" t="s">
        <v>896</v>
      </c>
      <c r="B195" s="4" t="s">
        <v>897</v>
      </c>
      <c r="C195" s="4" t="s">
        <v>898</v>
      </c>
      <c r="D195" s="4" t="s">
        <v>899</v>
      </c>
      <c r="E195" s="4" t="s">
        <v>91</v>
      </c>
      <c r="F195" s="4" t="s">
        <v>900</v>
      </c>
      <c r="G195" s="4" t="s">
        <v>138</v>
      </c>
      <c r="H195" s="4" t="s">
        <v>68</v>
      </c>
      <c r="I195" s="4" t="s">
        <v>404</v>
      </c>
      <c r="J195" s="4" t="s">
        <v>102</v>
      </c>
      <c r="K195" s="4" t="s">
        <v>898</v>
      </c>
      <c r="L195" s="4" t="str">
        <f t="shared" si="3"/>
        <v>Different owner</v>
      </c>
    </row>
    <row r="196" spans="1:12" ht="15" customHeight="1" x14ac:dyDescent="0.3">
      <c r="A196" s="4" t="s">
        <v>901</v>
      </c>
      <c r="B196" s="4" t="s">
        <v>902</v>
      </c>
      <c r="C196" s="4" t="s">
        <v>903</v>
      </c>
      <c r="D196" s="4" t="s">
        <v>904</v>
      </c>
      <c r="E196" s="4" t="s">
        <v>91</v>
      </c>
      <c r="F196" s="4" t="s">
        <v>905</v>
      </c>
      <c r="G196" s="4" t="s">
        <v>40</v>
      </c>
      <c r="H196" s="4" t="s">
        <v>41</v>
      </c>
      <c r="I196" s="4" t="s">
        <v>734</v>
      </c>
      <c r="J196" s="4" t="s">
        <v>102</v>
      </c>
      <c r="K196" s="4" t="s">
        <v>906</v>
      </c>
      <c r="L196" s="4" t="str">
        <f t="shared" si="3"/>
        <v>Different owner &amp; contact</v>
      </c>
    </row>
    <row r="197" spans="1:12" ht="15" customHeight="1" x14ac:dyDescent="0.3">
      <c r="A197" s="4" t="s">
        <v>907</v>
      </c>
      <c r="B197" s="4" t="s">
        <v>902</v>
      </c>
      <c r="C197" s="4" t="s">
        <v>908</v>
      </c>
      <c r="D197" s="4" t="s">
        <v>909</v>
      </c>
      <c r="E197" s="4" t="s">
        <v>91</v>
      </c>
      <c r="F197" s="4" t="s">
        <v>905</v>
      </c>
      <c r="G197" s="4" t="s">
        <v>40</v>
      </c>
      <c r="H197" s="4" t="s">
        <v>41</v>
      </c>
      <c r="I197" s="4" t="s">
        <v>734</v>
      </c>
      <c r="J197" s="4" t="s">
        <v>102</v>
      </c>
      <c r="K197" s="4" t="s">
        <v>906</v>
      </c>
      <c r="L197" s="4" t="str">
        <f t="shared" si="3"/>
        <v>Different owner &amp; contact</v>
      </c>
    </row>
    <row r="198" spans="1:12" ht="15" customHeight="1" x14ac:dyDescent="0.3">
      <c r="A198" s="4" t="s">
        <v>910</v>
      </c>
      <c r="B198" s="4" t="s">
        <v>911</v>
      </c>
      <c r="C198" s="4" t="s">
        <v>912</v>
      </c>
      <c r="D198" s="4" t="s">
        <v>913</v>
      </c>
      <c r="E198" s="4" t="s">
        <v>66</v>
      </c>
      <c r="F198" s="4" t="s">
        <v>914</v>
      </c>
      <c r="G198" s="4" t="s">
        <v>84</v>
      </c>
      <c r="H198" s="4" t="s">
        <v>68</v>
      </c>
      <c r="I198" s="4" t="s">
        <v>538</v>
      </c>
      <c r="J198" s="4" t="s">
        <v>34</v>
      </c>
      <c r="K198" s="4" t="s">
        <v>915</v>
      </c>
      <c r="L198" s="4" t="str">
        <f t="shared" si="3"/>
        <v>Different owner &amp; contact</v>
      </c>
    </row>
    <row r="199" spans="1:12" ht="15" customHeight="1" x14ac:dyDescent="0.3">
      <c r="A199" s="4" t="s">
        <v>916</v>
      </c>
      <c r="B199" s="4" t="s">
        <v>917</v>
      </c>
      <c r="C199" s="4" t="s">
        <v>918</v>
      </c>
      <c r="D199" s="4" t="s">
        <v>919</v>
      </c>
      <c r="E199" s="4" t="s">
        <v>66</v>
      </c>
      <c r="F199" s="4" t="s">
        <v>920</v>
      </c>
      <c r="G199" s="4" t="s">
        <v>100</v>
      </c>
      <c r="H199" s="4" t="s">
        <v>41</v>
      </c>
      <c r="I199" s="4" t="s">
        <v>85</v>
      </c>
      <c r="J199" s="4" t="s">
        <v>66</v>
      </c>
      <c r="K199" s="4" t="s">
        <v>918</v>
      </c>
      <c r="L199" s="4" t="str">
        <f t="shared" si="3"/>
        <v>Match</v>
      </c>
    </row>
    <row r="200" spans="1:12" ht="15" customHeight="1" x14ac:dyDescent="0.3">
      <c r="A200" s="4" t="s">
        <v>921</v>
      </c>
      <c r="B200" s="4" t="s">
        <v>922</v>
      </c>
      <c r="C200" s="4" t="s">
        <v>923</v>
      </c>
      <c r="D200" s="4" t="s">
        <v>924</v>
      </c>
      <c r="E200" s="4" t="s">
        <v>114</v>
      </c>
      <c r="F200" s="4" t="s">
        <v>925</v>
      </c>
      <c r="G200" s="4" t="s">
        <v>58</v>
      </c>
      <c r="H200" s="4" t="s">
        <v>745</v>
      </c>
      <c r="I200" s="4" t="s">
        <v>926</v>
      </c>
      <c r="J200" s="4" t="s">
        <v>114</v>
      </c>
      <c r="K200" s="4" t="s">
        <v>927</v>
      </c>
      <c r="L200" s="4" t="str">
        <f t="shared" si="3"/>
        <v>Different contact</v>
      </c>
    </row>
    <row r="201" spans="1:12" ht="15" customHeight="1" x14ac:dyDescent="0.3">
      <c r="A201" s="4" t="s">
        <v>928</v>
      </c>
      <c r="B201" s="4" t="s">
        <v>929</v>
      </c>
      <c r="C201" s="4" t="s">
        <v>930</v>
      </c>
      <c r="D201" s="4" t="s">
        <v>931</v>
      </c>
      <c r="E201" s="4" t="s">
        <v>52</v>
      </c>
      <c r="F201" s="4" t="s">
        <v>932</v>
      </c>
      <c r="G201" s="4" t="s">
        <v>29</v>
      </c>
      <c r="H201" s="4" t="s">
        <v>68</v>
      </c>
      <c r="I201" s="4" t="s">
        <v>933</v>
      </c>
      <c r="J201" s="4" t="s">
        <v>34</v>
      </c>
      <c r="K201" s="4" t="s">
        <v>930</v>
      </c>
      <c r="L201" s="4" t="str">
        <f t="shared" si="3"/>
        <v>Different owner</v>
      </c>
    </row>
    <row r="202" spans="1:12" ht="15" customHeight="1" x14ac:dyDescent="0.3">
      <c r="A202" s="4" t="s">
        <v>934</v>
      </c>
      <c r="B202" s="4" t="s">
        <v>929</v>
      </c>
      <c r="C202" s="4"/>
      <c r="D202" s="4"/>
      <c r="E202" s="4" t="s">
        <v>34</v>
      </c>
      <c r="F202" s="4" t="s">
        <v>932</v>
      </c>
      <c r="G202" s="4" t="s">
        <v>29</v>
      </c>
      <c r="H202" s="4" t="s">
        <v>68</v>
      </c>
      <c r="I202" s="4" t="s">
        <v>933</v>
      </c>
      <c r="J202" s="4" t="s">
        <v>34</v>
      </c>
      <c r="K202" s="4" t="s">
        <v>930</v>
      </c>
      <c r="L202" s="4" t="str">
        <f t="shared" si="3"/>
        <v>Different contact</v>
      </c>
    </row>
    <row r="203" spans="1:12" ht="15" customHeight="1" x14ac:dyDescent="0.3">
      <c r="A203" s="4" t="s">
        <v>935</v>
      </c>
      <c r="B203" s="4" t="s">
        <v>936</v>
      </c>
      <c r="C203" s="4" t="s">
        <v>937</v>
      </c>
      <c r="D203" s="4"/>
      <c r="E203" s="4" t="s">
        <v>91</v>
      </c>
      <c r="F203" s="4" t="s">
        <v>938</v>
      </c>
      <c r="G203" s="4" t="s">
        <v>521</v>
      </c>
      <c r="H203" s="4" t="s">
        <v>30</v>
      </c>
      <c r="I203" s="4" t="s">
        <v>125</v>
      </c>
      <c r="J203" s="4" t="s">
        <v>102</v>
      </c>
      <c r="K203" s="4" t="s">
        <v>937</v>
      </c>
      <c r="L203" s="4" t="str">
        <f t="shared" si="3"/>
        <v>Different owner</v>
      </c>
    </row>
    <row r="204" spans="1:12" ht="15" customHeight="1" x14ac:dyDescent="0.3">
      <c r="A204" s="4" t="s">
        <v>939</v>
      </c>
      <c r="B204" s="4" t="s">
        <v>940</v>
      </c>
      <c r="C204" s="4" t="s">
        <v>941</v>
      </c>
      <c r="D204" s="4" t="s">
        <v>942</v>
      </c>
      <c r="E204" s="4" t="s">
        <v>91</v>
      </c>
      <c r="F204" s="4" t="s">
        <v>943</v>
      </c>
      <c r="G204" s="4" t="s">
        <v>29</v>
      </c>
      <c r="H204" s="4" t="s">
        <v>68</v>
      </c>
      <c r="I204" s="4" t="s">
        <v>944</v>
      </c>
      <c r="J204" s="4" t="s">
        <v>94</v>
      </c>
      <c r="K204" s="4" t="s">
        <v>945</v>
      </c>
      <c r="L204" s="4" t="str">
        <f t="shared" si="3"/>
        <v>Different owner &amp; contact</v>
      </c>
    </row>
    <row r="205" spans="1:12" ht="15" customHeight="1" x14ac:dyDescent="0.3">
      <c r="A205" s="4" t="s">
        <v>946</v>
      </c>
      <c r="B205" s="4" t="s">
        <v>947</v>
      </c>
      <c r="C205" s="4"/>
      <c r="D205" s="4" t="s">
        <v>948</v>
      </c>
      <c r="E205" s="4" t="s">
        <v>106</v>
      </c>
      <c r="F205" s="4" t="s">
        <v>949</v>
      </c>
      <c r="G205" s="4" t="s">
        <v>29</v>
      </c>
      <c r="H205" s="4" t="s">
        <v>68</v>
      </c>
      <c r="I205" s="4" t="s">
        <v>299</v>
      </c>
      <c r="J205" s="4" t="s">
        <v>106</v>
      </c>
      <c r="K205" s="4" t="s">
        <v>950</v>
      </c>
      <c r="L205" s="4" t="str">
        <f t="shared" si="3"/>
        <v>Different contact</v>
      </c>
    </row>
    <row r="206" spans="1:12" ht="15" customHeight="1" x14ac:dyDescent="0.3">
      <c r="A206" s="4" t="s">
        <v>951</v>
      </c>
      <c r="B206" s="4" t="s">
        <v>947</v>
      </c>
      <c r="C206" s="4" t="s">
        <v>950</v>
      </c>
      <c r="D206" s="4" t="s">
        <v>948</v>
      </c>
      <c r="E206" s="4" t="s">
        <v>106</v>
      </c>
      <c r="F206" s="4" t="s">
        <v>949</v>
      </c>
      <c r="G206" s="4" t="s">
        <v>29</v>
      </c>
      <c r="H206" s="4" t="s">
        <v>68</v>
      </c>
      <c r="I206" s="4" t="s">
        <v>299</v>
      </c>
      <c r="J206" s="4" t="s">
        <v>106</v>
      </c>
      <c r="K206" s="4" t="s">
        <v>950</v>
      </c>
      <c r="L206" s="4" t="str">
        <f t="shared" si="3"/>
        <v>Match</v>
      </c>
    </row>
    <row r="207" spans="1:12" ht="15" customHeight="1" x14ac:dyDescent="0.3">
      <c r="A207" s="4" t="s">
        <v>952</v>
      </c>
      <c r="B207" s="4" t="s">
        <v>953</v>
      </c>
      <c r="C207" s="4" t="s">
        <v>954</v>
      </c>
      <c r="D207" s="4"/>
      <c r="E207" s="4" t="s">
        <v>56</v>
      </c>
      <c r="F207" s="4" t="s">
        <v>955</v>
      </c>
      <c r="G207" s="4" t="s">
        <v>100</v>
      </c>
      <c r="H207" s="4" t="s">
        <v>68</v>
      </c>
      <c r="I207" s="4" t="s">
        <v>956</v>
      </c>
      <c r="J207" s="4" t="s">
        <v>60</v>
      </c>
      <c r="K207" s="4" t="s">
        <v>957</v>
      </c>
      <c r="L207" s="4" t="str">
        <f t="shared" si="3"/>
        <v>Different owner &amp; contact</v>
      </c>
    </row>
    <row r="208" spans="1:12" ht="15" customHeight="1" x14ac:dyDescent="0.3">
      <c r="A208" s="4" t="s">
        <v>958</v>
      </c>
      <c r="B208" s="4" t="s">
        <v>953</v>
      </c>
      <c r="C208" s="4" t="s">
        <v>959</v>
      </c>
      <c r="D208" s="4"/>
      <c r="E208" s="4" t="s">
        <v>56</v>
      </c>
      <c r="F208" s="4" t="s">
        <v>955</v>
      </c>
      <c r="G208" s="4" t="s">
        <v>100</v>
      </c>
      <c r="H208" s="4" t="s">
        <v>68</v>
      </c>
      <c r="I208" s="4" t="s">
        <v>956</v>
      </c>
      <c r="J208" s="4" t="s">
        <v>60</v>
      </c>
      <c r="K208" s="4" t="s">
        <v>957</v>
      </c>
      <c r="L208" s="4" t="str">
        <f t="shared" si="3"/>
        <v>Different owner &amp; contact</v>
      </c>
    </row>
    <row r="209" spans="1:12" ht="15" customHeight="1" x14ac:dyDescent="0.3">
      <c r="A209" s="4" t="s">
        <v>960</v>
      </c>
      <c r="B209" s="4" t="s">
        <v>961</v>
      </c>
      <c r="C209" s="4" t="s">
        <v>962</v>
      </c>
      <c r="D209" s="4"/>
      <c r="E209" s="4" t="s">
        <v>106</v>
      </c>
      <c r="F209" s="4" t="s">
        <v>963</v>
      </c>
      <c r="G209" s="4" t="s">
        <v>40</v>
      </c>
      <c r="H209" s="4" t="s">
        <v>41</v>
      </c>
      <c r="I209" s="4" t="s">
        <v>101</v>
      </c>
      <c r="J209" s="4" t="s">
        <v>106</v>
      </c>
      <c r="K209" s="4" t="s">
        <v>962</v>
      </c>
      <c r="L209" s="4" t="str">
        <f t="shared" si="3"/>
        <v>Match</v>
      </c>
    </row>
    <row r="210" spans="1:12" ht="15" customHeight="1" x14ac:dyDescent="0.3">
      <c r="A210" s="4" t="s">
        <v>964</v>
      </c>
      <c r="B210" s="4" t="s">
        <v>965</v>
      </c>
      <c r="C210" s="4"/>
      <c r="D210" s="4"/>
      <c r="E210" s="4" t="s">
        <v>34</v>
      </c>
      <c r="F210" s="4" t="s">
        <v>966</v>
      </c>
      <c r="G210" s="4" t="s">
        <v>84</v>
      </c>
      <c r="H210" s="4" t="s">
        <v>68</v>
      </c>
      <c r="I210" s="4" t="s">
        <v>538</v>
      </c>
      <c r="J210" s="4" t="s">
        <v>102</v>
      </c>
      <c r="K210" s="4" t="s">
        <v>967</v>
      </c>
      <c r="L210" s="4" t="str">
        <f t="shared" si="3"/>
        <v>Different owner &amp; contact</v>
      </c>
    </row>
    <row r="211" spans="1:12" ht="15" customHeight="1" x14ac:dyDescent="0.3">
      <c r="A211" s="4" t="s">
        <v>968</v>
      </c>
      <c r="B211" s="4" t="s">
        <v>969</v>
      </c>
      <c r="C211" s="4" t="s">
        <v>970</v>
      </c>
      <c r="D211" s="4" t="s">
        <v>971</v>
      </c>
      <c r="E211" s="4" t="s">
        <v>172</v>
      </c>
      <c r="F211" s="4" t="s">
        <v>972</v>
      </c>
      <c r="G211" s="4" t="s">
        <v>138</v>
      </c>
      <c r="H211" s="4" t="s">
        <v>174</v>
      </c>
      <c r="I211" s="4" t="s">
        <v>175</v>
      </c>
      <c r="J211" s="4" t="s">
        <v>176</v>
      </c>
      <c r="K211" s="4" t="s">
        <v>970</v>
      </c>
      <c r="L211" s="4" t="str">
        <f t="shared" si="3"/>
        <v>Different owner</v>
      </c>
    </row>
    <row r="212" spans="1:12" ht="15" customHeight="1" x14ac:dyDescent="0.3">
      <c r="A212" s="4" t="s">
        <v>973</v>
      </c>
      <c r="B212" s="4" t="s">
        <v>974</v>
      </c>
      <c r="C212" s="4"/>
      <c r="D212" s="4" t="s">
        <v>975</v>
      </c>
      <c r="E212" s="4" t="s">
        <v>385</v>
      </c>
      <c r="F212" s="4" t="s">
        <v>976</v>
      </c>
      <c r="G212" s="4" t="s">
        <v>138</v>
      </c>
      <c r="H212" s="4" t="s">
        <v>41</v>
      </c>
      <c r="I212" s="4" t="s">
        <v>101</v>
      </c>
      <c r="J212" s="4" t="s">
        <v>32</v>
      </c>
      <c r="K212" s="4" t="s">
        <v>977</v>
      </c>
      <c r="L212" s="4" t="str">
        <f t="shared" si="3"/>
        <v>Different owner &amp; contact</v>
      </c>
    </row>
    <row r="213" spans="1:12" ht="15" customHeight="1" x14ac:dyDescent="0.3">
      <c r="A213" s="4" t="s">
        <v>978</v>
      </c>
      <c r="B213" s="4" t="s">
        <v>974</v>
      </c>
      <c r="C213" s="4" t="s">
        <v>979</v>
      </c>
      <c r="D213" s="4"/>
      <c r="E213" s="4" t="s">
        <v>52</v>
      </c>
      <c r="F213" s="4" t="s">
        <v>976</v>
      </c>
      <c r="G213" s="4" t="s">
        <v>138</v>
      </c>
      <c r="H213" s="4" t="s">
        <v>41</v>
      </c>
      <c r="I213" s="4" t="s">
        <v>101</v>
      </c>
      <c r="J213" s="4" t="s">
        <v>32</v>
      </c>
      <c r="K213" s="4" t="s">
        <v>977</v>
      </c>
      <c r="L213" s="4" t="str">
        <f t="shared" si="3"/>
        <v>Different owner &amp; contact</v>
      </c>
    </row>
    <row r="214" spans="1:12" ht="15" customHeight="1" x14ac:dyDescent="0.3">
      <c r="A214" s="4" t="s">
        <v>980</v>
      </c>
      <c r="B214" s="4" t="s">
        <v>981</v>
      </c>
      <c r="C214" s="4" t="s">
        <v>982</v>
      </c>
      <c r="D214" s="4" t="s">
        <v>983</v>
      </c>
      <c r="E214" s="4" t="s">
        <v>66</v>
      </c>
      <c r="F214" s="4" t="s">
        <v>984</v>
      </c>
      <c r="G214" s="4" t="s">
        <v>100</v>
      </c>
      <c r="H214" s="4" t="s">
        <v>68</v>
      </c>
      <c r="I214" s="4" t="s">
        <v>93</v>
      </c>
      <c r="J214" s="4" t="s">
        <v>66</v>
      </c>
      <c r="K214" s="4" t="s">
        <v>985</v>
      </c>
      <c r="L214" s="4" t="str">
        <f t="shared" si="3"/>
        <v>Different contact</v>
      </c>
    </row>
    <row r="215" spans="1:12" ht="15" customHeight="1" x14ac:dyDescent="0.3">
      <c r="A215" s="4" t="s">
        <v>986</v>
      </c>
      <c r="B215" s="4" t="s">
        <v>987</v>
      </c>
      <c r="C215" s="4" t="s">
        <v>988</v>
      </c>
      <c r="D215" s="4"/>
      <c r="E215" s="4" t="s">
        <v>52</v>
      </c>
      <c r="F215" s="4" t="s">
        <v>989</v>
      </c>
      <c r="G215" s="4" t="s">
        <v>138</v>
      </c>
      <c r="H215" s="4" t="s">
        <v>41</v>
      </c>
      <c r="I215" s="4" t="s">
        <v>131</v>
      </c>
      <c r="J215" s="4" t="s">
        <v>32</v>
      </c>
      <c r="K215" s="4" t="s">
        <v>988</v>
      </c>
      <c r="L215" s="4" t="str">
        <f t="shared" si="3"/>
        <v>Different owner</v>
      </c>
    </row>
    <row r="216" spans="1:12" ht="15" customHeight="1" x14ac:dyDescent="0.3">
      <c r="A216" s="4" t="s">
        <v>990</v>
      </c>
      <c r="B216" s="4" t="s">
        <v>991</v>
      </c>
      <c r="C216" s="4" t="s">
        <v>992</v>
      </c>
      <c r="D216" s="4" t="s">
        <v>993</v>
      </c>
      <c r="E216" s="4" t="s">
        <v>47</v>
      </c>
      <c r="F216" s="4" t="s">
        <v>994</v>
      </c>
      <c r="G216" s="4" t="s">
        <v>138</v>
      </c>
      <c r="H216" s="4" t="s">
        <v>68</v>
      </c>
      <c r="I216" s="4" t="s">
        <v>995</v>
      </c>
      <c r="J216" s="4" t="s">
        <v>102</v>
      </c>
      <c r="K216" s="4" t="s">
        <v>996</v>
      </c>
      <c r="L216" s="4" t="str">
        <f t="shared" si="3"/>
        <v>Different owner &amp; contact</v>
      </c>
    </row>
    <row r="217" spans="1:12" ht="15" customHeight="1" x14ac:dyDescent="0.3">
      <c r="A217" s="4" t="s">
        <v>997</v>
      </c>
      <c r="B217" s="4" t="s">
        <v>998</v>
      </c>
      <c r="C217" s="4" t="s">
        <v>999</v>
      </c>
      <c r="D217" s="4" t="s">
        <v>1000</v>
      </c>
      <c r="E217" s="4" t="s">
        <v>66</v>
      </c>
      <c r="F217" s="4" t="s">
        <v>1001</v>
      </c>
      <c r="G217" s="4" t="s">
        <v>84</v>
      </c>
      <c r="H217" s="4" t="s">
        <v>68</v>
      </c>
      <c r="I217" s="4" t="s">
        <v>299</v>
      </c>
      <c r="J217" s="4" t="s">
        <v>66</v>
      </c>
      <c r="K217" s="4" t="s">
        <v>1002</v>
      </c>
      <c r="L217" s="4" t="str">
        <f t="shared" si="3"/>
        <v>Different contact</v>
      </c>
    </row>
    <row r="218" spans="1:12" ht="15" customHeight="1" x14ac:dyDescent="0.3">
      <c r="A218" s="4" t="s">
        <v>1003</v>
      </c>
      <c r="B218" s="4" t="s">
        <v>998</v>
      </c>
      <c r="C218" s="4" t="s">
        <v>1004</v>
      </c>
      <c r="D218" s="4"/>
      <c r="E218" s="4" t="s">
        <v>66</v>
      </c>
      <c r="F218" s="4" t="s">
        <v>1001</v>
      </c>
      <c r="G218" s="4" t="s">
        <v>84</v>
      </c>
      <c r="H218" s="4" t="s">
        <v>68</v>
      </c>
      <c r="I218" s="4" t="s">
        <v>299</v>
      </c>
      <c r="J218" s="4" t="s">
        <v>66</v>
      </c>
      <c r="K218" s="4" t="s">
        <v>1002</v>
      </c>
      <c r="L218" s="4" t="str">
        <f t="shared" si="3"/>
        <v>Different contact</v>
      </c>
    </row>
    <row r="219" spans="1:12" ht="15" customHeight="1" x14ac:dyDescent="0.3">
      <c r="A219" s="4" t="s">
        <v>1005</v>
      </c>
      <c r="B219" s="4" t="s">
        <v>998</v>
      </c>
      <c r="C219" s="4" t="s">
        <v>1006</v>
      </c>
      <c r="D219" s="4" t="s">
        <v>1007</v>
      </c>
      <c r="E219" s="4" t="s">
        <v>66</v>
      </c>
      <c r="F219" s="4" t="s">
        <v>1001</v>
      </c>
      <c r="G219" s="4" t="s">
        <v>84</v>
      </c>
      <c r="H219" s="4" t="s">
        <v>68</v>
      </c>
      <c r="I219" s="4" t="s">
        <v>299</v>
      </c>
      <c r="J219" s="4" t="s">
        <v>66</v>
      </c>
      <c r="K219" s="4" t="s">
        <v>1002</v>
      </c>
      <c r="L219" s="4" t="str">
        <f t="shared" si="3"/>
        <v>Different contact</v>
      </c>
    </row>
    <row r="220" spans="1:12" ht="15" customHeight="1" x14ac:dyDescent="0.3">
      <c r="A220" s="4" t="s">
        <v>1008</v>
      </c>
      <c r="B220" s="4" t="s">
        <v>1009</v>
      </c>
      <c r="C220" s="4" t="s">
        <v>1010</v>
      </c>
      <c r="D220" s="4"/>
      <c r="E220" s="4" t="s">
        <v>91</v>
      </c>
      <c r="F220" s="4" t="s">
        <v>1011</v>
      </c>
      <c r="G220" s="4" t="s">
        <v>84</v>
      </c>
      <c r="H220" s="4" t="s">
        <v>68</v>
      </c>
      <c r="I220" s="4" t="s">
        <v>311</v>
      </c>
      <c r="J220" s="4" t="s">
        <v>94</v>
      </c>
      <c r="K220" s="4" t="s">
        <v>1012</v>
      </c>
      <c r="L220" s="4" t="str">
        <f t="shared" si="3"/>
        <v>Different owner &amp; contact</v>
      </c>
    </row>
    <row r="221" spans="1:12" ht="15" customHeight="1" x14ac:dyDescent="0.3">
      <c r="A221" s="4" t="s">
        <v>1013</v>
      </c>
      <c r="B221" s="4" t="s">
        <v>1014</v>
      </c>
      <c r="C221" s="4" t="s">
        <v>1015</v>
      </c>
      <c r="D221" s="4"/>
      <c r="E221" s="4" t="s">
        <v>52</v>
      </c>
      <c r="F221" s="4" t="s">
        <v>1016</v>
      </c>
      <c r="G221" s="4" t="s">
        <v>29</v>
      </c>
      <c r="H221" s="4" t="s">
        <v>68</v>
      </c>
      <c r="I221" s="4" t="s">
        <v>280</v>
      </c>
      <c r="J221" s="4" t="s">
        <v>32</v>
      </c>
      <c r="K221" s="4" t="s">
        <v>1017</v>
      </c>
      <c r="L221" s="4" t="str">
        <f t="shared" si="3"/>
        <v>Different owner &amp; contact</v>
      </c>
    </row>
    <row r="222" spans="1:12" ht="15" customHeight="1" x14ac:dyDescent="0.3">
      <c r="A222" s="4" t="s">
        <v>1018</v>
      </c>
      <c r="B222" s="4" t="s">
        <v>1019</v>
      </c>
      <c r="C222" s="4" t="s">
        <v>1020</v>
      </c>
      <c r="D222" s="4"/>
      <c r="E222" s="4" t="s">
        <v>56</v>
      </c>
      <c r="F222" s="4" t="s">
        <v>1021</v>
      </c>
      <c r="G222" s="4" t="s">
        <v>49</v>
      </c>
      <c r="H222" s="4" t="s">
        <v>30</v>
      </c>
      <c r="I222" s="4" t="s">
        <v>125</v>
      </c>
      <c r="J222" s="4" t="s">
        <v>102</v>
      </c>
      <c r="K222" s="4" t="s">
        <v>1020</v>
      </c>
      <c r="L222" s="4" t="str">
        <f t="shared" si="3"/>
        <v>Different owner</v>
      </c>
    </row>
    <row r="223" spans="1:12" ht="15" customHeight="1" x14ac:dyDescent="0.3">
      <c r="A223" s="4" t="s">
        <v>1022</v>
      </c>
      <c r="B223" s="4" t="s">
        <v>1023</v>
      </c>
      <c r="C223" s="4" t="s">
        <v>1024</v>
      </c>
      <c r="D223" s="4" t="s">
        <v>1025</v>
      </c>
      <c r="E223" s="4" t="s">
        <v>91</v>
      </c>
      <c r="F223" s="4" t="s">
        <v>1026</v>
      </c>
      <c r="G223" s="4" t="s">
        <v>49</v>
      </c>
      <c r="H223" s="4" t="s">
        <v>41</v>
      </c>
      <c r="I223" s="4" t="s">
        <v>149</v>
      </c>
      <c r="J223" s="4" t="s">
        <v>32</v>
      </c>
      <c r="K223" s="4" t="s">
        <v>1027</v>
      </c>
      <c r="L223" s="4" t="str">
        <f t="shared" si="3"/>
        <v>Different owner &amp; contact</v>
      </c>
    </row>
    <row r="224" spans="1:12" ht="15" customHeight="1" x14ac:dyDescent="0.3">
      <c r="A224" s="4" t="s">
        <v>1028</v>
      </c>
      <c r="B224" s="4" t="s">
        <v>1029</v>
      </c>
      <c r="C224" s="4"/>
      <c r="D224" s="4" t="s">
        <v>1030</v>
      </c>
      <c r="E224" s="4" t="s">
        <v>1031</v>
      </c>
      <c r="F224" s="4" t="s">
        <v>1032</v>
      </c>
      <c r="G224" s="4" t="s">
        <v>29</v>
      </c>
      <c r="H224" s="4" t="s">
        <v>68</v>
      </c>
      <c r="I224" s="4" t="s">
        <v>1033</v>
      </c>
      <c r="J224" s="4" t="s">
        <v>34</v>
      </c>
      <c r="K224" s="4" t="s">
        <v>1034</v>
      </c>
      <c r="L224" s="4" t="str">
        <f t="shared" si="3"/>
        <v>Different owner &amp; contact</v>
      </c>
    </row>
    <row r="225" spans="1:12" ht="15" customHeight="1" x14ac:dyDescent="0.3">
      <c r="A225" s="4" t="s">
        <v>1035</v>
      </c>
      <c r="B225" s="4" t="s">
        <v>1036</v>
      </c>
      <c r="C225" s="4" t="s">
        <v>1037</v>
      </c>
      <c r="D225" s="4" t="s">
        <v>1038</v>
      </c>
      <c r="E225" s="4" t="s">
        <v>106</v>
      </c>
      <c r="F225" s="4" t="s">
        <v>1039</v>
      </c>
      <c r="G225" s="4" t="s">
        <v>130</v>
      </c>
      <c r="H225" s="4" t="s">
        <v>41</v>
      </c>
      <c r="I225" s="4" t="s">
        <v>638</v>
      </c>
      <c r="J225" s="4" t="s">
        <v>106</v>
      </c>
      <c r="K225" s="4" t="s">
        <v>1040</v>
      </c>
      <c r="L225" s="4" t="str">
        <f t="shared" si="3"/>
        <v>Different contact</v>
      </c>
    </row>
    <row r="226" spans="1:12" ht="15" customHeight="1" x14ac:dyDescent="0.3">
      <c r="A226" s="4" t="s">
        <v>1041</v>
      </c>
      <c r="B226" s="4" t="s">
        <v>1042</v>
      </c>
      <c r="C226" s="4" t="s">
        <v>1043</v>
      </c>
      <c r="D226" s="4"/>
      <c r="E226" s="4" t="s">
        <v>56</v>
      </c>
      <c r="F226" s="4" t="s">
        <v>1044</v>
      </c>
      <c r="G226" s="4" t="s">
        <v>361</v>
      </c>
      <c r="H226" s="4" t="s">
        <v>68</v>
      </c>
      <c r="I226" s="4" t="s">
        <v>93</v>
      </c>
      <c r="J226" s="4" t="s">
        <v>34</v>
      </c>
      <c r="K226" s="4" t="s">
        <v>1045</v>
      </c>
      <c r="L226" s="4" t="str">
        <f t="shared" si="3"/>
        <v>Different owner &amp; contact</v>
      </c>
    </row>
    <row r="227" spans="1:12" ht="15" customHeight="1" x14ac:dyDescent="0.3">
      <c r="A227" s="4" t="s">
        <v>1041</v>
      </c>
      <c r="B227" s="4" t="s">
        <v>1042</v>
      </c>
      <c r="C227" s="4" t="s">
        <v>1046</v>
      </c>
      <c r="D227" s="4"/>
      <c r="E227" s="4" t="s">
        <v>343</v>
      </c>
      <c r="F227" s="4" t="s">
        <v>1044</v>
      </c>
      <c r="G227" s="4" t="s">
        <v>361</v>
      </c>
      <c r="H227" s="4" t="s">
        <v>68</v>
      </c>
      <c r="I227" s="4" t="s">
        <v>93</v>
      </c>
      <c r="J227" s="4" t="s">
        <v>34</v>
      </c>
      <c r="K227" s="4" t="s">
        <v>1045</v>
      </c>
      <c r="L227" s="4" t="str">
        <f t="shared" si="3"/>
        <v>Different owner &amp; contact</v>
      </c>
    </row>
    <row r="228" spans="1:12" ht="15" customHeight="1" x14ac:dyDescent="0.3">
      <c r="A228" s="4" t="s">
        <v>1047</v>
      </c>
      <c r="B228" s="4" t="s">
        <v>1042</v>
      </c>
      <c r="C228" s="4"/>
      <c r="D228" s="4" t="s">
        <v>1048</v>
      </c>
      <c r="E228" s="4" t="s">
        <v>34</v>
      </c>
      <c r="F228" s="4" t="s">
        <v>1044</v>
      </c>
      <c r="G228" s="4" t="s">
        <v>361</v>
      </c>
      <c r="H228" s="4" t="s">
        <v>68</v>
      </c>
      <c r="I228" s="4" t="s">
        <v>93</v>
      </c>
      <c r="J228" s="4" t="s">
        <v>34</v>
      </c>
      <c r="K228" s="4" t="s">
        <v>1045</v>
      </c>
      <c r="L228" s="4" t="str">
        <f t="shared" si="3"/>
        <v>Different contact</v>
      </c>
    </row>
    <row r="229" spans="1:12" ht="15" customHeight="1" x14ac:dyDescent="0.3">
      <c r="A229" s="4" t="s">
        <v>1049</v>
      </c>
      <c r="B229" s="4" t="s">
        <v>1042</v>
      </c>
      <c r="C229" s="4" t="s">
        <v>1045</v>
      </c>
      <c r="D229" s="4"/>
      <c r="E229" s="4" t="s">
        <v>56</v>
      </c>
      <c r="F229" s="4" t="s">
        <v>1044</v>
      </c>
      <c r="G229" s="4" t="s">
        <v>361</v>
      </c>
      <c r="H229" s="4" t="s">
        <v>68</v>
      </c>
      <c r="I229" s="4" t="s">
        <v>93</v>
      </c>
      <c r="J229" s="4" t="s">
        <v>34</v>
      </c>
      <c r="K229" s="4" t="s">
        <v>1045</v>
      </c>
      <c r="L229" s="4" t="str">
        <f t="shared" si="3"/>
        <v>Different owner</v>
      </c>
    </row>
    <row r="230" spans="1:12" ht="15" customHeight="1" x14ac:dyDescent="0.3">
      <c r="A230" s="4" t="s">
        <v>1050</v>
      </c>
      <c r="B230" s="4" t="s">
        <v>1051</v>
      </c>
      <c r="C230" s="4" t="s">
        <v>1052</v>
      </c>
      <c r="D230" s="4" t="s">
        <v>1053</v>
      </c>
      <c r="E230" s="4" t="s">
        <v>91</v>
      </c>
      <c r="F230" s="4" t="s">
        <v>1054</v>
      </c>
      <c r="G230" s="4" t="s">
        <v>29</v>
      </c>
      <c r="H230" s="4" t="s">
        <v>41</v>
      </c>
      <c r="I230" s="4" t="s">
        <v>31</v>
      </c>
      <c r="J230" s="4" t="s">
        <v>32</v>
      </c>
      <c r="K230" s="4" t="s">
        <v>1052</v>
      </c>
      <c r="L230" s="4" t="str">
        <f t="shared" si="3"/>
        <v>Different owner</v>
      </c>
    </row>
    <row r="231" spans="1:12" ht="15" customHeight="1" x14ac:dyDescent="0.3">
      <c r="A231" s="4" t="s">
        <v>1055</v>
      </c>
      <c r="B231" s="4" t="s">
        <v>1056</v>
      </c>
      <c r="C231" s="4" t="s">
        <v>1057</v>
      </c>
      <c r="D231" s="4"/>
      <c r="E231" s="4" t="s">
        <v>91</v>
      </c>
      <c r="F231" s="4" t="s">
        <v>1058</v>
      </c>
      <c r="G231" s="4" t="s">
        <v>138</v>
      </c>
      <c r="H231" s="4" t="s">
        <v>68</v>
      </c>
      <c r="I231" s="4" t="s">
        <v>538</v>
      </c>
      <c r="J231" s="4" t="s">
        <v>32</v>
      </c>
      <c r="K231" s="4" t="s">
        <v>1059</v>
      </c>
      <c r="L231" s="4" t="str">
        <f t="shared" si="3"/>
        <v>Different owner &amp; contact</v>
      </c>
    </row>
    <row r="232" spans="1:12" ht="15" customHeight="1" x14ac:dyDescent="0.3">
      <c r="A232" s="4" t="s">
        <v>1060</v>
      </c>
      <c r="B232" s="4" t="s">
        <v>1061</v>
      </c>
      <c r="C232" s="4" t="s">
        <v>1062</v>
      </c>
      <c r="D232" s="4" t="s">
        <v>1063</v>
      </c>
      <c r="E232" s="4" t="s">
        <v>66</v>
      </c>
      <c r="F232" s="4" t="s">
        <v>1064</v>
      </c>
      <c r="G232" s="4" t="s">
        <v>100</v>
      </c>
      <c r="H232" s="4" t="s">
        <v>41</v>
      </c>
      <c r="I232" s="4" t="s">
        <v>42</v>
      </c>
      <c r="J232" s="4" t="s">
        <v>66</v>
      </c>
      <c r="K232" s="4" t="s">
        <v>1065</v>
      </c>
      <c r="L232" s="4" t="str">
        <f t="shared" si="3"/>
        <v>Different contact</v>
      </c>
    </row>
    <row r="233" spans="1:12" ht="15" customHeight="1" x14ac:dyDescent="0.3">
      <c r="A233" s="4" t="s">
        <v>1066</v>
      </c>
      <c r="B233" s="4" t="s">
        <v>1067</v>
      </c>
      <c r="C233" s="4" t="s">
        <v>1068</v>
      </c>
      <c r="D233" s="4"/>
      <c r="E233" s="4" t="s">
        <v>52</v>
      </c>
      <c r="F233" s="4" t="s">
        <v>1069</v>
      </c>
      <c r="G233" s="4" t="s">
        <v>138</v>
      </c>
      <c r="H233" s="4" t="s">
        <v>68</v>
      </c>
      <c r="I233" s="4" t="s">
        <v>93</v>
      </c>
      <c r="J233" s="4" t="s">
        <v>52</v>
      </c>
      <c r="K233" s="4" t="s">
        <v>1070</v>
      </c>
      <c r="L233" s="4" t="str">
        <f t="shared" si="3"/>
        <v>Different contact</v>
      </c>
    </row>
    <row r="234" spans="1:12" ht="15" customHeight="1" x14ac:dyDescent="0.3">
      <c r="A234" s="4" t="s">
        <v>1071</v>
      </c>
      <c r="B234" s="4" t="s">
        <v>1067</v>
      </c>
      <c r="C234" s="4" t="s">
        <v>1072</v>
      </c>
      <c r="D234" s="4"/>
      <c r="E234" s="4" t="s">
        <v>52</v>
      </c>
      <c r="F234" s="4" t="s">
        <v>1069</v>
      </c>
      <c r="G234" s="4" t="s">
        <v>138</v>
      </c>
      <c r="H234" s="4" t="s">
        <v>68</v>
      </c>
      <c r="I234" s="4" t="s">
        <v>93</v>
      </c>
      <c r="J234" s="4" t="s">
        <v>52</v>
      </c>
      <c r="K234" s="4" t="s">
        <v>1070</v>
      </c>
      <c r="L234" s="4" t="str">
        <f t="shared" si="3"/>
        <v>Different contact</v>
      </c>
    </row>
    <row r="235" spans="1:12" ht="15" customHeight="1" x14ac:dyDescent="0.3">
      <c r="A235" s="4" t="s">
        <v>1073</v>
      </c>
      <c r="B235" s="4" t="s">
        <v>1074</v>
      </c>
      <c r="C235" s="4" t="s">
        <v>1075</v>
      </c>
      <c r="D235" s="4" t="s">
        <v>1076</v>
      </c>
      <c r="E235" s="4" t="s">
        <v>91</v>
      </c>
      <c r="F235" s="4" t="s">
        <v>1077</v>
      </c>
      <c r="G235" s="4" t="s">
        <v>29</v>
      </c>
      <c r="H235" s="4" t="s">
        <v>41</v>
      </c>
      <c r="I235" s="4" t="s">
        <v>823</v>
      </c>
      <c r="J235" s="4" t="s">
        <v>102</v>
      </c>
      <c r="K235" s="4" t="s">
        <v>1078</v>
      </c>
      <c r="L235" s="4" t="str">
        <f t="shared" si="3"/>
        <v>Different owner &amp; contact</v>
      </c>
    </row>
    <row r="236" spans="1:12" ht="15" customHeight="1" x14ac:dyDescent="0.3">
      <c r="A236" s="4" t="s">
        <v>1079</v>
      </c>
      <c r="B236" s="4" t="s">
        <v>1080</v>
      </c>
      <c r="C236" s="4" t="s">
        <v>1081</v>
      </c>
      <c r="D236" s="4"/>
      <c r="E236" s="4" t="s">
        <v>52</v>
      </c>
      <c r="F236" s="4" t="s">
        <v>1082</v>
      </c>
      <c r="G236" s="4" t="s">
        <v>138</v>
      </c>
      <c r="H236" s="4" t="s">
        <v>68</v>
      </c>
      <c r="I236" s="4" t="s">
        <v>1083</v>
      </c>
      <c r="J236" s="4" t="s">
        <v>52</v>
      </c>
      <c r="K236" s="4" t="s">
        <v>1081</v>
      </c>
      <c r="L236" s="4" t="str">
        <f t="shared" si="3"/>
        <v>Match</v>
      </c>
    </row>
    <row r="237" spans="1:12" ht="15" customHeight="1" x14ac:dyDescent="0.3">
      <c r="A237" s="4" t="s">
        <v>1084</v>
      </c>
      <c r="B237" s="4" t="s">
        <v>1085</v>
      </c>
      <c r="C237" s="4" t="s">
        <v>1086</v>
      </c>
      <c r="D237" s="4" t="s">
        <v>1087</v>
      </c>
      <c r="E237" s="4" t="s">
        <v>91</v>
      </c>
      <c r="F237" s="4" t="s">
        <v>1088</v>
      </c>
      <c r="G237" s="4" t="s">
        <v>49</v>
      </c>
      <c r="H237" s="4" t="s">
        <v>68</v>
      </c>
      <c r="I237" s="4" t="s">
        <v>1089</v>
      </c>
      <c r="J237" s="4" t="s">
        <v>94</v>
      </c>
      <c r="K237" s="4" t="s">
        <v>1086</v>
      </c>
      <c r="L237" s="4" t="str">
        <f t="shared" si="3"/>
        <v>Different owner</v>
      </c>
    </row>
    <row r="238" spans="1:12" ht="15" customHeight="1" x14ac:dyDescent="0.3">
      <c r="A238" s="4" t="s">
        <v>1090</v>
      </c>
      <c r="B238" s="4" t="s">
        <v>1091</v>
      </c>
      <c r="C238" s="4" t="s">
        <v>1092</v>
      </c>
      <c r="D238" s="4" t="s">
        <v>1093</v>
      </c>
      <c r="E238" s="4" t="s">
        <v>91</v>
      </c>
      <c r="F238" s="4" t="s">
        <v>1094</v>
      </c>
      <c r="G238" s="4" t="s">
        <v>40</v>
      </c>
      <c r="H238" s="4" t="s">
        <v>41</v>
      </c>
      <c r="I238" s="4" t="s">
        <v>101</v>
      </c>
      <c r="J238" s="4" t="s">
        <v>94</v>
      </c>
      <c r="K238" s="4" t="s">
        <v>1095</v>
      </c>
      <c r="L238" s="4" t="str">
        <f t="shared" si="3"/>
        <v>Different owner &amp; contact</v>
      </c>
    </row>
    <row r="239" spans="1:12" ht="15" customHeight="1" x14ac:dyDescent="0.3">
      <c r="A239" s="4" t="s">
        <v>1096</v>
      </c>
      <c r="B239" s="4" t="s">
        <v>1091</v>
      </c>
      <c r="C239" s="4" t="s">
        <v>1095</v>
      </c>
      <c r="D239" s="4"/>
      <c r="E239" s="4" t="s">
        <v>91</v>
      </c>
      <c r="F239" s="4" t="s">
        <v>1094</v>
      </c>
      <c r="G239" s="4" t="s">
        <v>40</v>
      </c>
      <c r="H239" s="4" t="s">
        <v>41</v>
      </c>
      <c r="I239" s="4" t="s">
        <v>101</v>
      </c>
      <c r="J239" s="4" t="s">
        <v>94</v>
      </c>
      <c r="K239" s="4" t="s">
        <v>1095</v>
      </c>
      <c r="L239" s="4" t="str">
        <f t="shared" si="3"/>
        <v>Different owner</v>
      </c>
    </row>
    <row r="240" spans="1:12" ht="15" customHeight="1" x14ac:dyDescent="0.3">
      <c r="A240" s="4" t="s">
        <v>1097</v>
      </c>
      <c r="B240" s="4" t="s">
        <v>1098</v>
      </c>
      <c r="C240" s="4" t="s">
        <v>1099</v>
      </c>
      <c r="D240" s="4"/>
      <c r="E240" s="4" t="s">
        <v>56</v>
      </c>
      <c r="F240" s="4" t="s">
        <v>1100</v>
      </c>
      <c r="G240" s="4" t="s">
        <v>138</v>
      </c>
      <c r="H240" s="4" t="s">
        <v>174</v>
      </c>
      <c r="I240" s="4" t="s">
        <v>1101</v>
      </c>
      <c r="J240" s="4" t="s">
        <v>102</v>
      </c>
      <c r="K240" s="4" t="s">
        <v>1099</v>
      </c>
      <c r="L240" s="4" t="str">
        <f t="shared" si="3"/>
        <v>Different owner</v>
      </c>
    </row>
    <row r="241" spans="1:12" ht="15" customHeight="1" x14ac:dyDescent="0.3">
      <c r="A241" s="4" t="s">
        <v>1102</v>
      </c>
      <c r="B241" s="4" t="s">
        <v>1103</v>
      </c>
      <c r="C241" s="4" t="s">
        <v>1104</v>
      </c>
      <c r="D241" s="4"/>
      <c r="E241" s="4" t="s">
        <v>343</v>
      </c>
      <c r="F241" s="4" t="s">
        <v>1105</v>
      </c>
      <c r="G241" s="4" t="s">
        <v>58</v>
      </c>
      <c r="H241" s="4" t="s">
        <v>1106</v>
      </c>
      <c r="I241" s="4" t="s">
        <v>1107</v>
      </c>
      <c r="J241" s="4" t="s">
        <v>114</v>
      </c>
      <c r="K241" s="4" t="s">
        <v>1108</v>
      </c>
      <c r="L241" s="4" t="str">
        <f t="shared" si="3"/>
        <v>Different owner &amp; contact</v>
      </c>
    </row>
    <row r="242" spans="1:12" ht="15" customHeight="1" x14ac:dyDescent="0.3">
      <c r="A242" s="4" t="s">
        <v>1109</v>
      </c>
      <c r="B242" s="4" t="s">
        <v>1110</v>
      </c>
      <c r="C242" s="4"/>
      <c r="D242" s="4" t="s">
        <v>1111</v>
      </c>
      <c r="E242" s="4" t="s">
        <v>385</v>
      </c>
      <c r="F242" s="4" t="s">
        <v>1112</v>
      </c>
      <c r="G242" s="4" t="s">
        <v>58</v>
      </c>
      <c r="H242" s="4" t="s">
        <v>41</v>
      </c>
      <c r="I242" s="4" t="s">
        <v>85</v>
      </c>
      <c r="J242" s="4" t="s">
        <v>66</v>
      </c>
      <c r="K242" s="4" t="s">
        <v>1113</v>
      </c>
      <c r="L242" s="4" t="str">
        <f t="shared" si="3"/>
        <v>Different owner &amp; contact</v>
      </c>
    </row>
    <row r="243" spans="1:12" ht="15" customHeight="1" x14ac:dyDescent="0.3">
      <c r="A243" s="4" t="s">
        <v>1114</v>
      </c>
      <c r="B243" s="4" t="s">
        <v>1110</v>
      </c>
      <c r="C243" s="4" t="s">
        <v>1115</v>
      </c>
      <c r="D243" s="4" t="s">
        <v>1116</v>
      </c>
      <c r="E243" s="4" t="s">
        <v>66</v>
      </c>
      <c r="F243" s="4" t="s">
        <v>1112</v>
      </c>
      <c r="G243" s="4" t="s">
        <v>58</v>
      </c>
      <c r="H243" s="4" t="s">
        <v>41</v>
      </c>
      <c r="I243" s="4" t="s">
        <v>85</v>
      </c>
      <c r="J243" s="4" t="s">
        <v>66</v>
      </c>
      <c r="K243" s="4" t="s">
        <v>1113</v>
      </c>
      <c r="L243" s="4" t="str">
        <f t="shared" si="3"/>
        <v>Different contact</v>
      </c>
    </row>
    <row r="244" spans="1:12" ht="15" customHeight="1" x14ac:dyDescent="0.3">
      <c r="A244" s="4" t="s">
        <v>1117</v>
      </c>
      <c r="B244" s="4" t="s">
        <v>1110</v>
      </c>
      <c r="C244" s="4" t="s">
        <v>1118</v>
      </c>
      <c r="D244" s="4"/>
      <c r="E244" s="4" t="s">
        <v>66</v>
      </c>
      <c r="F244" s="4" t="s">
        <v>1112</v>
      </c>
      <c r="G244" s="4" t="s">
        <v>58</v>
      </c>
      <c r="H244" s="4" t="s">
        <v>41</v>
      </c>
      <c r="I244" s="4" t="s">
        <v>85</v>
      </c>
      <c r="J244" s="4" t="s">
        <v>66</v>
      </c>
      <c r="K244" s="4" t="s">
        <v>1113</v>
      </c>
      <c r="L244" s="4" t="str">
        <f t="shared" si="3"/>
        <v>Different contact</v>
      </c>
    </row>
    <row r="245" spans="1:12" ht="15" customHeight="1" x14ac:dyDescent="0.3">
      <c r="A245" s="4" t="s">
        <v>1119</v>
      </c>
      <c r="B245" s="4" t="s">
        <v>1120</v>
      </c>
      <c r="C245" s="4" t="s">
        <v>1121</v>
      </c>
      <c r="D245" s="4" t="s">
        <v>1122</v>
      </c>
      <c r="E245" s="4" t="s">
        <v>91</v>
      </c>
      <c r="F245" s="4" t="s">
        <v>1123</v>
      </c>
      <c r="G245" s="4" t="s">
        <v>209</v>
      </c>
      <c r="H245" s="4" t="s">
        <v>41</v>
      </c>
      <c r="I245" s="4" t="s">
        <v>101</v>
      </c>
      <c r="J245" s="4" t="s">
        <v>102</v>
      </c>
      <c r="K245" s="4" t="s">
        <v>1124</v>
      </c>
      <c r="L245" s="4" t="str">
        <f t="shared" si="3"/>
        <v>Different owner &amp; contact</v>
      </c>
    </row>
    <row r="246" spans="1:12" ht="15" customHeight="1" x14ac:dyDescent="0.3">
      <c r="A246" s="4" t="s">
        <v>1125</v>
      </c>
      <c r="B246" s="4" t="s">
        <v>1126</v>
      </c>
      <c r="C246" s="4" t="s">
        <v>1127</v>
      </c>
      <c r="D246" s="4"/>
      <c r="E246" s="4" t="s">
        <v>91</v>
      </c>
      <c r="F246" s="4" t="s">
        <v>1128</v>
      </c>
      <c r="G246" s="4" t="s">
        <v>293</v>
      </c>
      <c r="H246" s="4" t="s">
        <v>41</v>
      </c>
      <c r="I246" s="4" t="s">
        <v>823</v>
      </c>
      <c r="J246" s="4" t="s">
        <v>102</v>
      </c>
      <c r="K246" s="4" t="s">
        <v>1127</v>
      </c>
      <c r="L246" s="4" t="str">
        <f t="shared" si="3"/>
        <v>Different owner</v>
      </c>
    </row>
    <row r="247" spans="1:12" ht="15" customHeight="1" x14ac:dyDescent="0.3">
      <c r="A247" s="4" t="s">
        <v>1129</v>
      </c>
      <c r="B247" s="4" t="s">
        <v>1130</v>
      </c>
      <c r="C247" s="4" t="s">
        <v>1131</v>
      </c>
      <c r="D247" s="4" t="s">
        <v>1132</v>
      </c>
      <c r="E247" s="4" t="s">
        <v>27</v>
      </c>
      <c r="F247" s="4" t="s">
        <v>1133</v>
      </c>
      <c r="G247" s="4" t="s">
        <v>138</v>
      </c>
      <c r="H247" s="4" t="s">
        <v>41</v>
      </c>
      <c r="I247" s="4" t="s">
        <v>883</v>
      </c>
      <c r="J247" s="4" t="s">
        <v>394</v>
      </c>
      <c r="K247" s="4" t="s">
        <v>1134</v>
      </c>
      <c r="L247" s="4" t="str">
        <f t="shared" si="3"/>
        <v>Different owner &amp; contact</v>
      </c>
    </row>
    <row r="248" spans="1:12" ht="15" customHeight="1" x14ac:dyDescent="0.3">
      <c r="A248" s="4" t="s">
        <v>1135</v>
      </c>
      <c r="B248" s="4" t="s">
        <v>1136</v>
      </c>
      <c r="C248" s="4" t="s">
        <v>1137</v>
      </c>
      <c r="D248" s="4"/>
      <c r="E248" s="4" t="s">
        <v>52</v>
      </c>
      <c r="F248" s="4" t="s">
        <v>1138</v>
      </c>
      <c r="G248" s="4" t="s">
        <v>58</v>
      </c>
      <c r="H248" s="4" t="s">
        <v>50</v>
      </c>
      <c r="I248" s="4" t="s">
        <v>196</v>
      </c>
      <c r="J248" s="4" t="s">
        <v>114</v>
      </c>
      <c r="K248" s="4" t="s">
        <v>1139</v>
      </c>
      <c r="L248" s="4" t="str">
        <f t="shared" si="3"/>
        <v>Different owner &amp; contact</v>
      </c>
    </row>
    <row r="249" spans="1:12" ht="15" customHeight="1" x14ac:dyDescent="0.3">
      <c r="A249" s="4" t="s">
        <v>1140</v>
      </c>
      <c r="B249" s="4" t="s">
        <v>1136</v>
      </c>
      <c r="C249" s="4" t="s">
        <v>1141</v>
      </c>
      <c r="D249" s="4"/>
      <c r="E249" s="4" t="s">
        <v>343</v>
      </c>
      <c r="F249" s="4" t="s">
        <v>1138</v>
      </c>
      <c r="G249" s="4" t="s">
        <v>58</v>
      </c>
      <c r="H249" s="4" t="s">
        <v>50</v>
      </c>
      <c r="I249" s="4" t="s">
        <v>196</v>
      </c>
      <c r="J249" s="4" t="s">
        <v>114</v>
      </c>
      <c r="K249" s="4" t="s">
        <v>1139</v>
      </c>
      <c r="L249" s="4" t="str">
        <f t="shared" si="3"/>
        <v>Different owner &amp; contact</v>
      </c>
    </row>
    <row r="250" spans="1:12" ht="15" customHeight="1" x14ac:dyDescent="0.3">
      <c r="A250" s="4" t="s">
        <v>1142</v>
      </c>
      <c r="B250" s="4" t="s">
        <v>1143</v>
      </c>
      <c r="C250" s="4" t="s">
        <v>1144</v>
      </c>
      <c r="D250" s="4" t="s">
        <v>1145</v>
      </c>
      <c r="E250" s="4" t="s">
        <v>52</v>
      </c>
      <c r="F250" s="4" t="s">
        <v>1146</v>
      </c>
      <c r="G250" s="4" t="s">
        <v>58</v>
      </c>
      <c r="H250" s="4" t="s">
        <v>30</v>
      </c>
      <c r="I250" s="4" t="s">
        <v>125</v>
      </c>
      <c r="J250" s="4" t="s">
        <v>34</v>
      </c>
      <c r="K250" s="4" t="s">
        <v>1147</v>
      </c>
      <c r="L250" s="4" t="str">
        <f t="shared" si="3"/>
        <v>Different owner &amp; contact</v>
      </c>
    </row>
    <row r="251" spans="1:12" ht="15" customHeight="1" x14ac:dyDescent="0.3">
      <c r="A251" s="4" t="s">
        <v>1148</v>
      </c>
      <c r="B251" s="4" t="s">
        <v>1149</v>
      </c>
      <c r="C251" s="4" t="s">
        <v>1150</v>
      </c>
      <c r="D251" s="4" t="s">
        <v>1151</v>
      </c>
      <c r="E251" s="4" t="s">
        <v>27</v>
      </c>
      <c r="F251" s="4" t="s">
        <v>1152</v>
      </c>
      <c r="G251" s="4" t="s">
        <v>124</v>
      </c>
      <c r="H251" s="4" t="s">
        <v>30</v>
      </c>
      <c r="I251" s="4" t="s">
        <v>1107</v>
      </c>
      <c r="J251" s="4" t="s">
        <v>32</v>
      </c>
      <c r="K251" s="4" t="s">
        <v>1153</v>
      </c>
      <c r="L251" s="4" t="str">
        <f t="shared" si="3"/>
        <v>Different owner &amp; contact</v>
      </c>
    </row>
    <row r="252" spans="1:12" ht="15" customHeight="1" x14ac:dyDescent="0.3">
      <c r="A252" s="4" t="s">
        <v>1154</v>
      </c>
      <c r="B252" s="4" t="s">
        <v>1155</v>
      </c>
      <c r="C252" s="4" t="s">
        <v>1156</v>
      </c>
      <c r="D252" s="4" t="s">
        <v>1157</v>
      </c>
      <c r="E252" s="4" t="s">
        <v>27</v>
      </c>
      <c r="F252" s="4" t="s">
        <v>1158</v>
      </c>
      <c r="G252" s="4" t="s">
        <v>58</v>
      </c>
      <c r="H252" s="4" t="s">
        <v>41</v>
      </c>
      <c r="I252" s="4" t="s">
        <v>404</v>
      </c>
      <c r="J252" s="4" t="s">
        <v>394</v>
      </c>
      <c r="K252" s="4" t="s">
        <v>1159</v>
      </c>
      <c r="L252" s="4" t="str">
        <f t="shared" si="3"/>
        <v>Different owner &amp; contact</v>
      </c>
    </row>
    <row r="253" spans="1:12" ht="15" customHeight="1" x14ac:dyDescent="0.3">
      <c r="A253" s="4" t="s">
        <v>1160</v>
      </c>
      <c r="B253" s="4" t="s">
        <v>1155</v>
      </c>
      <c r="C253" s="4" t="s">
        <v>1159</v>
      </c>
      <c r="D253" s="4" t="s">
        <v>1161</v>
      </c>
      <c r="E253" s="4" t="s">
        <v>27</v>
      </c>
      <c r="F253" s="4" t="s">
        <v>1158</v>
      </c>
      <c r="G253" s="4" t="s">
        <v>58</v>
      </c>
      <c r="H253" s="4" t="s">
        <v>41</v>
      </c>
      <c r="I253" s="4" t="s">
        <v>404</v>
      </c>
      <c r="J253" s="4" t="s">
        <v>394</v>
      </c>
      <c r="K253" s="4" t="s">
        <v>1159</v>
      </c>
      <c r="L253" s="4" t="str">
        <f t="shared" si="3"/>
        <v>Different owner</v>
      </c>
    </row>
    <row r="254" spans="1:12" ht="15" customHeight="1" x14ac:dyDescent="0.3">
      <c r="A254" s="4" t="s">
        <v>1162</v>
      </c>
      <c r="B254" s="4" t="s">
        <v>1163</v>
      </c>
      <c r="C254" s="4" t="s">
        <v>1164</v>
      </c>
      <c r="D254" s="4"/>
      <c r="E254" s="4" t="s">
        <v>27</v>
      </c>
      <c r="F254" s="4" t="s">
        <v>1165</v>
      </c>
      <c r="G254" s="4" t="s">
        <v>84</v>
      </c>
      <c r="H254" s="4" t="s">
        <v>41</v>
      </c>
      <c r="I254" s="4" t="s">
        <v>823</v>
      </c>
      <c r="J254" s="4" t="s">
        <v>32</v>
      </c>
      <c r="K254" s="4" t="s">
        <v>1164</v>
      </c>
      <c r="L254" s="4" t="str">
        <f t="shared" si="3"/>
        <v>Different owner</v>
      </c>
    </row>
    <row r="255" spans="1:12" ht="15" customHeight="1" x14ac:dyDescent="0.3">
      <c r="A255" s="4" t="s">
        <v>1162</v>
      </c>
      <c r="B255" s="4" t="s">
        <v>1163</v>
      </c>
      <c r="C255" s="4"/>
      <c r="D255" s="4"/>
      <c r="E255" s="4" t="s">
        <v>34</v>
      </c>
      <c r="F255" s="4" t="s">
        <v>1165</v>
      </c>
      <c r="G255" s="4" t="s">
        <v>84</v>
      </c>
      <c r="H255" s="4" t="s">
        <v>41</v>
      </c>
      <c r="I255" s="4" t="s">
        <v>823</v>
      </c>
      <c r="J255" s="4" t="s">
        <v>32</v>
      </c>
      <c r="K255" s="4" t="s">
        <v>1164</v>
      </c>
      <c r="L255" s="4" t="str">
        <f t="shared" si="3"/>
        <v>Different owner &amp; contact</v>
      </c>
    </row>
    <row r="256" spans="1:12" ht="15" customHeight="1" x14ac:dyDescent="0.3">
      <c r="A256" s="4" t="s">
        <v>1166</v>
      </c>
      <c r="B256" s="4" t="s">
        <v>1167</v>
      </c>
      <c r="C256" s="4" t="s">
        <v>1168</v>
      </c>
      <c r="D256" s="4"/>
      <c r="E256" s="4" t="s">
        <v>27</v>
      </c>
      <c r="F256" s="4" t="s">
        <v>1169</v>
      </c>
      <c r="G256" s="4" t="s">
        <v>100</v>
      </c>
      <c r="H256" s="4" t="s">
        <v>41</v>
      </c>
      <c r="I256" s="4" t="s">
        <v>93</v>
      </c>
      <c r="J256" s="4" t="s">
        <v>394</v>
      </c>
      <c r="K256" s="4" t="s">
        <v>1168</v>
      </c>
      <c r="L256" s="4" t="str">
        <f t="shared" si="3"/>
        <v>Different owner</v>
      </c>
    </row>
    <row r="257" spans="1:12" ht="15" customHeight="1" x14ac:dyDescent="0.3">
      <c r="A257" s="4" t="s">
        <v>1170</v>
      </c>
      <c r="B257" s="4" t="s">
        <v>1171</v>
      </c>
      <c r="C257" s="4" t="s">
        <v>1172</v>
      </c>
      <c r="D257" s="4" t="s">
        <v>1173</v>
      </c>
      <c r="E257" s="4" t="s">
        <v>52</v>
      </c>
      <c r="F257" s="4" t="s">
        <v>1174</v>
      </c>
      <c r="G257" s="4" t="s">
        <v>577</v>
      </c>
      <c r="H257" s="4" t="s">
        <v>68</v>
      </c>
      <c r="I257" s="4" t="s">
        <v>1033</v>
      </c>
      <c r="J257" s="4" t="s">
        <v>102</v>
      </c>
      <c r="K257" s="4" t="s">
        <v>1175</v>
      </c>
      <c r="L257" s="4" t="str">
        <f t="shared" si="3"/>
        <v>Different owner &amp; contact</v>
      </c>
    </row>
    <row r="258" spans="1:12" ht="15" customHeight="1" x14ac:dyDescent="0.3">
      <c r="A258" s="4" t="s">
        <v>1176</v>
      </c>
      <c r="B258" s="4" t="s">
        <v>1177</v>
      </c>
      <c r="C258" s="4" t="s">
        <v>1178</v>
      </c>
      <c r="D258" s="4"/>
      <c r="E258" s="4" t="s">
        <v>56</v>
      </c>
      <c r="F258" s="4" t="s">
        <v>1179</v>
      </c>
      <c r="G258" s="4" t="s">
        <v>29</v>
      </c>
      <c r="H258" s="4" t="s">
        <v>41</v>
      </c>
      <c r="I258" s="4" t="s">
        <v>85</v>
      </c>
      <c r="J258" s="4" t="s">
        <v>60</v>
      </c>
      <c r="K258" s="4" t="s">
        <v>1178</v>
      </c>
      <c r="L258" s="4" t="str">
        <f t="shared" ref="L258:L321" si="4">IF(AND(TRIM(LOWER(E258))=TRIM(LOWER(J258)),TRIM(LOWER(C258))=TRIM(LOWER(K258))),"Match",IF(AND(NOT(TRIM(LOWER(E258))=TRIM(LOWER(J258))),TRIM(LOWER(C258))=TRIM(LOWER(K258))),"Different owner",IF(AND(TRIM(LOWER(E258))=TRIM(LOWER(J258)),NOT(TRIM(LOWER(C258))=TRIM(LOWER(K258)))),"Different contact","Different owner &amp; contact")))</f>
        <v>Different owner</v>
      </c>
    </row>
    <row r="259" spans="1:12" ht="15" customHeight="1" x14ac:dyDescent="0.3">
      <c r="A259" s="4" t="s">
        <v>1180</v>
      </c>
      <c r="B259" s="4" t="s">
        <v>1181</v>
      </c>
      <c r="C259" s="4" t="s">
        <v>1182</v>
      </c>
      <c r="D259" s="4" t="s">
        <v>1183</v>
      </c>
      <c r="E259" s="4" t="s">
        <v>114</v>
      </c>
      <c r="F259" s="4" t="s">
        <v>1184</v>
      </c>
      <c r="G259" s="4" t="s">
        <v>58</v>
      </c>
      <c r="H259" s="4" t="s">
        <v>50</v>
      </c>
      <c r="I259" s="4" t="s">
        <v>196</v>
      </c>
      <c r="J259" s="4" t="s">
        <v>114</v>
      </c>
      <c r="K259" s="4" t="s">
        <v>1185</v>
      </c>
      <c r="L259" s="4" t="str">
        <f t="shared" si="4"/>
        <v>Different contact</v>
      </c>
    </row>
    <row r="260" spans="1:12" ht="15" customHeight="1" x14ac:dyDescent="0.3">
      <c r="A260" s="4" t="s">
        <v>1186</v>
      </c>
      <c r="B260" s="4" t="s">
        <v>1187</v>
      </c>
      <c r="C260" s="4" t="s">
        <v>1188</v>
      </c>
      <c r="D260" s="4"/>
      <c r="E260" s="4" t="s">
        <v>52</v>
      </c>
      <c r="F260" s="4" t="s">
        <v>1189</v>
      </c>
      <c r="G260" s="4" t="s">
        <v>58</v>
      </c>
      <c r="H260" s="4" t="s">
        <v>68</v>
      </c>
      <c r="I260" s="4" t="s">
        <v>1190</v>
      </c>
      <c r="J260" s="4" t="s">
        <v>102</v>
      </c>
      <c r="K260" s="4" t="s">
        <v>1188</v>
      </c>
      <c r="L260" s="4" t="str">
        <f t="shared" si="4"/>
        <v>Different owner</v>
      </c>
    </row>
    <row r="261" spans="1:12" ht="15" customHeight="1" x14ac:dyDescent="0.3">
      <c r="A261" s="4" t="s">
        <v>1191</v>
      </c>
      <c r="B261" s="4" t="s">
        <v>1192</v>
      </c>
      <c r="C261" s="4" t="s">
        <v>1193</v>
      </c>
      <c r="D261" s="4" t="s">
        <v>1194</v>
      </c>
      <c r="E261" s="4" t="s">
        <v>91</v>
      </c>
      <c r="F261" s="4" t="s">
        <v>1195</v>
      </c>
      <c r="G261" s="4" t="s">
        <v>29</v>
      </c>
      <c r="H261" s="4" t="s">
        <v>41</v>
      </c>
      <c r="I261" s="4" t="s">
        <v>101</v>
      </c>
      <c r="J261" s="4" t="s">
        <v>102</v>
      </c>
      <c r="K261" s="4" t="s">
        <v>1193</v>
      </c>
      <c r="L261" s="4" t="str">
        <f t="shared" si="4"/>
        <v>Different owner</v>
      </c>
    </row>
    <row r="262" spans="1:12" ht="15" customHeight="1" x14ac:dyDescent="0.3">
      <c r="A262" s="4" t="s">
        <v>1196</v>
      </c>
      <c r="B262" s="4" t="s">
        <v>1197</v>
      </c>
      <c r="C262" s="4"/>
      <c r="D262" s="4"/>
      <c r="E262" s="4" t="s">
        <v>34</v>
      </c>
      <c r="F262" s="4" t="s">
        <v>1198</v>
      </c>
      <c r="G262" s="4" t="s">
        <v>138</v>
      </c>
      <c r="H262" s="4" t="s">
        <v>41</v>
      </c>
      <c r="I262" s="4" t="s">
        <v>101</v>
      </c>
      <c r="J262" s="4" t="s">
        <v>34</v>
      </c>
      <c r="K262" s="4" t="s">
        <v>1199</v>
      </c>
      <c r="L262" s="4" t="str">
        <f t="shared" si="4"/>
        <v>Different contact</v>
      </c>
    </row>
    <row r="263" spans="1:12" ht="15" customHeight="1" x14ac:dyDescent="0.3">
      <c r="A263" s="4" t="s">
        <v>1200</v>
      </c>
      <c r="B263" s="4" t="s">
        <v>1197</v>
      </c>
      <c r="C263" s="4" t="s">
        <v>1201</v>
      </c>
      <c r="D263" s="4" t="s">
        <v>1202</v>
      </c>
      <c r="E263" s="4" t="s">
        <v>27</v>
      </c>
      <c r="F263" s="4" t="s">
        <v>1198</v>
      </c>
      <c r="G263" s="4" t="s">
        <v>138</v>
      </c>
      <c r="H263" s="4" t="s">
        <v>41</v>
      </c>
      <c r="I263" s="4" t="s">
        <v>101</v>
      </c>
      <c r="J263" s="4" t="s">
        <v>34</v>
      </c>
      <c r="K263" s="4" t="s">
        <v>1199</v>
      </c>
      <c r="L263" s="4" t="str">
        <f t="shared" si="4"/>
        <v>Different owner &amp; contact</v>
      </c>
    </row>
    <row r="264" spans="1:12" ht="15" customHeight="1" x14ac:dyDescent="0.3">
      <c r="A264" s="4" t="s">
        <v>1203</v>
      </c>
      <c r="B264" s="4" t="s">
        <v>1204</v>
      </c>
      <c r="C264" s="4" t="s">
        <v>1205</v>
      </c>
      <c r="D264" s="4" t="s">
        <v>1206</v>
      </c>
      <c r="E264" s="4" t="s">
        <v>91</v>
      </c>
      <c r="F264" s="4" t="s">
        <v>1207</v>
      </c>
      <c r="G264" s="4" t="s">
        <v>58</v>
      </c>
      <c r="H264" s="4" t="s">
        <v>68</v>
      </c>
      <c r="I264" s="4" t="s">
        <v>1208</v>
      </c>
      <c r="J264" s="4" t="s">
        <v>102</v>
      </c>
      <c r="K264" s="4" t="s">
        <v>1209</v>
      </c>
      <c r="L264" s="4" t="str">
        <f t="shared" si="4"/>
        <v>Different owner &amp; contact</v>
      </c>
    </row>
    <row r="265" spans="1:12" ht="15" customHeight="1" x14ac:dyDescent="0.3">
      <c r="A265" s="4" t="s">
        <v>1210</v>
      </c>
      <c r="B265" s="4" t="s">
        <v>1204</v>
      </c>
      <c r="C265" s="4" t="s">
        <v>1211</v>
      </c>
      <c r="D265" s="4" t="s">
        <v>1212</v>
      </c>
      <c r="E265" s="4" t="s">
        <v>91</v>
      </c>
      <c r="F265" s="4" t="s">
        <v>1207</v>
      </c>
      <c r="G265" s="4" t="s">
        <v>58</v>
      </c>
      <c r="H265" s="4" t="s">
        <v>68</v>
      </c>
      <c r="I265" s="4" t="s">
        <v>1208</v>
      </c>
      <c r="J265" s="4" t="s">
        <v>102</v>
      </c>
      <c r="K265" s="4" t="s">
        <v>1209</v>
      </c>
      <c r="L265" s="4" t="str">
        <f t="shared" si="4"/>
        <v>Different owner &amp; contact</v>
      </c>
    </row>
    <row r="266" spans="1:12" ht="15" customHeight="1" x14ac:dyDescent="0.3">
      <c r="A266" s="4" t="s">
        <v>1213</v>
      </c>
      <c r="B266" s="4" t="s">
        <v>1214</v>
      </c>
      <c r="C266" s="4" t="s">
        <v>1215</v>
      </c>
      <c r="D266" s="4"/>
      <c r="E266" s="4" t="s">
        <v>91</v>
      </c>
      <c r="F266" s="4" t="s">
        <v>1216</v>
      </c>
      <c r="G266" s="4" t="s">
        <v>29</v>
      </c>
      <c r="H266" s="4" t="s">
        <v>30</v>
      </c>
      <c r="I266" s="4" t="s">
        <v>125</v>
      </c>
      <c r="J266" s="4" t="s">
        <v>102</v>
      </c>
      <c r="K266" s="4" t="s">
        <v>1215</v>
      </c>
      <c r="L266" s="4" t="str">
        <f t="shared" si="4"/>
        <v>Different owner</v>
      </c>
    </row>
    <row r="267" spans="1:12" ht="15" customHeight="1" x14ac:dyDescent="0.3">
      <c r="A267" s="4" t="s">
        <v>1213</v>
      </c>
      <c r="B267" s="4" t="s">
        <v>1214</v>
      </c>
      <c r="C267" s="4"/>
      <c r="D267" s="4"/>
      <c r="E267" s="4" t="s">
        <v>91</v>
      </c>
      <c r="F267" s="4" t="s">
        <v>1216</v>
      </c>
      <c r="G267" s="4" t="s">
        <v>29</v>
      </c>
      <c r="H267" s="4" t="s">
        <v>30</v>
      </c>
      <c r="I267" s="4" t="s">
        <v>125</v>
      </c>
      <c r="J267" s="4" t="s">
        <v>102</v>
      </c>
      <c r="K267" s="4" t="s">
        <v>1215</v>
      </c>
      <c r="L267" s="4" t="str">
        <f t="shared" si="4"/>
        <v>Different owner &amp; contact</v>
      </c>
    </row>
    <row r="268" spans="1:12" ht="15" customHeight="1" x14ac:dyDescent="0.3">
      <c r="A268" s="4" t="s">
        <v>1217</v>
      </c>
      <c r="B268" s="4" t="s">
        <v>1218</v>
      </c>
      <c r="C268" s="4" t="s">
        <v>1219</v>
      </c>
      <c r="D268" s="4"/>
      <c r="E268" s="4" t="s">
        <v>56</v>
      </c>
      <c r="F268" s="4" t="s">
        <v>1220</v>
      </c>
      <c r="G268" s="4" t="s">
        <v>58</v>
      </c>
      <c r="H268" s="4" t="s">
        <v>41</v>
      </c>
      <c r="I268" s="4" t="s">
        <v>1221</v>
      </c>
      <c r="J268" s="4" t="s">
        <v>34</v>
      </c>
      <c r="K268" s="4" t="s">
        <v>1222</v>
      </c>
      <c r="L268" s="4" t="str">
        <f t="shared" si="4"/>
        <v>Different owner &amp; contact</v>
      </c>
    </row>
    <row r="269" spans="1:12" ht="15" customHeight="1" x14ac:dyDescent="0.3">
      <c r="A269" s="4" t="s">
        <v>1223</v>
      </c>
      <c r="B269" s="4" t="s">
        <v>1224</v>
      </c>
      <c r="C269" s="4" t="s">
        <v>1225</v>
      </c>
      <c r="D269" s="4" t="s">
        <v>1226</v>
      </c>
      <c r="E269" s="4" t="s">
        <v>91</v>
      </c>
      <c r="F269" s="4" t="s">
        <v>1227</v>
      </c>
      <c r="G269" s="4" t="s">
        <v>40</v>
      </c>
      <c r="H269" s="4" t="s">
        <v>116</v>
      </c>
      <c r="I269" s="4" t="s">
        <v>672</v>
      </c>
      <c r="J269" s="4" t="s">
        <v>114</v>
      </c>
      <c r="K269" s="4" t="s">
        <v>1228</v>
      </c>
      <c r="L269" s="4" t="str">
        <f t="shared" si="4"/>
        <v>Different owner &amp; contact</v>
      </c>
    </row>
    <row r="270" spans="1:12" ht="15" customHeight="1" x14ac:dyDescent="0.3">
      <c r="A270" s="4" t="s">
        <v>1229</v>
      </c>
      <c r="B270" s="4" t="s">
        <v>1230</v>
      </c>
      <c r="C270" s="4" t="s">
        <v>1231</v>
      </c>
      <c r="D270" s="4" t="s">
        <v>1232</v>
      </c>
      <c r="E270" s="4" t="s">
        <v>27</v>
      </c>
      <c r="F270" s="4" t="s">
        <v>1233</v>
      </c>
      <c r="G270" s="4" t="s">
        <v>361</v>
      </c>
      <c r="H270" s="4" t="s">
        <v>41</v>
      </c>
      <c r="I270" s="4" t="s">
        <v>638</v>
      </c>
      <c r="J270" s="4" t="s">
        <v>32</v>
      </c>
      <c r="K270" s="4" t="s">
        <v>1231</v>
      </c>
      <c r="L270" s="4" t="str">
        <f t="shared" si="4"/>
        <v>Different owner</v>
      </c>
    </row>
    <row r="271" spans="1:12" ht="15" customHeight="1" x14ac:dyDescent="0.3">
      <c r="A271" s="4" t="s">
        <v>1234</v>
      </c>
      <c r="B271" s="4" t="s">
        <v>1235</v>
      </c>
      <c r="C271" s="4"/>
      <c r="D271" s="4"/>
      <c r="E271" s="4" t="s">
        <v>34</v>
      </c>
      <c r="F271" s="4" t="s">
        <v>1236</v>
      </c>
      <c r="G271" s="4" t="s">
        <v>209</v>
      </c>
      <c r="H271" s="4" t="s">
        <v>41</v>
      </c>
      <c r="I271" s="4" t="s">
        <v>42</v>
      </c>
      <c r="J271" s="4" t="s">
        <v>102</v>
      </c>
      <c r="K271" s="4" t="s">
        <v>1237</v>
      </c>
      <c r="L271" s="4" t="str">
        <f t="shared" si="4"/>
        <v>Different owner &amp; contact</v>
      </c>
    </row>
    <row r="272" spans="1:12" ht="15" customHeight="1" x14ac:dyDescent="0.3">
      <c r="A272" s="4" t="s">
        <v>1238</v>
      </c>
      <c r="B272" s="4" t="s">
        <v>1239</v>
      </c>
      <c r="C272" s="4" t="s">
        <v>1240</v>
      </c>
      <c r="D272" s="4"/>
      <c r="E272" s="4" t="s">
        <v>27</v>
      </c>
      <c r="F272" s="4" t="s">
        <v>1241</v>
      </c>
      <c r="G272" s="4" t="s">
        <v>209</v>
      </c>
      <c r="H272" s="4" t="s">
        <v>41</v>
      </c>
      <c r="I272" s="4" t="s">
        <v>210</v>
      </c>
      <c r="J272" s="4" t="s">
        <v>52</v>
      </c>
      <c r="K272" s="4" t="s">
        <v>1240</v>
      </c>
      <c r="L272" s="4" t="str">
        <f t="shared" si="4"/>
        <v>Different owner</v>
      </c>
    </row>
    <row r="273" spans="1:12" ht="15" customHeight="1" x14ac:dyDescent="0.3">
      <c r="A273" s="4" t="s">
        <v>1242</v>
      </c>
      <c r="B273" s="4" t="s">
        <v>1239</v>
      </c>
      <c r="C273" s="4" t="s">
        <v>1243</v>
      </c>
      <c r="D273" s="4" t="s">
        <v>1244</v>
      </c>
      <c r="E273" s="4" t="s">
        <v>27</v>
      </c>
      <c r="F273" s="4" t="s">
        <v>1241</v>
      </c>
      <c r="G273" s="4" t="s">
        <v>209</v>
      </c>
      <c r="H273" s="4" t="s">
        <v>41</v>
      </c>
      <c r="I273" s="4" t="s">
        <v>210</v>
      </c>
      <c r="J273" s="4" t="s">
        <v>52</v>
      </c>
      <c r="K273" s="4" t="s">
        <v>1240</v>
      </c>
      <c r="L273" s="4" t="str">
        <f t="shared" si="4"/>
        <v>Different owner &amp; contact</v>
      </c>
    </row>
    <row r="274" spans="1:12" ht="15" customHeight="1" x14ac:dyDescent="0.3">
      <c r="A274" s="4" t="s">
        <v>1245</v>
      </c>
      <c r="B274" s="4" t="s">
        <v>1246</v>
      </c>
      <c r="C274" s="4" t="s">
        <v>1247</v>
      </c>
      <c r="D274" s="4" t="s">
        <v>1248</v>
      </c>
      <c r="E274" s="4" t="s">
        <v>27</v>
      </c>
      <c r="F274" s="4" t="s">
        <v>1249</v>
      </c>
      <c r="G274" s="4" t="s">
        <v>84</v>
      </c>
      <c r="H274" s="4" t="s">
        <v>68</v>
      </c>
      <c r="I274" s="4" t="s">
        <v>956</v>
      </c>
      <c r="J274" s="4" t="s">
        <v>394</v>
      </c>
      <c r="K274" s="4" t="s">
        <v>1250</v>
      </c>
      <c r="L274" s="4" t="str">
        <f t="shared" si="4"/>
        <v>Different owner &amp; contact</v>
      </c>
    </row>
    <row r="275" spans="1:12" ht="15" customHeight="1" x14ac:dyDescent="0.3">
      <c r="A275" s="4" t="s">
        <v>1251</v>
      </c>
      <c r="B275" s="4" t="s">
        <v>1246</v>
      </c>
      <c r="C275" s="4" t="s">
        <v>1252</v>
      </c>
      <c r="D275" s="4" t="s">
        <v>1253</v>
      </c>
      <c r="E275" s="4" t="s">
        <v>27</v>
      </c>
      <c r="F275" s="4" t="s">
        <v>1249</v>
      </c>
      <c r="G275" s="4" t="s">
        <v>84</v>
      </c>
      <c r="H275" s="4" t="s">
        <v>68</v>
      </c>
      <c r="I275" s="4" t="s">
        <v>956</v>
      </c>
      <c r="J275" s="4" t="s">
        <v>394</v>
      </c>
      <c r="K275" s="4" t="s">
        <v>1250</v>
      </c>
      <c r="L275" s="4" t="str">
        <f t="shared" si="4"/>
        <v>Different owner &amp; contact</v>
      </c>
    </row>
    <row r="276" spans="1:12" ht="15" customHeight="1" x14ac:dyDescent="0.3">
      <c r="A276" s="4" t="s">
        <v>1254</v>
      </c>
      <c r="B276" s="4" t="s">
        <v>1255</v>
      </c>
      <c r="C276" s="4" t="s">
        <v>1256</v>
      </c>
      <c r="D276" s="4" t="s">
        <v>1257</v>
      </c>
      <c r="E276" s="4" t="s">
        <v>66</v>
      </c>
      <c r="F276" s="4" t="s">
        <v>1258</v>
      </c>
      <c r="G276" s="4" t="s">
        <v>100</v>
      </c>
      <c r="H276" s="4" t="s">
        <v>41</v>
      </c>
      <c r="I276" s="4" t="s">
        <v>1259</v>
      </c>
      <c r="J276" s="4" t="s">
        <v>66</v>
      </c>
      <c r="K276" s="4" t="s">
        <v>1260</v>
      </c>
      <c r="L276" s="4" t="str">
        <f t="shared" si="4"/>
        <v>Different contact</v>
      </c>
    </row>
    <row r="277" spans="1:12" ht="15" customHeight="1" x14ac:dyDescent="0.3">
      <c r="A277" s="4" t="s">
        <v>1261</v>
      </c>
      <c r="B277" s="4" t="s">
        <v>1262</v>
      </c>
      <c r="C277" s="4" t="s">
        <v>1263</v>
      </c>
      <c r="D277" s="4"/>
      <c r="E277" s="4" t="s">
        <v>52</v>
      </c>
      <c r="F277" s="4" t="s">
        <v>1264</v>
      </c>
      <c r="G277" s="4" t="s">
        <v>124</v>
      </c>
      <c r="H277" s="4" t="s">
        <v>41</v>
      </c>
      <c r="I277" s="4" t="s">
        <v>59</v>
      </c>
      <c r="J277" s="4" t="s">
        <v>32</v>
      </c>
      <c r="K277" s="4" t="s">
        <v>1263</v>
      </c>
      <c r="L277" s="4" t="str">
        <f t="shared" si="4"/>
        <v>Different owner</v>
      </c>
    </row>
    <row r="278" spans="1:12" ht="15" customHeight="1" x14ac:dyDescent="0.3">
      <c r="A278" s="4" t="s">
        <v>1265</v>
      </c>
      <c r="B278" s="4" t="s">
        <v>1266</v>
      </c>
      <c r="C278" s="4" t="s">
        <v>1267</v>
      </c>
      <c r="D278" s="4" t="s">
        <v>1268</v>
      </c>
      <c r="E278" s="4" t="s">
        <v>91</v>
      </c>
      <c r="F278" s="4" t="s">
        <v>1269</v>
      </c>
      <c r="G278" s="4" t="s">
        <v>521</v>
      </c>
      <c r="H278" s="4" t="s">
        <v>1270</v>
      </c>
      <c r="I278" s="4" t="s">
        <v>1271</v>
      </c>
      <c r="J278" s="4" t="s">
        <v>94</v>
      </c>
      <c r="K278" s="4" t="s">
        <v>1272</v>
      </c>
      <c r="L278" s="4" t="str">
        <f t="shared" si="4"/>
        <v>Different owner &amp; contact</v>
      </c>
    </row>
    <row r="279" spans="1:12" ht="15" customHeight="1" x14ac:dyDescent="0.3">
      <c r="A279" s="4" t="s">
        <v>1273</v>
      </c>
      <c r="B279" s="4" t="s">
        <v>1274</v>
      </c>
      <c r="C279" s="4" t="s">
        <v>1275</v>
      </c>
      <c r="D279" s="4"/>
      <c r="E279" s="4" t="s">
        <v>52</v>
      </c>
      <c r="F279" s="4" t="s">
        <v>1276</v>
      </c>
      <c r="G279" s="4" t="s">
        <v>29</v>
      </c>
      <c r="H279" s="4" t="s">
        <v>30</v>
      </c>
      <c r="I279" s="4" t="s">
        <v>125</v>
      </c>
      <c r="J279" s="4" t="s">
        <v>102</v>
      </c>
      <c r="K279" s="4" t="s">
        <v>1275</v>
      </c>
      <c r="L279" s="4" t="str">
        <f t="shared" si="4"/>
        <v>Different owner</v>
      </c>
    </row>
    <row r="280" spans="1:12" ht="15" customHeight="1" x14ac:dyDescent="0.3">
      <c r="A280" s="4" t="s">
        <v>1277</v>
      </c>
      <c r="B280" s="4" t="s">
        <v>1278</v>
      </c>
      <c r="C280" s="4"/>
      <c r="D280" s="4" t="s">
        <v>1279</v>
      </c>
      <c r="E280" s="4" t="s">
        <v>56</v>
      </c>
      <c r="F280" s="4" t="s">
        <v>1280</v>
      </c>
      <c r="G280" s="4" t="s">
        <v>361</v>
      </c>
      <c r="H280" s="4" t="s">
        <v>41</v>
      </c>
      <c r="I280" s="4" t="s">
        <v>42</v>
      </c>
      <c r="J280" s="4" t="s">
        <v>34</v>
      </c>
      <c r="K280" s="4"/>
      <c r="L280" s="4" t="str">
        <f t="shared" si="4"/>
        <v>Different owner</v>
      </c>
    </row>
    <row r="281" spans="1:12" ht="15" customHeight="1" x14ac:dyDescent="0.3">
      <c r="A281" s="4" t="s">
        <v>1281</v>
      </c>
      <c r="B281" s="4" t="s">
        <v>1282</v>
      </c>
      <c r="C281" s="4" t="s">
        <v>1283</v>
      </c>
      <c r="D281" s="4" t="s">
        <v>1284</v>
      </c>
      <c r="E281" s="4" t="s">
        <v>66</v>
      </c>
      <c r="F281" s="4" t="s">
        <v>1285</v>
      </c>
      <c r="G281" s="4" t="s">
        <v>58</v>
      </c>
      <c r="H281" s="4" t="s">
        <v>41</v>
      </c>
      <c r="I281" s="4" t="s">
        <v>210</v>
      </c>
      <c r="J281" s="4" t="s">
        <v>66</v>
      </c>
      <c r="K281" s="4" t="s">
        <v>1286</v>
      </c>
      <c r="L281" s="4" t="str">
        <f t="shared" si="4"/>
        <v>Different contact</v>
      </c>
    </row>
    <row r="282" spans="1:12" ht="15" customHeight="1" x14ac:dyDescent="0.3">
      <c r="A282" s="4" t="s">
        <v>1287</v>
      </c>
      <c r="B282" s="4" t="s">
        <v>1288</v>
      </c>
      <c r="C282" s="4" t="s">
        <v>1289</v>
      </c>
      <c r="D282" s="4" t="s">
        <v>1290</v>
      </c>
      <c r="E282" s="4" t="s">
        <v>52</v>
      </c>
      <c r="F282" s="4" t="s">
        <v>1291</v>
      </c>
      <c r="G282" s="4" t="s">
        <v>138</v>
      </c>
      <c r="H282" s="4" t="s">
        <v>41</v>
      </c>
      <c r="I282" s="4" t="s">
        <v>210</v>
      </c>
      <c r="J282" s="4" t="s">
        <v>102</v>
      </c>
      <c r="K282" s="4" t="s">
        <v>1292</v>
      </c>
      <c r="L282" s="4" t="str">
        <f t="shared" si="4"/>
        <v>Different owner &amp; contact</v>
      </c>
    </row>
    <row r="283" spans="1:12" ht="15" customHeight="1" x14ac:dyDescent="0.3">
      <c r="A283" s="4" t="s">
        <v>1293</v>
      </c>
      <c r="B283" s="4" t="s">
        <v>1294</v>
      </c>
      <c r="C283" s="4" t="s">
        <v>1295</v>
      </c>
      <c r="D283" s="4"/>
      <c r="E283" s="4" t="s">
        <v>52</v>
      </c>
      <c r="F283" s="4" t="s">
        <v>1296</v>
      </c>
      <c r="G283" s="4" t="s">
        <v>130</v>
      </c>
      <c r="H283" s="4" t="s">
        <v>1270</v>
      </c>
      <c r="I283" s="4" t="s">
        <v>1297</v>
      </c>
      <c r="J283" s="4" t="s">
        <v>114</v>
      </c>
      <c r="K283" s="4" t="s">
        <v>1295</v>
      </c>
      <c r="L283" s="4" t="str">
        <f t="shared" si="4"/>
        <v>Different owner</v>
      </c>
    </row>
    <row r="284" spans="1:12" ht="15" customHeight="1" x14ac:dyDescent="0.3">
      <c r="A284" s="4" t="s">
        <v>1298</v>
      </c>
      <c r="B284" s="4" t="s">
        <v>1299</v>
      </c>
      <c r="C284" s="4" t="s">
        <v>1300</v>
      </c>
      <c r="D284" s="4"/>
      <c r="E284" s="4" t="s">
        <v>56</v>
      </c>
      <c r="F284" s="4" t="s">
        <v>1301</v>
      </c>
      <c r="G284" s="4" t="s">
        <v>29</v>
      </c>
      <c r="H284" s="4" t="s">
        <v>68</v>
      </c>
      <c r="I284" s="4" t="s">
        <v>93</v>
      </c>
      <c r="J284" s="4" t="s">
        <v>94</v>
      </c>
      <c r="K284" s="4" t="s">
        <v>1302</v>
      </c>
      <c r="L284" s="4" t="str">
        <f t="shared" si="4"/>
        <v>Different owner &amp; contact</v>
      </c>
    </row>
    <row r="285" spans="1:12" ht="15" customHeight="1" x14ac:dyDescent="0.3">
      <c r="A285" s="4" t="s">
        <v>1303</v>
      </c>
      <c r="B285" s="4" t="s">
        <v>1304</v>
      </c>
      <c r="C285" s="4" t="s">
        <v>1305</v>
      </c>
      <c r="D285" s="4" t="s">
        <v>1306</v>
      </c>
      <c r="E285" s="4" t="s">
        <v>66</v>
      </c>
      <c r="F285" s="4" t="s">
        <v>1307</v>
      </c>
      <c r="G285" s="4" t="s">
        <v>1308</v>
      </c>
      <c r="H285" s="4" t="s">
        <v>68</v>
      </c>
      <c r="I285" s="4" t="s">
        <v>538</v>
      </c>
      <c r="J285" s="4" t="s">
        <v>1309</v>
      </c>
      <c r="K285" s="4" t="s">
        <v>1305</v>
      </c>
      <c r="L285" s="4" t="str">
        <f t="shared" si="4"/>
        <v>Different owner</v>
      </c>
    </row>
    <row r="286" spans="1:12" ht="15" customHeight="1" x14ac:dyDescent="0.3">
      <c r="A286" s="4" t="s">
        <v>1310</v>
      </c>
      <c r="B286" s="4" t="s">
        <v>1311</v>
      </c>
      <c r="C286" s="4" t="s">
        <v>1312</v>
      </c>
      <c r="D286" s="4" t="s">
        <v>1313</v>
      </c>
      <c r="E286" s="4" t="s">
        <v>91</v>
      </c>
      <c r="F286" s="4" t="s">
        <v>1314</v>
      </c>
      <c r="G286" s="4" t="s">
        <v>84</v>
      </c>
      <c r="H286" s="4" t="s">
        <v>68</v>
      </c>
      <c r="I286" s="4" t="s">
        <v>311</v>
      </c>
      <c r="J286" s="4" t="s">
        <v>94</v>
      </c>
      <c r="K286" s="4" t="s">
        <v>1315</v>
      </c>
      <c r="L286" s="4" t="str">
        <f t="shared" si="4"/>
        <v>Different owner &amp; contact</v>
      </c>
    </row>
    <row r="287" spans="1:12" ht="15" customHeight="1" x14ac:dyDescent="0.3">
      <c r="A287" s="4" t="s">
        <v>1316</v>
      </c>
      <c r="B287" s="4" t="s">
        <v>1317</v>
      </c>
      <c r="C287" s="4" t="s">
        <v>1318</v>
      </c>
      <c r="D287" s="4" t="s">
        <v>1319</v>
      </c>
      <c r="E287" s="4" t="s">
        <v>106</v>
      </c>
      <c r="F287" s="4" t="s">
        <v>1320</v>
      </c>
      <c r="G287" s="4" t="s">
        <v>1321</v>
      </c>
      <c r="H287" s="4" t="s">
        <v>68</v>
      </c>
      <c r="I287" s="4" t="s">
        <v>299</v>
      </c>
      <c r="J287" s="4" t="s">
        <v>106</v>
      </c>
      <c r="K287" s="4" t="s">
        <v>1322</v>
      </c>
      <c r="L287" s="4" t="str">
        <f t="shared" si="4"/>
        <v>Different contact</v>
      </c>
    </row>
    <row r="288" spans="1:12" ht="15" customHeight="1" x14ac:dyDescent="0.3">
      <c r="A288" s="4" t="s">
        <v>1323</v>
      </c>
      <c r="B288" s="4" t="s">
        <v>1324</v>
      </c>
      <c r="C288" s="4"/>
      <c r="D288" s="4"/>
      <c r="E288" s="4" t="s">
        <v>34</v>
      </c>
      <c r="F288" s="4" t="s">
        <v>1325</v>
      </c>
      <c r="G288" s="4" t="s">
        <v>1326</v>
      </c>
      <c r="H288" s="4" t="s">
        <v>68</v>
      </c>
      <c r="I288" s="4" t="s">
        <v>538</v>
      </c>
      <c r="J288" s="4" t="s">
        <v>34</v>
      </c>
      <c r="K288" s="4" t="s">
        <v>1327</v>
      </c>
      <c r="L288" s="4" t="str">
        <f t="shared" si="4"/>
        <v>Different contact</v>
      </c>
    </row>
    <row r="289" spans="1:12" ht="15" customHeight="1" x14ac:dyDescent="0.3">
      <c r="A289" s="4" t="s">
        <v>1203</v>
      </c>
      <c r="B289" s="4" t="s">
        <v>1324</v>
      </c>
      <c r="C289" s="4"/>
      <c r="D289" s="4" t="s">
        <v>1328</v>
      </c>
      <c r="E289" s="4" t="s">
        <v>34</v>
      </c>
      <c r="F289" s="4" t="s">
        <v>1325</v>
      </c>
      <c r="G289" s="4" t="s">
        <v>1326</v>
      </c>
      <c r="H289" s="4" t="s">
        <v>68</v>
      </c>
      <c r="I289" s="4" t="s">
        <v>538</v>
      </c>
      <c r="J289" s="4" t="s">
        <v>34</v>
      </c>
      <c r="K289" s="4" t="s">
        <v>1327</v>
      </c>
      <c r="L289" s="4" t="str">
        <f t="shared" si="4"/>
        <v>Different contact</v>
      </c>
    </row>
    <row r="290" spans="1:12" ht="15" customHeight="1" x14ac:dyDescent="0.3">
      <c r="A290" s="4" t="s">
        <v>1329</v>
      </c>
      <c r="B290" s="4" t="s">
        <v>1324</v>
      </c>
      <c r="C290" s="4" t="s">
        <v>1327</v>
      </c>
      <c r="D290" s="4" t="s">
        <v>1330</v>
      </c>
      <c r="E290" s="4" t="s">
        <v>27</v>
      </c>
      <c r="F290" s="4" t="s">
        <v>1325</v>
      </c>
      <c r="G290" s="4" t="s">
        <v>1326</v>
      </c>
      <c r="H290" s="4" t="s">
        <v>68</v>
      </c>
      <c r="I290" s="4" t="s">
        <v>538</v>
      </c>
      <c r="J290" s="4" t="s">
        <v>34</v>
      </c>
      <c r="K290" s="4" t="s">
        <v>1327</v>
      </c>
      <c r="L290" s="4" t="str">
        <f t="shared" si="4"/>
        <v>Different owner</v>
      </c>
    </row>
    <row r="291" spans="1:12" ht="15" customHeight="1" x14ac:dyDescent="0.3">
      <c r="A291" s="4" t="s">
        <v>1331</v>
      </c>
      <c r="B291" s="4" t="s">
        <v>1332</v>
      </c>
      <c r="C291" s="4" t="s">
        <v>1333</v>
      </c>
      <c r="D291" s="4"/>
      <c r="E291" s="4" t="s">
        <v>106</v>
      </c>
      <c r="F291" s="4" t="s">
        <v>1334</v>
      </c>
      <c r="G291" s="4" t="s">
        <v>40</v>
      </c>
      <c r="H291" s="4" t="s">
        <v>41</v>
      </c>
      <c r="I291" s="4" t="s">
        <v>101</v>
      </c>
      <c r="J291" s="4" t="s">
        <v>106</v>
      </c>
      <c r="K291" s="4" t="s">
        <v>1333</v>
      </c>
      <c r="L291" s="4" t="str">
        <f t="shared" si="4"/>
        <v>Match</v>
      </c>
    </row>
    <row r="292" spans="1:12" ht="15" customHeight="1" x14ac:dyDescent="0.3">
      <c r="A292" s="4" t="s">
        <v>1335</v>
      </c>
      <c r="B292" s="4" t="s">
        <v>1336</v>
      </c>
      <c r="C292" s="4"/>
      <c r="D292" s="4"/>
      <c r="E292" s="4" t="s">
        <v>34</v>
      </c>
      <c r="F292" s="4" t="s">
        <v>1337</v>
      </c>
      <c r="G292" s="4" t="s">
        <v>361</v>
      </c>
      <c r="H292" s="4" t="s">
        <v>41</v>
      </c>
      <c r="I292" s="4" t="s">
        <v>101</v>
      </c>
      <c r="J292" s="4" t="s">
        <v>34</v>
      </c>
      <c r="K292" s="4" t="s">
        <v>1338</v>
      </c>
      <c r="L292" s="4" t="str">
        <f t="shared" si="4"/>
        <v>Different contact</v>
      </c>
    </row>
    <row r="293" spans="1:12" ht="15" customHeight="1" x14ac:dyDescent="0.3">
      <c r="A293" s="4" t="s">
        <v>1339</v>
      </c>
      <c r="B293" s="4" t="s">
        <v>1336</v>
      </c>
      <c r="C293" s="4" t="s">
        <v>1338</v>
      </c>
      <c r="D293" s="4" t="s">
        <v>1340</v>
      </c>
      <c r="E293" s="4" t="s">
        <v>52</v>
      </c>
      <c r="F293" s="4" t="s">
        <v>1337</v>
      </c>
      <c r="G293" s="4" t="s">
        <v>361</v>
      </c>
      <c r="H293" s="4" t="s">
        <v>41</v>
      </c>
      <c r="I293" s="4" t="s">
        <v>101</v>
      </c>
      <c r="J293" s="4" t="s">
        <v>34</v>
      </c>
      <c r="K293" s="4" t="s">
        <v>1338</v>
      </c>
      <c r="L293" s="4" t="str">
        <f t="shared" si="4"/>
        <v>Different owner</v>
      </c>
    </row>
    <row r="294" spans="1:12" ht="15" customHeight="1" x14ac:dyDescent="0.3">
      <c r="A294" s="4" t="s">
        <v>1341</v>
      </c>
      <c r="B294" s="4" t="s">
        <v>1336</v>
      </c>
      <c r="C294" s="4" t="s">
        <v>1342</v>
      </c>
      <c r="D294" s="4" t="s">
        <v>1343</v>
      </c>
      <c r="E294" s="4" t="s">
        <v>52</v>
      </c>
      <c r="F294" s="4" t="s">
        <v>1337</v>
      </c>
      <c r="G294" s="4" t="s">
        <v>361</v>
      </c>
      <c r="H294" s="4" t="s">
        <v>41</v>
      </c>
      <c r="I294" s="4" t="s">
        <v>101</v>
      </c>
      <c r="J294" s="4" t="s">
        <v>34</v>
      </c>
      <c r="K294" s="4" t="s">
        <v>1338</v>
      </c>
      <c r="L294" s="4" t="str">
        <f t="shared" si="4"/>
        <v>Different owner &amp; contact</v>
      </c>
    </row>
    <row r="295" spans="1:12" ht="15" customHeight="1" x14ac:dyDescent="0.3">
      <c r="A295" s="4" t="s">
        <v>1344</v>
      </c>
      <c r="B295" s="4" t="s">
        <v>1345</v>
      </c>
      <c r="C295" s="4" t="s">
        <v>1346</v>
      </c>
      <c r="D295" s="4" t="s">
        <v>1347</v>
      </c>
      <c r="E295" s="4" t="s">
        <v>91</v>
      </c>
      <c r="F295" s="4" t="s">
        <v>1348</v>
      </c>
      <c r="G295" s="4" t="s">
        <v>29</v>
      </c>
      <c r="H295" s="4" t="s">
        <v>68</v>
      </c>
      <c r="I295" s="4" t="s">
        <v>538</v>
      </c>
      <c r="J295" s="4" t="s">
        <v>102</v>
      </c>
      <c r="K295" s="4" t="s">
        <v>1349</v>
      </c>
      <c r="L295" s="4" t="str">
        <f t="shared" si="4"/>
        <v>Different owner &amp; contact</v>
      </c>
    </row>
    <row r="296" spans="1:12" ht="15" customHeight="1" x14ac:dyDescent="0.3">
      <c r="A296" s="4" t="s">
        <v>1350</v>
      </c>
      <c r="B296" s="4" t="s">
        <v>1351</v>
      </c>
      <c r="C296" s="4" t="s">
        <v>1352</v>
      </c>
      <c r="D296" s="4" t="s">
        <v>1353</v>
      </c>
      <c r="E296" s="4" t="s">
        <v>52</v>
      </c>
      <c r="F296" s="4" t="s">
        <v>1354</v>
      </c>
      <c r="G296" s="4" t="s">
        <v>138</v>
      </c>
      <c r="H296" s="4" t="s">
        <v>68</v>
      </c>
      <c r="I296" s="4" t="s">
        <v>299</v>
      </c>
      <c r="J296" s="4" t="s">
        <v>32</v>
      </c>
      <c r="K296" s="4" t="s">
        <v>1352</v>
      </c>
      <c r="L296" s="4" t="str">
        <f t="shared" si="4"/>
        <v>Different owner</v>
      </c>
    </row>
    <row r="297" spans="1:12" ht="15" customHeight="1" x14ac:dyDescent="0.3">
      <c r="A297" s="4" t="s">
        <v>1355</v>
      </c>
      <c r="B297" s="4" t="s">
        <v>1351</v>
      </c>
      <c r="C297" s="4" t="s">
        <v>1356</v>
      </c>
      <c r="D297" s="4"/>
      <c r="E297" s="4" t="s">
        <v>52</v>
      </c>
      <c r="F297" s="4" t="s">
        <v>1354</v>
      </c>
      <c r="G297" s="4" t="s">
        <v>138</v>
      </c>
      <c r="H297" s="4" t="s">
        <v>68</v>
      </c>
      <c r="I297" s="4" t="s">
        <v>299</v>
      </c>
      <c r="J297" s="4" t="s">
        <v>32</v>
      </c>
      <c r="K297" s="4" t="s">
        <v>1352</v>
      </c>
      <c r="L297" s="4" t="str">
        <f t="shared" si="4"/>
        <v>Different owner &amp; contact</v>
      </c>
    </row>
    <row r="298" spans="1:12" ht="15" customHeight="1" x14ac:dyDescent="0.3">
      <c r="A298" s="4" t="s">
        <v>1357</v>
      </c>
      <c r="B298" s="4" t="s">
        <v>1358</v>
      </c>
      <c r="C298" s="4" t="s">
        <v>1359</v>
      </c>
      <c r="D298" s="4" t="s">
        <v>1360</v>
      </c>
      <c r="E298" s="4" t="s">
        <v>66</v>
      </c>
      <c r="F298" s="4" t="s">
        <v>1361</v>
      </c>
      <c r="G298" s="4" t="s">
        <v>130</v>
      </c>
      <c r="H298" s="4" t="s">
        <v>41</v>
      </c>
      <c r="I298" s="4" t="s">
        <v>638</v>
      </c>
      <c r="J298" s="4" t="s">
        <v>66</v>
      </c>
      <c r="K298" s="4" t="s">
        <v>1359</v>
      </c>
      <c r="L298" s="4" t="str">
        <f t="shared" si="4"/>
        <v>Match</v>
      </c>
    </row>
    <row r="299" spans="1:12" ht="15" customHeight="1" x14ac:dyDescent="0.3">
      <c r="A299" s="4" t="s">
        <v>1362</v>
      </c>
      <c r="B299" s="4" t="s">
        <v>1363</v>
      </c>
      <c r="C299" s="4" t="s">
        <v>1364</v>
      </c>
      <c r="D299" s="4" t="s">
        <v>1365</v>
      </c>
      <c r="E299" s="4" t="s">
        <v>52</v>
      </c>
      <c r="F299" s="4" t="s">
        <v>1366</v>
      </c>
      <c r="G299" s="4" t="s">
        <v>49</v>
      </c>
      <c r="H299" s="4" t="s">
        <v>41</v>
      </c>
      <c r="I299" s="4" t="s">
        <v>1367</v>
      </c>
      <c r="J299" s="4" t="s">
        <v>52</v>
      </c>
      <c r="K299" s="4" t="s">
        <v>1368</v>
      </c>
      <c r="L299" s="4" t="str">
        <f t="shared" si="4"/>
        <v>Different contact</v>
      </c>
    </row>
    <row r="300" spans="1:12" ht="15" customHeight="1" x14ac:dyDescent="0.3">
      <c r="A300" s="4" t="s">
        <v>1369</v>
      </c>
      <c r="B300" s="4" t="s">
        <v>1370</v>
      </c>
      <c r="C300" s="4" t="s">
        <v>1371</v>
      </c>
      <c r="D300" s="4" t="s">
        <v>1372</v>
      </c>
      <c r="E300" s="4" t="s">
        <v>52</v>
      </c>
      <c r="F300" s="4" t="s">
        <v>1373</v>
      </c>
      <c r="G300" s="4" t="s">
        <v>138</v>
      </c>
      <c r="H300" s="4" t="s">
        <v>68</v>
      </c>
      <c r="I300" s="4" t="s">
        <v>956</v>
      </c>
      <c r="J300" s="4" t="s">
        <v>34</v>
      </c>
      <c r="K300" s="4" t="s">
        <v>1374</v>
      </c>
      <c r="L300" s="4" t="str">
        <f t="shared" si="4"/>
        <v>Different owner &amp; contact</v>
      </c>
    </row>
    <row r="301" spans="1:12" ht="15" customHeight="1" x14ac:dyDescent="0.3">
      <c r="A301" s="4" t="s">
        <v>1375</v>
      </c>
      <c r="B301" s="4" t="s">
        <v>1376</v>
      </c>
      <c r="C301" s="4" t="s">
        <v>1377</v>
      </c>
      <c r="D301" s="4"/>
      <c r="E301" s="4" t="s">
        <v>34</v>
      </c>
      <c r="F301" s="4" t="s">
        <v>1378</v>
      </c>
      <c r="G301" s="4" t="s">
        <v>49</v>
      </c>
      <c r="H301" s="4" t="s">
        <v>68</v>
      </c>
      <c r="I301" s="4" t="s">
        <v>538</v>
      </c>
      <c r="J301" s="4" t="s">
        <v>34</v>
      </c>
      <c r="K301" s="4" t="s">
        <v>1377</v>
      </c>
      <c r="L301" s="4" t="str">
        <f t="shared" si="4"/>
        <v>Match</v>
      </c>
    </row>
    <row r="302" spans="1:12" ht="15" customHeight="1" x14ac:dyDescent="0.3">
      <c r="A302" s="4" t="s">
        <v>1379</v>
      </c>
      <c r="B302" s="4" t="s">
        <v>1376</v>
      </c>
      <c r="C302" s="4" t="s">
        <v>1380</v>
      </c>
      <c r="D302" s="4" t="s">
        <v>1381</v>
      </c>
      <c r="E302" s="4" t="s">
        <v>34</v>
      </c>
      <c r="F302" s="4" t="s">
        <v>1378</v>
      </c>
      <c r="G302" s="4" t="s">
        <v>49</v>
      </c>
      <c r="H302" s="4" t="s">
        <v>68</v>
      </c>
      <c r="I302" s="4" t="s">
        <v>538</v>
      </c>
      <c r="J302" s="4" t="s">
        <v>34</v>
      </c>
      <c r="K302" s="4" t="s">
        <v>1377</v>
      </c>
      <c r="L302" s="4" t="str">
        <f t="shared" si="4"/>
        <v>Different contact</v>
      </c>
    </row>
    <row r="303" spans="1:12" ht="15" customHeight="1" x14ac:dyDescent="0.3">
      <c r="A303" s="4" t="s">
        <v>1382</v>
      </c>
      <c r="B303" s="4" t="s">
        <v>1383</v>
      </c>
      <c r="C303" s="4" t="s">
        <v>1384</v>
      </c>
      <c r="D303" s="4" t="s">
        <v>1385</v>
      </c>
      <c r="E303" s="4" t="s">
        <v>52</v>
      </c>
      <c r="F303" s="4" t="s">
        <v>1386</v>
      </c>
      <c r="G303" s="4" t="s">
        <v>29</v>
      </c>
      <c r="H303" s="4" t="s">
        <v>41</v>
      </c>
      <c r="I303" s="4" t="s">
        <v>1190</v>
      </c>
      <c r="J303" s="4" t="s">
        <v>102</v>
      </c>
      <c r="K303" s="4" t="s">
        <v>1384</v>
      </c>
      <c r="L303" s="4" t="str">
        <f t="shared" si="4"/>
        <v>Different owner</v>
      </c>
    </row>
    <row r="304" spans="1:12" ht="15" customHeight="1" x14ac:dyDescent="0.3">
      <c r="A304" s="4" t="s">
        <v>1387</v>
      </c>
      <c r="B304" s="4" t="s">
        <v>1388</v>
      </c>
      <c r="C304" s="4" t="s">
        <v>1389</v>
      </c>
      <c r="D304" s="4"/>
      <c r="E304" s="4" t="s">
        <v>52</v>
      </c>
      <c r="F304" s="4" t="s">
        <v>1390</v>
      </c>
      <c r="G304" s="4" t="s">
        <v>58</v>
      </c>
      <c r="H304" s="4" t="s">
        <v>41</v>
      </c>
      <c r="I304" s="4" t="s">
        <v>85</v>
      </c>
      <c r="J304" s="4" t="s">
        <v>52</v>
      </c>
      <c r="K304" s="4" t="s">
        <v>1391</v>
      </c>
      <c r="L304" s="4" t="str">
        <f t="shared" si="4"/>
        <v>Different contact</v>
      </c>
    </row>
    <row r="305" spans="1:12" ht="15" customHeight="1" x14ac:dyDescent="0.3">
      <c r="A305" s="4" t="s">
        <v>1392</v>
      </c>
      <c r="B305" s="4" t="s">
        <v>1393</v>
      </c>
      <c r="C305" s="4" t="s">
        <v>1394</v>
      </c>
      <c r="D305" s="4"/>
      <c r="E305" s="4" t="s">
        <v>60</v>
      </c>
      <c r="F305" s="4" t="s">
        <v>1395</v>
      </c>
      <c r="G305" s="4" t="s">
        <v>58</v>
      </c>
      <c r="H305" s="4" t="s">
        <v>41</v>
      </c>
      <c r="I305" s="4" t="s">
        <v>101</v>
      </c>
      <c r="J305" s="4" t="s">
        <v>60</v>
      </c>
      <c r="K305" s="4" t="s">
        <v>1394</v>
      </c>
      <c r="L305" s="4" t="str">
        <f t="shared" si="4"/>
        <v>Match</v>
      </c>
    </row>
    <row r="306" spans="1:12" ht="15" customHeight="1" x14ac:dyDescent="0.3">
      <c r="A306" s="4" t="s">
        <v>1396</v>
      </c>
      <c r="B306" s="4" t="s">
        <v>1397</v>
      </c>
      <c r="C306" s="4" t="s">
        <v>1398</v>
      </c>
      <c r="D306" s="4" t="s">
        <v>1399</v>
      </c>
      <c r="E306" s="4" t="s">
        <v>106</v>
      </c>
      <c r="F306" s="4" t="s">
        <v>1400</v>
      </c>
      <c r="G306" s="4" t="s">
        <v>40</v>
      </c>
      <c r="H306" s="4" t="s">
        <v>41</v>
      </c>
      <c r="I306" s="4" t="s">
        <v>101</v>
      </c>
      <c r="J306" s="4" t="s">
        <v>106</v>
      </c>
      <c r="K306" s="4" t="s">
        <v>1401</v>
      </c>
      <c r="L306" s="4" t="str">
        <f t="shared" si="4"/>
        <v>Different contact</v>
      </c>
    </row>
    <row r="307" spans="1:12" ht="15" customHeight="1" x14ac:dyDescent="0.3">
      <c r="A307" s="4" t="s">
        <v>1402</v>
      </c>
      <c r="B307" s="4" t="s">
        <v>1403</v>
      </c>
      <c r="C307" s="4" t="s">
        <v>1404</v>
      </c>
      <c r="D307" s="4"/>
      <c r="E307" s="4" t="s">
        <v>27</v>
      </c>
      <c r="F307" s="4" t="s">
        <v>1405</v>
      </c>
      <c r="G307" s="4" t="s">
        <v>361</v>
      </c>
      <c r="H307" s="4" t="s">
        <v>68</v>
      </c>
      <c r="I307" s="4" t="s">
        <v>280</v>
      </c>
      <c r="J307" s="4" t="s">
        <v>394</v>
      </c>
      <c r="K307" s="4" t="s">
        <v>1404</v>
      </c>
      <c r="L307" s="4" t="str">
        <f t="shared" si="4"/>
        <v>Different owner</v>
      </c>
    </row>
    <row r="308" spans="1:12" ht="15" customHeight="1" x14ac:dyDescent="0.3">
      <c r="A308" s="4" t="s">
        <v>1406</v>
      </c>
      <c r="B308" s="4" t="s">
        <v>1407</v>
      </c>
      <c r="C308" s="4" t="s">
        <v>1408</v>
      </c>
      <c r="D308" s="4" t="s">
        <v>1409</v>
      </c>
      <c r="E308" s="4" t="s">
        <v>66</v>
      </c>
      <c r="F308" s="4" t="s">
        <v>1410</v>
      </c>
      <c r="G308" s="4" t="s">
        <v>58</v>
      </c>
      <c r="H308" s="4" t="s">
        <v>41</v>
      </c>
      <c r="I308" s="4" t="s">
        <v>101</v>
      </c>
      <c r="J308" s="4" t="s">
        <v>34</v>
      </c>
      <c r="K308" s="4" t="s">
        <v>1411</v>
      </c>
      <c r="L308" s="4" t="str">
        <f t="shared" si="4"/>
        <v>Different owner &amp; contact</v>
      </c>
    </row>
    <row r="309" spans="1:12" ht="15" customHeight="1" x14ac:dyDescent="0.3">
      <c r="A309" s="4" t="s">
        <v>1412</v>
      </c>
      <c r="B309" s="4" t="s">
        <v>1407</v>
      </c>
      <c r="C309" s="4"/>
      <c r="D309" s="4" t="s">
        <v>1413</v>
      </c>
      <c r="E309" s="4" t="s">
        <v>34</v>
      </c>
      <c r="F309" s="4" t="s">
        <v>1410</v>
      </c>
      <c r="G309" s="4" t="s">
        <v>58</v>
      </c>
      <c r="H309" s="4" t="s">
        <v>41</v>
      </c>
      <c r="I309" s="4" t="s">
        <v>101</v>
      </c>
      <c r="J309" s="4" t="s">
        <v>34</v>
      </c>
      <c r="K309" s="4" t="s">
        <v>1411</v>
      </c>
      <c r="L309" s="4" t="str">
        <f t="shared" si="4"/>
        <v>Different contact</v>
      </c>
    </row>
    <row r="310" spans="1:12" ht="15" customHeight="1" x14ac:dyDescent="0.3">
      <c r="A310" s="4" t="s">
        <v>1414</v>
      </c>
      <c r="B310" s="4" t="s">
        <v>1415</v>
      </c>
      <c r="C310" s="4"/>
      <c r="D310" s="4"/>
      <c r="E310" s="4" t="s">
        <v>34</v>
      </c>
      <c r="F310" s="4" t="s">
        <v>1416</v>
      </c>
      <c r="G310" s="4" t="s">
        <v>58</v>
      </c>
      <c r="H310" s="4" t="s">
        <v>68</v>
      </c>
      <c r="I310" s="4" t="s">
        <v>538</v>
      </c>
      <c r="J310" s="4" t="s">
        <v>32</v>
      </c>
      <c r="K310" s="4" t="s">
        <v>1417</v>
      </c>
      <c r="L310" s="4" t="str">
        <f t="shared" si="4"/>
        <v>Different owner &amp; contact</v>
      </c>
    </row>
    <row r="311" spans="1:12" ht="15" customHeight="1" x14ac:dyDescent="0.3">
      <c r="A311" s="4" t="s">
        <v>1418</v>
      </c>
      <c r="B311" s="4" t="s">
        <v>1419</v>
      </c>
      <c r="C311" s="4" t="s">
        <v>1420</v>
      </c>
      <c r="D311" s="4" t="s">
        <v>1421</v>
      </c>
      <c r="E311" s="4" t="s">
        <v>91</v>
      </c>
      <c r="F311" s="4" t="s">
        <v>1422</v>
      </c>
      <c r="G311" s="4" t="s">
        <v>29</v>
      </c>
      <c r="H311" s="4" t="s">
        <v>41</v>
      </c>
      <c r="I311" s="4" t="s">
        <v>101</v>
      </c>
      <c r="J311" s="4" t="s">
        <v>32</v>
      </c>
      <c r="K311" s="4" t="s">
        <v>1420</v>
      </c>
      <c r="L311" s="4" t="str">
        <f t="shared" si="4"/>
        <v>Different owner</v>
      </c>
    </row>
    <row r="312" spans="1:12" ht="15" customHeight="1" x14ac:dyDescent="0.3">
      <c r="A312" s="4" t="s">
        <v>1423</v>
      </c>
      <c r="B312" s="4" t="s">
        <v>1424</v>
      </c>
      <c r="C312" s="4" t="s">
        <v>1425</v>
      </c>
      <c r="D312" s="4" t="s">
        <v>1426</v>
      </c>
      <c r="E312" s="4" t="s">
        <v>91</v>
      </c>
      <c r="F312" s="4" t="s">
        <v>1427</v>
      </c>
      <c r="G312" s="4" t="s">
        <v>58</v>
      </c>
      <c r="H312" s="4" t="s">
        <v>50</v>
      </c>
      <c r="I312" s="4" t="s">
        <v>196</v>
      </c>
      <c r="J312" s="4" t="s">
        <v>94</v>
      </c>
      <c r="K312" s="4" t="s">
        <v>1428</v>
      </c>
      <c r="L312" s="4" t="str">
        <f t="shared" si="4"/>
        <v>Different owner &amp; contact</v>
      </c>
    </row>
    <row r="313" spans="1:12" ht="15" customHeight="1" x14ac:dyDescent="0.3">
      <c r="A313" s="4" t="s">
        <v>1429</v>
      </c>
      <c r="B313" s="4" t="s">
        <v>1424</v>
      </c>
      <c r="C313" s="4"/>
      <c r="D313" s="4" t="s">
        <v>1430</v>
      </c>
      <c r="E313" s="4" t="s">
        <v>385</v>
      </c>
      <c r="F313" s="4" t="s">
        <v>1427</v>
      </c>
      <c r="G313" s="4" t="s">
        <v>58</v>
      </c>
      <c r="H313" s="4" t="s">
        <v>50</v>
      </c>
      <c r="I313" s="4" t="s">
        <v>196</v>
      </c>
      <c r="J313" s="4" t="s">
        <v>94</v>
      </c>
      <c r="K313" s="4" t="s">
        <v>1428</v>
      </c>
      <c r="L313" s="4" t="str">
        <f t="shared" si="4"/>
        <v>Different owner &amp; contact</v>
      </c>
    </row>
    <row r="314" spans="1:12" ht="15" customHeight="1" x14ac:dyDescent="0.3">
      <c r="A314" s="4" t="s">
        <v>1431</v>
      </c>
      <c r="B314" s="4" t="s">
        <v>1432</v>
      </c>
      <c r="C314" s="4" t="s">
        <v>1433</v>
      </c>
      <c r="D314" s="4"/>
      <c r="E314" s="4" t="s">
        <v>66</v>
      </c>
      <c r="F314" s="4" t="s">
        <v>1434</v>
      </c>
      <c r="G314" s="4" t="s">
        <v>40</v>
      </c>
      <c r="H314" s="4" t="s">
        <v>68</v>
      </c>
      <c r="I314" s="4" t="s">
        <v>1435</v>
      </c>
      <c r="J314" s="4" t="s">
        <v>102</v>
      </c>
      <c r="K314" s="4" t="s">
        <v>1433</v>
      </c>
      <c r="L314" s="4" t="str">
        <f t="shared" si="4"/>
        <v>Different owner</v>
      </c>
    </row>
    <row r="315" spans="1:12" ht="15" customHeight="1" x14ac:dyDescent="0.3">
      <c r="A315" s="4" t="s">
        <v>1436</v>
      </c>
      <c r="B315" s="4" t="s">
        <v>1437</v>
      </c>
      <c r="C315" s="4" t="s">
        <v>1438</v>
      </c>
      <c r="D315" s="4"/>
      <c r="E315" s="4" t="s">
        <v>106</v>
      </c>
      <c r="F315" s="4" t="s">
        <v>1439</v>
      </c>
      <c r="G315" s="4" t="s">
        <v>40</v>
      </c>
      <c r="H315" s="4" t="s">
        <v>68</v>
      </c>
      <c r="I315" s="4" t="s">
        <v>1435</v>
      </c>
      <c r="J315" s="4" t="s">
        <v>106</v>
      </c>
      <c r="K315" s="4" t="s">
        <v>1440</v>
      </c>
      <c r="L315" s="4" t="str">
        <f t="shared" si="4"/>
        <v>Different contact</v>
      </c>
    </row>
    <row r="316" spans="1:12" ht="15" customHeight="1" x14ac:dyDescent="0.3">
      <c r="A316" s="4" t="s">
        <v>1441</v>
      </c>
      <c r="B316" s="4" t="s">
        <v>1437</v>
      </c>
      <c r="C316" s="4"/>
      <c r="D316" s="4"/>
      <c r="E316" s="4" t="s">
        <v>385</v>
      </c>
      <c r="F316" s="4" t="s">
        <v>1439</v>
      </c>
      <c r="G316" s="4" t="s">
        <v>40</v>
      </c>
      <c r="H316" s="4" t="s">
        <v>68</v>
      </c>
      <c r="I316" s="4" t="s">
        <v>1435</v>
      </c>
      <c r="J316" s="4" t="s">
        <v>106</v>
      </c>
      <c r="K316" s="4" t="s">
        <v>1440</v>
      </c>
      <c r="L316" s="4" t="str">
        <f t="shared" si="4"/>
        <v>Different owner &amp; contact</v>
      </c>
    </row>
    <row r="317" spans="1:12" ht="15" customHeight="1" x14ac:dyDescent="0.3">
      <c r="A317" s="4" t="s">
        <v>1442</v>
      </c>
      <c r="B317" s="4" t="s">
        <v>1443</v>
      </c>
      <c r="C317" s="4" t="s">
        <v>1444</v>
      </c>
      <c r="D317" s="4" t="s">
        <v>1445</v>
      </c>
      <c r="E317" s="4" t="s">
        <v>106</v>
      </c>
      <c r="F317" s="4" t="s">
        <v>1446</v>
      </c>
      <c r="G317" s="4" t="s">
        <v>130</v>
      </c>
      <c r="H317" s="4" t="s">
        <v>50</v>
      </c>
      <c r="I317" s="4" t="s">
        <v>1447</v>
      </c>
      <c r="J317" s="4" t="s">
        <v>114</v>
      </c>
      <c r="K317" s="4" t="s">
        <v>1444</v>
      </c>
      <c r="L317" s="4" t="str">
        <f t="shared" si="4"/>
        <v>Different owner</v>
      </c>
    </row>
    <row r="318" spans="1:12" ht="15" customHeight="1" x14ac:dyDescent="0.3">
      <c r="A318" s="4" t="s">
        <v>1448</v>
      </c>
      <c r="B318" s="4" t="s">
        <v>1449</v>
      </c>
      <c r="C318" s="4" t="s">
        <v>1450</v>
      </c>
      <c r="D318" s="4" t="s">
        <v>1451</v>
      </c>
      <c r="E318" s="4" t="s">
        <v>91</v>
      </c>
      <c r="F318" s="4" t="s">
        <v>1452</v>
      </c>
      <c r="G318" s="4" t="s">
        <v>29</v>
      </c>
      <c r="H318" s="4" t="s">
        <v>41</v>
      </c>
      <c r="I318" s="4" t="s">
        <v>85</v>
      </c>
      <c r="J318" s="4" t="s">
        <v>94</v>
      </c>
      <c r="K318" s="4" t="s">
        <v>1453</v>
      </c>
      <c r="L318" s="4" t="str">
        <f t="shared" si="4"/>
        <v>Different owner &amp; contact</v>
      </c>
    </row>
    <row r="319" spans="1:12" ht="15" customHeight="1" x14ac:dyDescent="0.3">
      <c r="A319" s="4" t="s">
        <v>1454</v>
      </c>
      <c r="B319" s="4" t="s">
        <v>1449</v>
      </c>
      <c r="C319" s="4" t="s">
        <v>1455</v>
      </c>
      <c r="D319" s="4" t="s">
        <v>1456</v>
      </c>
      <c r="E319" s="4" t="s">
        <v>91</v>
      </c>
      <c r="F319" s="4" t="s">
        <v>1452</v>
      </c>
      <c r="G319" s="4" t="s">
        <v>29</v>
      </c>
      <c r="H319" s="4" t="s">
        <v>41</v>
      </c>
      <c r="I319" s="4" t="s">
        <v>85</v>
      </c>
      <c r="J319" s="4" t="s">
        <v>94</v>
      </c>
      <c r="K319" s="4" t="s">
        <v>1453</v>
      </c>
      <c r="L319" s="4" t="str">
        <f t="shared" si="4"/>
        <v>Different owner &amp; contact</v>
      </c>
    </row>
    <row r="320" spans="1:12" ht="15" customHeight="1" x14ac:dyDescent="0.3">
      <c r="A320" s="4" t="s">
        <v>1457</v>
      </c>
      <c r="B320" s="4" t="s">
        <v>1458</v>
      </c>
      <c r="C320" s="4" t="s">
        <v>1459</v>
      </c>
      <c r="D320" s="4"/>
      <c r="E320" s="4" t="s">
        <v>91</v>
      </c>
      <c r="F320" s="4" t="s">
        <v>1460</v>
      </c>
      <c r="G320" s="4" t="s">
        <v>138</v>
      </c>
      <c r="H320" s="4" t="s">
        <v>41</v>
      </c>
      <c r="I320" s="4" t="s">
        <v>85</v>
      </c>
      <c r="J320" s="4" t="s">
        <v>102</v>
      </c>
      <c r="K320" s="4" t="s">
        <v>1461</v>
      </c>
      <c r="L320" s="4" t="str">
        <f t="shared" si="4"/>
        <v>Different owner &amp; contact</v>
      </c>
    </row>
    <row r="321" spans="1:12" ht="15" customHeight="1" x14ac:dyDescent="0.3">
      <c r="A321" s="4" t="s">
        <v>1462</v>
      </c>
      <c r="B321" s="4" t="s">
        <v>1463</v>
      </c>
      <c r="C321" s="4" t="s">
        <v>1464</v>
      </c>
      <c r="D321" s="4" t="s">
        <v>1465</v>
      </c>
      <c r="E321" s="4" t="s">
        <v>56</v>
      </c>
      <c r="F321" s="4" t="s">
        <v>1466</v>
      </c>
      <c r="G321" s="4" t="s">
        <v>49</v>
      </c>
      <c r="H321" s="4" t="s">
        <v>41</v>
      </c>
      <c r="I321" s="4" t="s">
        <v>995</v>
      </c>
      <c r="J321" s="4" t="s">
        <v>94</v>
      </c>
      <c r="K321" s="4" t="s">
        <v>1467</v>
      </c>
      <c r="L321" s="4" t="str">
        <f t="shared" si="4"/>
        <v>Different owner &amp; contact</v>
      </c>
    </row>
    <row r="322" spans="1:12" ht="15" customHeight="1" x14ac:dyDescent="0.3">
      <c r="A322" s="4" t="s">
        <v>1468</v>
      </c>
      <c r="B322" s="4" t="s">
        <v>1469</v>
      </c>
      <c r="C322" s="4" t="s">
        <v>1470</v>
      </c>
      <c r="D322" s="4" t="s">
        <v>1471</v>
      </c>
      <c r="E322" s="4" t="s">
        <v>52</v>
      </c>
      <c r="F322" s="4" t="s">
        <v>1472</v>
      </c>
      <c r="G322" s="4" t="s">
        <v>293</v>
      </c>
      <c r="H322" s="4" t="s">
        <v>41</v>
      </c>
      <c r="I322" s="4" t="s">
        <v>228</v>
      </c>
      <c r="J322" s="4" t="s">
        <v>32</v>
      </c>
      <c r="K322" s="4" t="s">
        <v>1473</v>
      </c>
      <c r="L322" s="4" t="str">
        <f t="shared" ref="L322:L385" si="5">IF(AND(TRIM(LOWER(E322))=TRIM(LOWER(J322)),TRIM(LOWER(C322))=TRIM(LOWER(K322))),"Match",IF(AND(NOT(TRIM(LOWER(E322))=TRIM(LOWER(J322))),TRIM(LOWER(C322))=TRIM(LOWER(K322))),"Different owner",IF(AND(TRIM(LOWER(E322))=TRIM(LOWER(J322)),NOT(TRIM(LOWER(C322))=TRIM(LOWER(K322)))),"Different contact","Different owner &amp; contact")))</f>
        <v>Different owner &amp; contact</v>
      </c>
    </row>
    <row r="323" spans="1:12" ht="15" customHeight="1" x14ac:dyDescent="0.3">
      <c r="A323" s="4" t="s">
        <v>1474</v>
      </c>
      <c r="B323" s="4" t="s">
        <v>1475</v>
      </c>
      <c r="C323" s="4" t="s">
        <v>1476</v>
      </c>
      <c r="D323" s="4"/>
      <c r="E323" s="4" t="s">
        <v>27</v>
      </c>
      <c r="F323" s="4" t="s">
        <v>1477</v>
      </c>
      <c r="G323" s="4" t="s">
        <v>521</v>
      </c>
      <c r="H323" s="4" t="s">
        <v>1270</v>
      </c>
      <c r="I323" s="4" t="s">
        <v>672</v>
      </c>
      <c r="J323" s="4" t="s">
        <v>114</v>
      </c>
      <c r="K323" s="4" t="s">
        <v>1478</v>
      </c>
      <c r="L323" s="4" t="str">
        <f t="shared" si="5"/>
        <v>Different owner &amp; contact</v>
      </c>
    </row>
    <row r="324" spans="1:12" ht="15" customHeight="1" x14ac:dyDescent="0.3">
      <c r="A324" s="4" t="s">
        <v>1479</v>
      </c>
      <c r="B324" s="4" t="s">
        <v>1475</v>
      </c>
      <c r="C324" s="4" t="s">
        <v>1478</v>
      </c>
      <c r="D324" s="4" t="s">
        <v>1480</v>
      </c>
      <c r="E324" s="4" t="s">
        <v>27</v>
      </c>
      <c r="F324" s="4" t="s">
        <v>1477</v>
      </c>
      <c r="G324" s="4" t="s">
        <v>521</v>
      </c>
      <c r="H324" s="4" t="s">
        <v>1270</v>
      </c>
      <c r="I324" s="4" t="s">
        <v>672</v>
      </c>
      <c r="J324" s="4" t="s">
        <v>114</v>
      </c>
      <c r="K324" s="4" t="s">
        <v>1478</v>
      </c>
      <c r="L324" s="4" t="str">
        <f t="shared" si="5"/>
        <v>Different owner</v>
      </c>
    </row>
    <row r="325" spans="1:12" ht="15" customHeight="1" x14ac:dyDescent="0.3">
      <c r="A325" s="4" t="s">
        <v>1481</v>
      </c>
      <c r="B325" s="4" t="s">
        <v>1482</v>
      </c>
      <c r="C325" s="4" t="s">
        <v>1483</v>
      </c>
      <c r="D325" s="4"/>
      <c r="E325" s="4" t="s">
        <v>34</v>
      </c>
      <c r="F325" s="4" t="s">
        <v>1484</v>
      </c>
      <c r="G325" s="4" t="s">
        <v>49</v>
      </c>
      <c r="H325" s="4" t="s">
        <v>41</v>
      </c>
      <c r="I325" s="4" t="s">
        <v>42</v>
      </c>
      <c r="J325" s="4" t="s">
        <v>34</v>
      </c>
      <c r="K325" s="4"/>
      <c r="L325" s="4" t="str">
        <f t="shared" si="5"/>
        <v>Different contact</v>
      </c>
    </row>
    <row r="326" spans="1:12" ht="15" customHeight="1" x14ac:dyDescent="0.3">
      <c r="A326" s="4" t="s">
        <v>1485</v>
      </c>
      <c r="B326" s="4" t="s">
        <v>1486</v>
      </c>
      <c r="C326" s="4" t="s">
        <v>1487</v>
      </c>
      <c r="D326" s="4"/>
      <c r="E326" s="4" t="s">
        <v>27</v>
      </c>
      <c r="F326" s="4" t="s">
        <v>1488</v>
      </c>
      <c r="G326" s="4" t="s">
        <v>49</v>
      </c>
      <c r="H326" s="4" t="s">
        <v>68</v>
      </c>
      <c r="I326" s="4" t="s">
        <v>1489</v>
      </c>
      <c r="J326" s="4" t="s">
        <v>32</v>
      </c>
      <c r="K326" s="4" t="s">
        <v>1487</v>
      </c>
      <c r="L326" s="4" t="str">
        <f t="shared" si="5"/>
        <v>Different owner</v>
      </c>
    </row>
    <row r="327" spans="1:12" ht="15" customHeight="1" x14ac:dyDescent="0.3">
      <c r="A327" s="4" t="s">
        <v>1490</v>
      </c>
      <c r="B327" s="4" t="s">
        <v>1491</v>
      </c>
      <c r="C327" s="4" t="s">
        <v>1492</v>
      </c>
      <c r="D327" s="4" t="s">
        <v>1493</v>
      </c>
      <c r="E327" s="4" t="s">
        <v>91</v>
      </c>
      <c r="F327" s="4" t="s">
        <v>1494</v>
      </c>
      <c r="G327" s="4" t="s">
        <v>84</v>
      </c>
      <c r="H327" s="4" t="s">
        <v>68</v>
      </c>
      <c r="I327" s="4" t="s">
        <v>538</v>
      </c>
      <c r="J327" s="4" t="s">
        <v>102</v>
      </c>
      <c r="K327" s="4" t="s">
        <v>1495</v>
      </c>
      <c r="L327" s="4" t="str">
        <f t="shared" si="5"/>
        <v>Different owner &amp; contact</v>
      </c>
    </row>
    <row r="328" spans="1:12" ht="15" customHeight="1" x14ac:dyDescent="0.3">
      <c r="A328" s="4" t="s">
        <v>1496</v>
      </c>
      <c r="B328" s="4" t="s">
        <v>1497</v>
      </c>
      <c r="C328" s="4" t="s">
        <v>1498</v>
      </c>
      <c r="D328" s="4" t="s">
        <v>1499</v>
      </c>
      <c r="E328" s="4" t="s">
        <v>106</v>
      </c>
      <c r="F328" s="4" t="s">
        <v>1500</v>
      </c>
      <c r="G328" s="4" t="s">
        <v>124</v>
      </c>
      <c r="H328" s="4" t="s">
        <v>41</v>
      </c>
      <c r="I328" s="4" t="s">
        <v>638</v>
      </c>
      <c r="J328" s="4" t="s">
        <v>106</v>
      </c>
      <c r="K328" s="4" t="s">
        <v>1501</v>
      </c>
      <c r="L328" s="4" t="str">
        <f t="shared" si="5"/>
        <v>Different contact</v>
      </c>
    </row>
    <row r="329" spans="1:12" ht="15" customHeight="1" x14ac:dyDescent="0.3">
      <c r="A329" s="4" t="s">
        <v>1502</v>
      </c>
      <c r="B329" s="4" t="s">
        <v>1503</v>
      </c>
      <c r="C329" s="4" t="s">
        <v>1504</v>
      </c>
      <c r="D329" s="4"/>
      <c r="E329" s="4" t="s">
        <v>106</v>
      </c>
      <c r="F329" s="4" t="s">
        <v>1505</v>
      </c>
      <c r="G329" s="4" t="s">
        <v>40</v>
      </c>
      <c r="H329" s="4" t="s">
        <v>41</v>
      </c>
      <c r="I329" s="4" t="s">
        <v>638</v>
      </c>
      <c r="J329" s="4" t="s">
        <v>106</v>
      </c>
      <c r="K329" s="4" t="s">
        <v>1506</v>
      </c>
      <c r="L329" s="4" t="str">
        <f t="shared" si="5"/>
        <v>Different contact</v>
      </c>
    </row>
    <row r="330" spans="1:12" ht="15" customHeight="1" x14ac:dyDescent="0.3">
      <c r="A330" s="4" t="s">
        <v>1507</v>
      </c>
      <c r="B330" s="4" t="s">
        <v>1508</v>
      </c>
      <c r="C330" s="4" t="s">
        <v>1509</v>
      </c>
      <c r="D330" s="4" t="s">
        <v>1510</v>
      </c>
      <c r="E330" s="4" t="s">
        <v>91</v>
      </c>
      <c r="F330" s="4" t="s">
        <v>1511</v>
      </c>
      <c r="G330" s="4" t="s">
        <v>361</v>
      </c>
      <c r="H330" s="4" t="s">
        <v>41</v>
      </c>
      <c r="I330" s="4" t="s">
        <v>131</v>
      </c>
      <c r="J330" s="4" t="s">
        <v>94</v>
      </c>
      <c r="K330" s="4" t="s">
        <v>1509</v>
      </c>
      <c r="L330" s="4" t="str">
        <f t="shared" si="5"/>
        <v>Different owner</v>
      </c>
    </row>
    <row r="331" spans="1:12" ht="15" customHeight="1" x14ac:dyDescent="0.3">
      <c r="A331" s="4" t="s">
        <v>1512</v>
      </c>
      <c r="B331" s="4" t="s">
        <v>1513</v>
      </c>
      <c r="C331" s="4"/>
      <c r="D331" s="4"/>
      <c r="E331" s="4" t="s">
        <v>34</v>
      </c>
      <c r="F331" s="4" t="s">
        <v>1514</v>
      </c>
      <c r="G331" s="4" t="s">
        <v>124</v>
      </c>
      <c r="H331" s="4" t="s">
        <v>68</v>
      </c>
      <c r="I331" s="4" t="s">
        <v>93</v>
      </c>
      <c r="J331" s="4" t="s">
        <v>102</v>
      </c>
      <c r="K331" s="4" t="s">
        <v>1515</v>
      </c>
      <c r="L331" s="4" t="str">
        <f t="shared" si="5"/>
        <v>Different owner &amp; contact</v>
      </c>
    </row>
    <row r="332" spans="1:12" ht="15" customHeight="1" x14ac:dyDescent="0.3">
      <c r="A332" s="4" t="s">
        <v>1512</v>
      </c>
      <c r="B332" s="4" t="s">
        <v>1513</v>
      </c>
      <c r="C332" s="4"/>
      <c r="D332" s="4" t="s">
        <v>1516</v>
      </c>
      <c r="E332" s="4" t="s">
        <v>34</v>
      </c>
      <c r="F332" s="4" t="s">
        <v>1514</v>
      </c>
      <c r="G332" s="4" t="s">
        <v>124</v>
      </c>
      <c r="H332" s="4" t="s">
        <v>68</v>
      </c>
      <c r="I332" s="4" t="s">
        <v>93</v>
      </c>
      <c r="J332" s="4" t="s">
        <v>102</v>
      </c>
      <c r="K332" s="4" t="s">
        <v>1515</v>
      </c>
      <c r="L332" s="4" t="str">
        <f t="shared" si="5"/>
        <v>Different owner &amp; contact</v>
      </c>
    </row>
    <row r="333" spans="1:12" ht="15" customHeight="1" x14ac:dyDescent="0.3">
      <c r="A333" s="4" t="s">
        <v>1517</v>
      </c>
      <c r="B333" s="4" t="s">
        <v>1513</v>
      </c>
      <c r="C333" s="4"/>
      <c r="D333" s="4"/>
      <c r="E333" s="4" t="s">
        <v>34</v>
      </c>
      <c r="F333" s="4" t="s">
        <v>1514</v>
      </c>
      <c r="G333" s="4" t="s">
        <v>124</v>
      </c>
      <c r="H333" s="4" t="s">
        <v>68</v>
      </c>
      <c r="I333" s="4" t="s">
        <v>93</v>
      </c>
      <c r="J333" s="4" t="s">
        <v>102</v>
      </c>
      <c r="K333" s="4" t="s">
        <v>1515</v>
      </c>
      <c r="L333" s="4" t="str">
        <f t="shared" si="5"/>
        <v>Different owner &amp; contact</v>
      </c>
    </row>
    <row r="334" spans="1:12" ht="15" customHeight="1" x14ac:dyDescent="0.3">
      <c r="A334" s="4" t="s">
        <v>1518</v>
      </c>
      <c r="B334" s="4" t="s">
        <v>1513</v>
      </c>
      <c r="C334" s="4" t="s">
        <v>1519</v>
      </c>
      <c r="D334" s="4" t="s">
        <v>1520</v>
      </c>
      <c r="E334" s="4" t="s">
        <v>27</v>
      </c>
      <c r="F334" s="4" t="s">
        <v>1514</v>
      </c>
      <c r="G334" s="4" t="s">
        <v>124</v>
      </c>
      <c r="H334" s="4" t="s">
        <v>68</v>
      </c>
      <c r="I334" s="4" t="s">
        <v>93</v>
      </c>
      <c r="J334" s="4" t="s">
        <v>102</v>
      </c>
      <c r="K334" s="4" t="s">
        <v>1515</v>
      </c>
      <c r="L334" s="4" t="str">
        <f t="shared" si="5"/>
        <v>Different owner &amp; contact</v>
      </c>
    </row>
    <row r="335" spans="1:12" ht="15" customHeight="1" x14ac:dyDescent="0.3">
      <c r="A335" s="4" t="s">
        <v>1521</v>
      </c>
      <c r="B335" s="4" t="s">
        <v>1522</v>
      </c>
      <c r="C335" s="4" t="s">
        <v>1523</v>
      </c>
      <c r="D335" s="4" t="s">
        <v>1524</v>
      </c>
      <c r="E335" s="4" t="s">
        <v>52</v>
      </c>
      <c r="F335" s="4" t="s">
        <v>1525</v>
      </c>
      <c r="G335" s="4" t="s">
        <v>138</v>
      </c>
      <c r="H335" s="4" t="s">
        <v>41</v>
      </c>
      <c r="I335" s="4" t="s">
        <v>149</v>
      </c>
      <c r="J335" s="4" t="s">
        <v>34</v>
      </c>
      <c r="K335" s="4" t="s">
        <v>1523</v>
      </c>
      <c r="L335" s="4" t="str">
        <f t="shared" si="5"/>
        <v>Different owner</v>
      </c>
    </row>
    <row r="336" spans="1:12" ht="15" customHeight="1" x14ac:dyDescent="0.3">
      <c r="A336" s="4" t="s">
        <v>1526</v>
      </c>
      <c r="B336" s="4" t="s">
        <v>1522</v>
      </c>
      <c r="C336" s="4"/>
      <c r="D336" s="4"/>
      <c r="E336" s="4" t="s">
        <v>34</v>
      </c>
      <c r="F336" s="4" t="s">
        <v>1525</v>
      </c>
      <c r="G336" s="4" t="s">
        <v>138</v>
      </c>
      <c r="H336" s="4" t="s">
        <v>41</v>
      </c>
      <c r="I336" s="4" t="s">
        <v>149</v>
      </c>
      <c r="J336" s="4" t="s">
        <v>34</v>
      </c>
      <c r="K336" s="4" t="s">
        <v>1523</v>
      </c>
      <c r="L336" s="4" t="str">
        <f t="shared" si="5"/>
        <v>Different contact</v>
      </c>
    </row>
    <row r="337" spans="1:12" ht="15" customHeight="1" x14ac:dyDescent="0.3">
      <c r="A337" s="4" t="s">
        <v>1527</v>
      </c>
      <c r="B337" s="4" t="s">
        <v>1528</v>
      </c>
      <c r="C337" s="4" t="s">
        <v>1529</v>
      </c>
      <c r="D337" s="4" t="s">
        <v>1530</v>
      </c>
      <c r="E337" s="4" t="s">
        <v>34</v>
      </c>
      <c r="F337" s="4" t="s">
        <v>1531</v>
      </c>
      <c r="G337" s="4" t="s">
        <v>209</v>
      </c>
      <c r="H337" s="4" t="s">
        <v>1106</v>
      </c>
      <c r="I337" s="4" t="s">
        <v>42</v>
      </c>
      <c r="J337" s="4" t="s">
        <v>34</v>
      </c>
      <c r="K337" s="4" t="s">
        <v>1532</v>
      </c>
      <c r="L337" s="4" t="str">
        <f t="shared" si="5"/>
        <v>Different contact</v>
      </c>
    </row>
    <row r="338" spans="1:12" ht="15" customHeight="1" x14ac:dyDescent="0.3">
      <c r="A338" s="4" t="s">
        <v>374</v>
      </c>
      <c r="B338" s="4" t="s">
        <v>1528</v>
      </c>
      <c r="C338" s="4"/>
      <c r="D338" s="4"/>
      <c r="E338" s="4" t="s">
        <v>34</v>
      </c>
      <c r="F338" s="4" t="s">
        <v>1531</v>
      </c>
      <c r="G338" s="4" t="s">
        <v>209</v>
      </c>
      <c r="H338" s="4" t="s">
        <v>1106</v>
      </c>
      <c r="I338" s="4" t="s">
        <v>42</v>
      </c>
      <c r="J338" s="4" t="s">
        <v>34</v>
      </c>
      <c r="K338" s="4" t="s">
        <v>1532</v>
      </c>
      <c r="L338" s="4" t="str">
        <f t="shared" si="5"/>
        <v>Different contact</v>
      </c>
    </row>
    <row r="339" spans="1:12" ht="15" customHeight="1" x14ac:dyDescent="0.3">
      <c r="A339" s="4" t="s">
        <v>1533</v>
      </c>
      <c r="B339" s="4" t="s">
        <v>1534</v>
      </c>
      <c r="C339" s="4" t="s">
        <v>1535</v>
      </c>
      <c r="D339" s="4"/>
      <c r="E339" s="4" t="s">
        <v>91</v>
      </c>
      <c r="F339" s="4" t="s">
        <v>1536</v>
      </c>
      <c r="G339" s="4" t="s">
        <v>29</v>
      </c>
      <c r="H339" s="4" t="s">
        <v>41</v>
      </c>
      <c r="I339" s="4" t="s">
        <v>210</v>
      </c>
      <c r="J339" s="4" t="s">
        <v>32</v>
      </c>
      <c r="K339" s="4" t="s">
        <v>1535</v>
      </c>
      <c r="L339" s="4" t="str">
        <f t="shared" si="5"/>
        <v>Different owner</v>
      </c>
    </row>
    <row r="340" spans="1:12" ht="15" customHeight="1" x14ac:dyDescent="0.3">
      <c r="A340" s="4" t="s">
        <v>1537</v>
      </c>
      <c r="B340" s="4" t="s">
        <v>1538</v>
      </c>
      <c r="C340" s="4" t="s">
        <v>1539</v>
      </c>
      <c r="D340" s="4"/>
      <c r="E340" s="4" t="s">
        <v>66</v>
      </c>
      <c r="F340" s="4" t="s">
        <v>1540</v>
      </c>
      <c r="G340" s="4" t="s">
        <v>58</v>
      </c>
      <c r="H340" s="4" t="s">
        <v>41</v>
      </c>
      <c r="I340" s="4" t="s">
        <v>131</v>
      </c>
      <c r="J340" s="4" t="s">
        <v>66</v>
      </c>
      <c r="K340" s="4" t="s">
        <v>1541</v>
      </c>
      <c r="L340" s="4" t="str">
        <f t="shared" si="5"/>
        <v>Different contact</v>
      </c>
    </row>
    <row r="341" spans="1:12" ht="15" customHeight="1" x14ac:dyDescent="0.3">
      <c r="A341" s="4" t="s">
        <v>1542</v>
      </c>
      <c r="B341" s="4" t="s">
        <v>1538</v>
      </c>
      <c r="C341" s="4" t="s">
        <v>1543</v>
      </c>
      <c r="D341" s="4" t="s">
        <v>1544</v>
      </c>
      <c r="E341" s="4" t="s">
        <v>66</v>
      </c>
      <c r="F341" s="4" t="s">
        <v>1540</v>
      </c>
      <c r="G341" s="4" t="s">
        <v>58</v>
      </c>
      <c r="H341" s="4" t="s">
        <v>41</v>
      </c>
      <c r="I341" s="4" t="s">
        <v>131</v>
      </c>
      <c r="J341" s="4" t="s">
        <v>66</v>
      </c>
      <c r="K341" s="4" t="s">
        <v>1541</v>
      </c>
      <c r="L341" s="4" t="str">
        <f t="shared" si="5"/>
        <v>Different contact</v>
      </c>
    </row>
    <row r="342" spans="1:12" ht="15" customHeight="1" x14ac:dyDescent="0.3">
      <c r="A342" s="4" t="s">
        <v>1545</v>
      </c>
      <c r="B342" s="4" t="s">
        <v>1546</v>
      </c>
      <c r="C342" s="4" t="s">
        <v>1547</v>
      </c>
      <c r="D342" s="4"/>
      <c r="E342" s="4" t="s">
        <v>66</v>
      </c>
      <c r="F342" s="4" t="s">
        <v>1548</v>
      </c>
      <c r="G342" s="4" t="s">
        <v>58</v>
      </c>
      <c r="H342" s="4" t="s">
        <v>174</v>
      </c>
      <c r="I342" s="4" t="s">
        <v>175</v>
      </c>
      <c r="J342" s="4" t="s">
        <v>66</v>
      </c>
      <c r="K342" s="4" t="s">
        <v>1547</v>
      </c>
      <c r="L342" s="4" t="str">
        <f t="shared" si="5"/>
        <v>Match</v>
      </c>
    </row>
    <row r="343" spans="1:12" ht="15" customHeight="1" x14ac:dyDescent="0.3">
      <c r="A343" s="4" t="s">
        <v>1549</v>
      </c>
      <c r="B343" s="4" t="s">
        <v>1546</v>
      </c>
      <c r="C343" s="4" t="s">
        <v>1550</v>
      </c>
      <c r="D343" s="4" t="s">
        <v>1551</v>
      </c>
      <c r="E343" s="4" t="s">
        <v>66</v>
      </c>
      <c r="F343" s="4" t="s">
        <v>1548</v>
      </c>
      <c r="G343" s="4" t="s">
        <v>58</v>
      </c>
      <c r="H343" s="4" t="s">
        <v>174</v>
      </c>
      <c r="I343" s="4" t="s">
        <v>175</v>
      </c>
      <c r="J343" s="4" t="s">
        <v>66</v>
      </c>
      <c r="K343" s="4" t="s">
        <v>1547</v>
      </c>
      <c r="L343" s="4" t="str">
        <f t="shared" si="5"/>
        <v>Different contact</v>
      </c>
    </row>
    <row r="344" spans="1:12" ht="15" customHeight="1" x14ac:dyDescent="0.3">
      <c r="A344" s="4" t="s">
        <v>1552</v>
      </c>
      <c r="B344" s="4" t="s">
        <v>1553</v>
      </c>
      <c r="C344" s="4" t="s">
        <v>1554</v>
      </c>
      <c r="D344" s="4" t="s">
        <v>1555</v>
      </c>
      <c r="E344" s="4" t="s">
        <v>91</v>
      </c>
      <c r="F344" s="4" t="s">
        <v>1556</v>
      </c>
      <c r="G344" s="4" t="s">
        <v>40</v>
      </c>
      <c r="H344" s="4" t="s">
        <v>41</v>
      </c>
      <c r="I344" s="4" t="s">
        <v>149</v>
      </c>
      <c r="J344" s="4" t="s">
        <v>94</v>
      </c>
      <c r="K344" s="4" t="s">
        <v>1557</v>
      </c>
      <c r="L344" s="4" t="str">
        <f t="shared" si="5"/>
        <v>Different owner &amp; contact</v>
      </c>
    </row>
    <row r="345" spans="1:12" ht="15" customHeight="1" x14ac:dyDescent="0.3">
      <c r="A345" s="4" t="s">
        <v>1558</v>
      </c>
      <c r="B345" s="4" t="s">
        <v>1553</v>
      </c>
      <c r="C345" s="4" t="s">
        <v>1557</v>
      </c>
      <c r="D345" s="4"/>
      <c r="E345" s="4" t="s">
        <v>91</v>
      </c>
      <c r="F345" s="4" t="s">
        <v>1556</v>
      </c>
      <c r="G345" s="4" t="s">
        <v>40</v>
      </c>
      <c r="H345" s="4" t="s">
        <v>41</v>
      </c>
      <c r="I345" s="4" t="s">
        <v>149</v>
      </c>
      <c r="J345" s="4" t="s">
        <v>94</v>
      </c>
      <c r="K345" s="4" t="s">
        <v>1557</v>
      </c>
      <c r="L345" s="4" t="str">
        <f t="shared" si="5"/>
        <v>Different owner</v>
      </c>
    </row>
    <row r="346" spans="1:12" ht="15" customHeight="1" x14ac:dyDescent="0.3">
      <c r="A346" s="4" t="s">
        <v>1559</v>
      </c>
      <c r="B346" s="4" t="s">
        <v>1560</v>
      </c>
      <c r="C346" s="4" t="s">
        <v>1561</v>
      </c>
      <c r="D346" s="4" t="s">
        <v>1562</v>
      </c>
      <c r="E346" s="4" t="s">
        <v>52</v>
      </c>
      <c r="F346" s="4" t="s">
        <v>1563</v>
      </c>
      <c r="G346" s="4" t="s">
        <v>58</v>
      </c>
      <c r="H346" s="4" t="s">
        <v>41</v>
      </c>
      <c r="I346" s="4" t="s">
        <v>131</v>
      </c>
      <c r="J346" s="4" t="s">
        <v>32</v>
      </c>
      <c r="K346" s="4" t="s">
        <v>1564</v>
      </c>
      <c r="L346" s="4" t="str">
        <f t="shared" si="5"/>
        <v>Different owner &amp; contact</v>
      </c>
    </row>
    <row r="347" spans="1:12" ht="15" customHeight="1" x14ac:dyDescent="0.3">
      <c r="A347" s="4" t="s">
        <v>1565</v>
      </c>
      <c r="B347" s="4" t="s">
        <v>1566</v>
      </c>
      <c r="C347" s="4" t="s">
        <v>1567</v>
      </c>
      <c r="D347" s="4"/>
      <c r="E347" s="4" t="s">
        <v>56</v>
      </c>
      <c r="F347" s="4" t="s">
        <v>1568</v>
      </c>
      <c r="G347" s="4" t="s">
        <v>29</v>
      </c>
      <c r="H347" s="4" t="s">
        <v>41</v>
      </c>
      <c r="I347" s="4" t="s">
        <v>533</v>
      </c>
      <c r="J347" s="4" t="s">
        <v>34</v>
      </c>
      <c r="K347" s="4" t="s">
        <v>1569</v>
      </c>
      <c r="L347" s="4" t="str">
        <f t="shared" si="5"/>
        <v>Different owner &amp; contact</v>
      </c>
    </row>
    <row r="348" spans="1:12" ht="15" customHeight="1" x14ac:dyDescent="0.3">
      <c r="A348" s="4" t="s">
        <v>1570</v>
      </c>
      <c r="B348" s="4" t="s">
        <v>1571</v>
      </c>
      <c r="C348" s="4" t="s">
        <v>1572</v>
      </c>
      <c r="D348" s="4"/>
      <c r="E348" s="4" t="s">
        <v>343</v>
      </c>
      <c r="F348" s="4" t="s">
        <v>1573</v>
      </c>
      <c r="G348" s="4" t="s">
        <v>58</v>
      </c>
      <c r="H348" s="4" t="s">
        <v>41</v>
      </c>
      <c r="I348" s="4" t="s">
        <v>42</v>
      </c>
      <c r="J348" s="4" t="s">
        <v>52</v>
      </c>
      <c r="K348" s="4" t="s">
        <v>1572</v>
      </c>
      <c r="L348" s="4" t="str">
        <f t="shared" si="5"/>
        <v>Different owner</v>
      </c>
    </row>
    <row r="349" spans="1:12" ht="15" customHeight="1" x14ac:dyDescent="0.3">
      <c r="A349" s="4" t="s">
        <v>1574</v>
      </c>
      <c r="B349" s="4" t="s">
        <v>1575</v>
      </c>
      <c r="C349" s="4" t="s">
        <v>1576</v>
      </c>
      <c r="D349" s="4"/>
      <c r="E349" s="4" t="s">
        <v>343</v>
      </c>
      <c r="F349" s="4" t="s">
        <v>1577</v>
      </c>
      <c r="G349" s="4" t="s">
        <v>58</v>
      </c>
      <c r="H349" s="4" t="s">
        <v>41</v>
      </c>
      <c r="I349" s="4" t="s">
        <v>1578</v>
      </c>
      <c r="J349" s="4" t="s">
        <v>114</v>
      </c>
      <c r="K349" s="4" t="s">
        <v>1576</v>
      </c>
      <c r="L349" s="4" t="str">
        <f t="shared" si="5"/>
        <v>Different owner</v>
      </c>
    </row>
    <row r="350" spans="1:12" ht="15" customHeight="1" x14ac:dyDescent="0.3">
      <c r="A350" s="4" t="s">
        <v>1579</v>
      </c>
      <c r="B350" s="4" t="s">
        <v>1580</v>
      </c>
      <c r="C350" s="4" t="s">
        <v>1581</v>
      </c>
      <c r="D350" s="4"/>
      <c r="E350" s="4" t="s">
        <v>52</v>
      </c>
      <c r="F350" s="4" t="s">
        <v>1582</v>
      </c>
      <c r="G350" s="4" t="s">
        <v>58</v>
      </c>
      <c r="H350" s="4" t="s">
        <v>41</v>
      </c>
      <c r="I350" s="4" t="s">
        <v>101</v>
      </c>
      <c r="J350" s="4" t="s">
        <v>34</v>
      </c>
      <c r="K350" s="4" t="s">
        <v>1581</v>
      </c>
      <c r="L350" s="4" t="str">
        <f t="shared" si="5"/>
        <v>Different owner</v>
      </c>
    </row>
    <row r="351" spans="1:12" ht="15" customHeight="1" x14ac:dyDescent="0.3">
      <c r="A351" s="4" t="s">
        <v>1583</v>
      </c>
      <c r="B351" s="4" t="s">
        <v>1584</v>
      </c>
      <c r="C351" s="4" t="s">
        <v>1585</v>
      </c>
      <c r="D351" s="4"/>
      <c r="E351" s="4" t="s">
        <v>343</v>
      </c>
      <c r="F351" s="4" t="s">
        <v>1586</v>
      </c>
      <c r="G351" s="4" t="s">
        <v>361</v>
      </c>
      <c r="H351" s="4" t="s">
        <v>500</v>
      </c>
      <c r="I351" s="4" t="s">
        <v>1587</v>
      </c>
      <c r="J351" s="4" t="s">
        <v>102</v>
      </c>
      <c r="K351" s="4" t="s">
        <v>1585</v>
      </c>
      <c r="L351" s="4" t="str">
        <f t="shared" si="5"/>
        <v>Different owner</v>
      </c>
    </row>
    <row r="352" spans="1:12" ht="15" customHeight="1" x14ac:dyDescent="0.3">
      <c r="A352" s="4" t="s">
        <v>1588</v>
      </c>
      <c r="B352" s="4" t="s">
        <v>1589</v>
      </c>
      <c r="C352" s="4" t="s">
        <v>1590</v>
      </c>
      <c r="D352" s="4" t="s">
        <v>1591</v>
      </c>
      <c r="E352" s="4" t="s">
        <v>91</v>
      </c>
      <c r="F352" s="4" t="s">
        <v>1592</v>
      </c>
      <c r="G352" s="4" t="s">
        <v>361</v>
      </c>
      <c r="H352" s="4" t="s">
        <v>41</v>
      </c>
      <c r="I352" s="4" t="s">
        <v>131</v>
      </c>
      <c r="J352" s="4" t="s">
        <v>32</v>
      </c>
      <c r="K352" s="4" t="s">
        <v>1593</v>
      </c>
      <c r="L352" s="4" t="str">
        <f t="shared" si="5"/>
        <v>Different owner &amp; contact</v>
      </c>
    </row>
    <row r="353" spans="1:12" ht="15" customHeight="1" x14ac:dyDescent="0.3">
      <c r="A353" s="4" t="s">
        <v>1594</v>
      </c>
      <c r="B353" s="4" t="s">
        <v>1595</v>
      </c>
      <c r="C353" s="4" t="s">
        <v>1596</v>
      </c>
      <c r="D353" s="4"/>
      <c r="E353" s="4" t="s">
        <v>91</v>
      </c>
      <c r="F353" s="4" t="s">
        <v>1597</v>
      </c>
      <c r="G353" s="4" t="s">
        <v>293</v>
      </c>
      <c r="H353" s="4" t="s">
        <v>41</v>
      </c>
      <c r="I353" s="4" t="s">
        <v>108</v>
      </c>
      <c r="J353" s="4" t="s">
        <v>102</v>
      </c>
      <c r="K353" s="4" t="s">
        <v>1596</v>
      </c>
      <c r="L353" s="4" t="str">
        <f t="shared" si="5"/>
        <v>Different owner</v>
      </c>
    </row>
    <row r="354" spans="1:12" ht="15" customHeight="1" x14ac:dyDescent="0.3">
      <c r="A354" s="4" t="s">
        <v>1598</v>
      </c>
      <c r="B354" s="4" t="s">
        <v>1599</v>
      </c>
      <c r="C354" s="4" t="s">
        <v>1600</v>
      </c>
      <c r="D354" s="4" t="s">
        <v>1601</v>
      </c>
      <c r="E354" s="4" t="s">
        <v>27</v>
      </c>
      <c r="F354" s="4" t="s">
        <v>1602</v>
      </c>
      <c r="G354" s="4" t="s">
        <v>58</v>
      </c>
      <c r="H354" s="4" t="s">
        <v>1603</v>
      </c>
      <c r="I354" s="4" t="s">
        <v>1604</v>
      </c>
      <c r="J354" s="4" t="s">
        <v>114</v>
      </c>
      <c r="K354" s="4" t="s">
        <v>1605</v>
      </c>
      <c r="L354" s="4" t="str">
        <f t="shared" si="5"/>
        <v>Different owner &amp; contact</v>
      </c>
    </row>
    <row r="355" spans="1:12" ht="15" customHeight="1" x14ac:dyDescent="0.3">
      <c r="A355" s="4" t="s">
        <v>1606</v>
      </c>
      <c r="B355" s="4" t="s">
        <v>1599</v>
      </c>
      <c r="C355" s="4" t="s">
        <v>1605</v>
      </c>
      <c r="D355" s="4"/>
      <c r="E355" s="4" t="s">
        <v>27</v>
      </c>
      <c r="F355" s="4" t="s">
        <v>1602</v>
      </c>
      <c r="G355" s="4" t="s">
        <v>58</v>
      </c>
      <c r="H355" s="4" t="s">
        <v>1603</v>
      </c>
      <c r="I355" s="4" t="s">
        <v>1604</v>
      </c>
      <c r="J355" s="4" t="s">
        <v>114</v>
      </c>
      <c r="K355" s="4" t="s">
        <v>1605</v>
      </c>
      <c r="L355" s="4" t="str">
        <f t="shared" si="5"/>
        <v>Different owner</v>
      </c>
    </row>
    <row r="356" spans="1:12" ht="15" customHeight="1" x14ac:dyDescent="0.3">
      <c r="A356" s="4" t="s">
        <v>1607</v>
      </c>
      <c r="B356" s="4" t="s">
        <v>1608</v>
      </c>
      <c r="C356" s="4"/>
      <c r="D356" s="4"/>
      <c r="E356" s="4" t="s">
        <v>34</v>
      </c>
      <c r="F356" s="4" t="s">
        <v>1609</v>
      </c>
      <c r="G356" s="4" t="s">
        <v>124</v>
      </c>
      <c r="H356" s="4" t="s">
        <v>41</v>
      </c>
      <c r="I356" s="4" t="s">
        <v>101</v>
      </c>
      <c r="J356" s="4" t="s">
        <v>34</v>
      </c>
      <c r="K356" s="4" t="s">
        <v>1610</v>
      </c>
      <c r="L356" s="4" t="str">
        <f t="shared" si="5"/>
        <v>Different contact</v>
      </c>
    </row>
    <row r="357" spans="1:12" ht="15" customHeight="1" x14ac:dyDescent="0.3">
      <c r="A357" s="4" t="s">
        <v>1611</v>
      </c>
      <c r="B357" s="4" t="s">
        <v>1608</v>
      </c>
      <c r="C357" s="4" t="s">
        <v>1612</v>
      </c>
      <c r="D357" s="4" t="s">
        <v>1613</v>
      </c>
      <c r="E357" s="4" t="s">
        <v>56</v>
      </c>
      <c r="F357" s="4" t="s">
        <v>1609</v>
      </c>
      <c r="G357" s="4" t="s">
        <v>124</v>
      </c>
      <c r="H357" s="4" t="s">
        <v>41</v>
      </c>
      <c r="I357" s="4" t="s">
        <v>101</v>
      </c>
      <c r="J357" s="4" t="s">
        <v>34</v>
      </c>
      <c r="K357" s="4" t="s">
        <v>1610</v>
      </c>
      <c r="L357" s="4" t="str">
        <f t="shared" si="5"/>
        <v>Different owner &amp; contact</v>
      </c>
    </row>
    <row r="358" spans="1:12" ht="15" customHeight="1" x14ac:dyDescent="0.3">
      <c r="A358" s="4" t="s">
        <v>1614</v>
      </c>
      <c r="B358" s="4" t="s">
        <v>1608</v>
      </c>
      <c r="C358" s="4"/>
      <c r="D358" s="4"/>
      <c r="E358" s="4" t="s">
        <v>34</v>
      </c>
      <c r="F358" s="4" t="s">
        <v>1609</v>
      </c>
      <c r="G358" s="4" t="s">
        <v>124</v>
      </c>
      <c r="H358" s="4" t="s">
        <v>41</v>
      </c>
      <c r="I358" s="4" t="s">
        <v>101</v>
      </c>
      <c r="J358" s="4" t="s">
        <v>34</v>
      </c>
      <c r="K358" s="4" t="s">
        <v>1610</v>
      </c>
      <c r="L358" s="4" t="str">
        <f t="shared" si="5"/>
        <v>Different contact</v>
      </c>
    </row>
    <row r="359" spans="1:12" ht="15" customHeight="1" x14ac:dyDescent="0.3">
      <c r="A359" s="4" t="s">
        <v>1615</v>
      </c>
      <c r="B359" s="4" t="s">
        <v>1616</v>
      </c>
      <c r="C359" s="4" t="s">
        <v>1617</v>
      </c>
      <c r="D359" s="4" t="s">
        <v>1618</v>
      </c>
      <c r="E359" s="4" t="s">
        <v>52</v>
      </c>
      <c r="F359" s="4" t="s">
        <v>1619</v>
      </c>
      <c r="G359" s="4" t="s">
        <v>29</v>
      </c>
      <c r="H359" s="4" t="s">
        <v>68</v>
      </c>
      <c r="I359" s="4" t="s">
        <v>93</v>
      </c>
      <c r="J359" s="4" t="s">
        <v>102</v>
      </c>
      <c r="K359" s="4" t="s">
        <v>1617</v>
      </c>
      <c r="L359" s="4" t="str">
        <f t="shared" si="5"/>
        <v>Different owner</v>
      </c>
    </row>
    <row r="360" spans="1:12" ht="15" customHeight="1" x14ac:dyDescent="0.3">
      <c r="A360" s="4" t="s">
        <v>1620</v>
      </c>
      <c r="B360" s="4" t="s">
        <v>1621</v>
      </c>
      <c r="C360" s="4" t="s">
        <v>1622</v>
      </c>
      <c r="D360" s="4" t="s">
        <v>1623</v>
      </c>
      <c r="E360" s="4" t="s">
        <v>66</v>
      </c>
      <c r="F360" s="4" t="s">
        <v>1624</v>
      </c>
      <c r="G360" s="4" t="s">
        <v>100</v>
      </c>
      <c r="H360" s="4" t="s">
        <v>30</v>
      </c>
      <c r="I360" s="4" t="s">
        <v>125</v>
      </c>
      <c r="J360" s="4" t="s">
        <v>66</v>
      </c>
      <c r="K360" s="4" t="s">
        <v>1625</v>
      </c>
      <c r="L360" s="4" t="str">
        <f t="shared" si="5"/>
        <v>Different contact</v>
      </c>
    </row>
    <row r="361" spans="1:12" ht="15" customHeight="1" x14ac:dyDescent="0.3">
      <c r="A361" s="4" t="s">
        <v>1626</v>
      </c>
      <c r="B361" s="4" t="s">
        <v>1621</v>
      </c>
      <c r="C361" s="4" t="s">
        <v>1627</v>
      </c>
      <c r="D361" s="4"/>
      <c r="E361" s="4" t="s">
        <v>66</v>
      </c>
      <c r="F361" s="4" t="s">
        <v>1624</v>
      </c>
      <c r="G361" s="4" t="s">
        <v>100</v>
      </c>
      <c r="H361" s="4" t="s">
        <v>30</v>
      </c>
      <c r="I361" s="4" t="s">
        <v>125</v>
      </c>
      <c r="J361" s="4" t="s">
        <v>66</v>
      </c>
      <c r="K361" s="4" t="s">
        <v>1625</v>
      </c>
      <c r="L361" s="4" t="str">
        <f t="shared" si="5"/>
        <v>Different contact</v>
      </c>
    </row>
    <row r="362" spans="1:12" ht="15" customHeight="1" x14ac:dyDescent="0.3">
      <c r="A362" s="4" t="s">
        <v>1628</v>
      </c>
      <c r="B362" s="4" t="s">
        <v>1629</v>
      </c>
      <c r="C362" s="4" t="s">
        <v>1630</v>
      </c>
      <c r="D362" s="4" t="s">
        <v>1631</v>
      </c>
      <c r="E362" s="4" t="s">
        <v>27</v>
      </c>
      <c r="F362" s="4" t="s">
        <v>1632</v>
      </c>
      <c r="G362" s="4" t="s">
        <v>209</v>
      </c>
      <c r="H362" s="4" t="s">
        <v>41</v>
      </c>
      <c r="I362" s="4" t="s">
        <v>638</v>
      </c>
      <c r="J362" s="4" t="s">
        <v>52</v>
      </c>
      <c r="K362" s="4" t="s">
        <v>1633</v>
      </c>
      <c r="L362" s="4" t="str">
        <f t="shared" si="5"/>
        <v>Different owner &amp; contact</v>
      </c>
    </row>
    <row r="363" spans="1:12" ht="15" customHeight="1" x14ac:dyDescent="0.3">
      <c r="A363" s="4" t="s">
        <v>1634</v>
      </c>
      <c r="B363" s="4" t="s">
        <v>1629</v>
      </c>
      <c r="C363" s="4" t="s">
        <v>1635</v>
      </c>
      <c r="D363" s="4" t="s">
        <v>1631</v>
      </c>
      <c r="E363" s="4" t="s">
        <v>27</v>
      </c>
      <c r="F363" s="4" t="s">
        <v>1632</v>
      </c>
      <c r="G363" s="4" t="s">
        <v>209</v>
      </c>
      <c r="H363" s="4" t="s">
        <v>41</v>
      </c>
      <c r="I363" s="4" t="s">
        <v>638</v>
      </c>
      <c r="J363" s="4" t="s">
        <v>52</v>
      </c>
      <c r="K363" s="4" t="s">
        <v>1633</v>
      </c>
      <c r="L363" s="4" t="str">
        <f t="shared" si="5"/>
        <v>Different owner &amp; contact</v>
      </c>
    </row>
    <row r="364" spans="1:12" ht="15" customHeight="1" x14ac:dyDescent="0.3">
      <c r="A364" s="4" t="s">
        <v>1636</v>
      </c>
      <c r="B364" s="4" t="s">
        <v>1629</v>
      </c>
      <c r="C364" s="4" t="s">
        <v>1637</v>
      </c>
      <c r="D364" s="4" t="s">
        <v>1638</v>
      </c>
      <c r="E364" s="4" t="s">
        <v>27</v>
      </c>
      <c r="F364" s="4" t="s">
        <v>1632</v>
      </c>
      <c r="G364" s="4" t="s">
        <v>209</v>
      </c>
      <c r="H364" s="4" t="s">
        <v>41</v>
      </c>
      <c r="I364" s="4" t="s">
        <v>638</v>
      </c>
      <c r="J364" s="4" t="s">
        <v>52</v>
      </c>
      <c r="K364" s="4" t="s">
        <v>1633</v>
      </c>
      <c r="L364" s="4" t="str">
        <f t="shared" si="5"/>
        <v>Different owner &amp; contact</v>
      </c>
    </row>
    <row r="365" spans="1:12" ht="15" customHeight="1" x14ac:dyDescent="0.3">
      <c r="A365" s="4" t="s">
        <v>1639</v>
      </c>
      <c r="B365" s="4" t="s">
        <v>1640</v>
      </c>
      <c r="C365" s="4" t="s">
        <v>1641</v>
      </c>
      <c r="D365" s="4"/>
      <c r="E365" s="4" t="s">
        <v>91</v>
      </c>
      <c r="F365" s="4" t="s">
        <v>1642</v>
      </c>
      <c r="G365" s="4" t="s">
        <v>209</v>
      </c>
      <c r="H365" s="4" t="s">
        <v>41</v>
      </c>
      <c r="I365" s="4" t="s">
        <v>533</v>
      </c>
      <c r="J365" s="4" t="s">
        <v>32</v>
      </c>
      <c r="K365" s="4" t="s">
        <v>1641</v>
      </c>
      <c r="L365" s="4" t="str">
        <f t="shared" si="5"/>
        <v>Different owner</v>
      </c>
    </row>
    <row r="366" spans="1:12" ht="15" customHeight="1" x14ac:dyDescent="0.3">
      <c r="A366" s="4" t="s">
        <v>1643</v>
      </c>
      <c r="B366" s="4" t="s">
        <v>1644</v>
      </c>
      <c r="C366" s="4" t="s">
        <v>1645</v>
      </c>
      <c r="D366" s="4"/>
      <c r="E366" s="4" t="s">
        <v>52</v>
      </c>
      <c r="F366" s="4" t="s">
        <v>1646</v>
      </c>
      <c r="G366" s="4" t="s">
        <v>209</v>
      </c>
      <c r="H366" s="4" t="s">
        <v>41</v>
      </c>
      <c r="I366" s="4" t="s">
        <v>59</v>
      </c>
      <c r="J366" s="4" t="s">
        <v>52</v>
      </c>
      <c r="K366" s="4" t="s">
        <v>1647</v>
      </c>
      <c r="L366" s="4" t="str">
        <f t="shared" si="5"/>
        <v>Different contact</v>
      </c>
    </row>
    <row r="367" spans="1:12" ht="15" customHeight="1" x14ac:dyDescent="0.3">
      <c r="A367" s="4" t="s">
        <v>1648</v>
      </c>
      <c r="B367" s="4" t="s">
        <v>1644</v>
      </c>
      <c r="C367" s="4" t="s">
        <v>1649</v>
      </c>
      <c r="D367" s="4"/>
      <c r="E367" s="4" t="s">
        <v>52</v>
      </c>
      <c r="F367" s="4" t="s">
        <v>1646</v>
      </c>
      <c r="G367" s="4" t="s">
        <v>209</v>
      </c>
      <c r="H367" s="4" t="s">
        <v>41</v>
      </c>
      <c r="I367" s="4" t="s">
        <v>59</v>
      </c>
      <c r="J367" s="4" t="s">
        <v>52</v>
      </c>
      <c r="K367" s="4" t="s">
        <v>1647</v>
      </c>
      <c r="L367" s="4" t="str">
        <f t="shared" si="5"/>
        <v>Different contact</v>
      </c>
    </row>
    <row r="368" spans="1:12" ht="15" customHeight="1" x14ac:dyDescent="0.3">
      <c r="A368" s="4" t="s">
        <v>1650</v>
      </c>
      <c r="B368" s="4" t="s">
        <v>1644</v>
      </c>
      <c r="C368" s="4" t="s">
        <v>1647</v>
      </c>
      <c r="D368" s="4" t="s">
        <v>1651</v>
      </c>
      <c r="E368" s="4" t="s">
        <v>52</v>
      </c>
      <c r="F368" s="4" t="s">
        <v>1646</v>
      </c>
      <c r="G368" s="4" t="s">
        <v>209</v>
      </c>
      <c r="H368" s="4" t="s">
        <v>41</v>
      </c>
      <c r="I368" s="4" t="s">
        <v>59</v>
      </c>
      <c r="J368" s="4" t="s">
        <v>52</v>
      </c>
      <c r="K368" s="4" t="s">
        <v>1647</v>
      </c>
      <c r="L368" s="4" t="str">
        <f t="shared" si="5"/>
        <v>Match</v>
      </c>
    </row>
    <row r="369" spans="1:12" ht="15" customHeight="1" x14ac:dyDescent="0.3">
      <c r="A369" s="4" t="s">
        <v>1652</v>
      </c>
      <c r="B369" s="4" t="s">
        <v>1653</v>
      </c>
      <c r="C369" s="4" t="s">
        <v>1654</v>
      </c>
      <c r="D369" s="4"/>
      <c r="E369" s="4" t="s">
        <v>106</v>
      </c>
      <c r="F369" s="4" t="s">
        <v>1655</v>
      </c>
      <c r="G369" s="4" t="s">
        <v>209</v>
      </c>
      <c r="H369" s="4" t="s">
        <v>41</v>
      </c>
      <c r="I369" s="4" t="s">
        <v>210</v>
      </c>
      <c r="J369" s="4" t="s">
        <v>52</v>
      </c>
      <c r="K369" s="4" t="s">
        <v>1656</v>
      </c>
      <c r="L369" s="4" t="str">
        <f t="shared" si="5"/>
        <v>Different owner &amp; contact</v>
      </c>
    </row>
    <row r="370" spans="1:12" ht="15" customHeight="1" x14ac:dyDescent="0.3">
      <c r="A370" s="4" t="s">
        <v>1657</v>
      </c>
      <c r="B370" s="4" t="s">
        <v>1658</v>
      </c>
      <c r="C370" s="4" t="s">
        <v>1659</v>
      </c>
      <c r="D370" s="4" t="s">
        <v>1660</v>
      </c>
      <c r="E370" s="4" t="s">
        <v>52</v>
      </c>
      <c r="F370" s="4" t="s">
        <v>1661</v>
      </c>
      <c r="G370" s="4" t="s">
        <v>124</v>
      </c>
      <c r="H370" s="4" t="s">
        <v>41</v>
      </c>
      <c r="I370" s="4" t="s">
        <v>59</v>
      </c>
      <c r="J370" s="4" t="s">
        <v>34</v>
      </c>
      <c r="K370" s="4" t="s">
        <v>1662</v>
      </c>
      <c r="L370" s="4" t="str">
        <f t="shared" si="5"/>
        <v>Different owner &amp; contact</v>
      </c>
    </row>
    <row r="371" spans="1:12" ht="15" customHeight="1" x14ac:dyDescent="0.3">
      <c r="A371" s="4" t="s">
        <v>1663</v>
      </c>
      <c r="B371" s="4" t="s">
        <v>1664</v>
      </c>
      <c r="C371" s="4" t="s">
        <v>1665</v>
      </c>
      <c r="D371" s="4" t="s">
        <v>1666</v>
      </c>
      <c r="E371" s="4" t="s">
        <v>172</v>
      </c>
      <c r="F371" s="4" t="s">
        <v>1667</v>
      </c>
      <c r="G371" s="4" t="s">
        <v>29</v>
      </c>
      <c r="H371" s="4" t="s">
        <v>41</v>
      </c>
      <c r="I371" s="4" t="s">
        <v>131</v>
      </c>
      <c r="J371" s="4" t="s">
        <v>32</v>
      </c>
      <c r="K371" s="4" t="s">
        <v>1668</v>
      </c>
      <c r="L371" s="4" t="str">
        <f t="shared" si="5"/>
        <v>Different owner &amp; contact</v>
      </c>
    </row>
    <row r="372" spans="1:12" ht="15" customHeight="1" x14ac:dyDescent="0.3">
      <c r="A372" s="4" t="s">
        <v>1669</v>
      </c>
      <c r="B372" s="4" t="s">
        <v>1664</v>
      </c>
      <c r="C372" s="4" t="s">
        <v>1668</v>
      </c>
      <c r="D372" s="4"/>
      <c r="E372" s="4" t="s">
        <v>52</v>
      </c>
      <c r="F372" s="4" t="s">
        <v>1667</v>
      </c>
      <c r="G372" s="4" t="s">
        <v>29</v>
      </c>
      <c r="H372" s="4" t="s">
        <v>41</v>
      </c>
      <c r="I372" s="4" t="s">
        <v>131</v>
      </c>
      <c r="J372" s="4" t="s">
        <v>32</v>
      </c>
      <c r="K372" s="4" t="s">
        <v>1668</v>
      </c>
      <c r="L372" s="4" t="str">
        <f t="shared" si="5"/>
        <v>Different owner</v>
      </c>
    </row>
    <row r="373" spans="1:12" ht="15" customHeight="1" x14ac:dyDescent="0.3">
      <c r="A373" s="4" t="s">
        <v>1670</v>
      </c>
      <c r="B373" s="4" t="s">
        <v>1671</v>
      </c>
      <c r="C373" s="4"/>
      <c r="D373" s="4"/>
      <c r="E373" s="4" t="s">
        <v>34</v>
      </c>
      <c r="F373" s="4" t="s">
        <v>1672</v>
      </c>
      <c r="G373" s="4" t="s">
        <v>29</v>
      </c>
      <c r="H373" s="4" t="s">
        <v>68</v>
      </c>
      <c r="I373" s="4" t="s">
        <v>538</v>
      </c>
      <c r="J373" s="4" t="s">
        <v>34</v>
      </c>
      <c r="K373" s="4" t="s">
        <v>1673</v>
      </c>
      <c r="L373" s="4" t="str">
        <f t="shared" si="5"/>
        <v>Different contact</v>
      </c>
    </row>
    <row r="374" spans="1:12" ht="15" customHeight="1" x14ac:dyDescent="0.3">
      <c r="A374" s="4" t="s">
        <v>1674</v>
      </c>
      <c r="B374" s="4" t="s">
        <v>1671</v>
      </c>
      <c r="C374" s="4"/>
      <c r="D374" s="4"/>
      <c r="E374" s="4" t="s">
        <v>385</v>
      </c>
      <c r="F374" s="4" t="s">
        <v>1672</v>
      </c>
      <c r="G374" s="4" t="s">
        <v>29</v>
      </c>
      <c r="H374" s="4" t="s">
        <v>68</v>
      </c>
      <c r="I374" s="4" t="s">
        <v>538</v>
      </c>
      <c r="J374" s="4" t="s">
        <v>34</v>
      </c>
      <c r="K374" s="4" t="s">
        <v>1673</v>
      </c>
      <c r="L374" s="4" t="str">
        <f t="shared" si="5"/>
        <v>Different owner &amp; contact</v>
      </c>
    </row>
    <row r="375" spans="1:12" ht="15" customHeight="1" x14ac:dyDescent="0.3">
      <c r="A375" s="4" t="s">
        <v>1675</v>
      </c>
      <c r="B375" s="4" t="s">
        <v>1676</v>
      </c>
      <c r="C375" s="4" t="s">
        <v>1677</v>
      </c>
      <c r="D375" s="4"/>
      <c r="E375" s="4" t="s">
        <v>52</v>
      </c>
      <c r="F375" s="4" t="s">
        <v>1678</v>
      </c>
      <c r="G375" s="4" t="s">
        <v>124</v>
      </c>
      <c r="H375" s="4" t="s">
        <v>68</v>
      </c>
      <c r="I375" s="4" t="s">
        <v>538</v>
      </c>
      <c r="J375" s="4" t="s">
        <v>102</v>
      </c>
      <c r="K375" s="4" t="s">
        <v>1677</v>
      </c>
      <c r="L375" s="4" t="str">
        <f t="shared" si="5"/>
        <v>Different owner</v>
      </c>
    </row>
    <row r="376" spans="1:12" ht="15" customHeight="1" x14ac:dyDescent="0.3">
      <c r="A376" s="4" t="s">
        <v>1679</v>
      </c>
      <c r="B376" s="4" t="s">
        <v>1680</v>
      </c>
      <c r="C376" s="4" t="s">
        <v>1681</v>
      </c>
      <c r="D376" s="4" t="s">
        <v>1682</v>
      </c>
      <c r="E376" s="4" t="s">
        <v>106</v>
      </c>
      <c r="F376" s="4" t="s">
        <v>1683</v>
      </c>
      <c r="G376" s="4" t="s">
        <v>40</v>
      </c>
      <c r="H376" s="4" t="s">
        <v>41</v>
      </c>
      <c r="I376" s="4" t="s">
        <v>1221</v>
      </c>
      <c r="J376" s="4" t="s">
        <v>106</v>
      </c>
      <c r="K376" s="4" t="s">
        <v>1684</v>
      </c>
      <c r="L376" s="4" t="str">
        <f t="shared" si="5"/>
        <v>Different contact</v>
      </c>
    </row>
    <row r="377" spans="1:12" ht="15" customHeight="1" x14ac:dyDescent="0.3">
      <c r="A377" s="4" t="s">
        <v>1685</v>
      </c>
      <c r="B377" s="4" t="s">
        <v>1686</v>
      </c>
      <c r="C377" s="4"/>
      <c r="D377" s="4"/>
      <c r="E377" s="4" t="s">
        <v>91</v>
      </c>
      <c r="F377" s="4" t="s">
        <v>1687</v>
      </c>
      <c r="G377" s="4" t="s">
        <v>49</v>
      </c>
      <c r="H377" s="4" t="s">
        <v>41</v>
      </c>
      <c r="I377" s="4" t="s">
        <v>101</v>
      </c>
      <c r="J377" s="4" t="s">
        <v>102</v>
      </c>
      <c r="K377" s="4" t="s">
        <v>1688</v>
      </c>
      <c r="L377" s="4" t="str">
        <f t="shared" si="5"/>
        <v>Different owner &amp; contact</v>
      </c>
    </row>
    <row r="378" spans="1:12" ht="15" customHeight="1" x14ac:dyDescent="0.3">
      <c r="A378" s="4" t="s">
        <v>1689</v>
      </c>
      <c r="B378" s="4" t="s">
        <v>1690</v>
      </c>
      <c r="C378" s="4"/>
      <c r="D378" s="4" t="s">
        <v>1691</v>
      </c>
      <c r="E378" s="4" t="s">
        <v>34</v>
      </c>
      <c r="F378" s="4" t="s">
        <v>1692</v>
      </c>
      <c r="G378" s="4" t="s">
        <v>361</v>
      </c>
      <c r="H378" s="4" t="s">
        <v>500</v>
      </c>
      <c r="I378" s="4" t="s">
        <v>93</v>
      </c>
      <c r="J378" s="4" t="s">
        <v>32</v>
      </c>
      <c r="K378" s="4" t="s">
        <v>1693</v>
      </c>
      <c r="L378" s="4" t="str">
        <f t="shared" si="5"/>
        <v>Different owner &amp; contact</v>
      </c>
    </row>
    <row r="379" spans="1:12" ht="15" customHeight="1" x14ac:dyDescent="0.3">
      <c r="A379" s="4" t="s">
        <v>1694</v>
      </c>
      <c r="B379" s="4" t="s">
        <v>1690</v>
      </c>
      <c r="C379" s="4" t="s">
        <v>1695</v>
      </c>
      <c r="D379" s="4"/>
      <c r="E379" s="4" t="s">
        <v>343</v>
      </c>
      <c r="F379" s="4" t="s">
        <v>1692</v>
      </c>
      <c r="G379" s="4" t="s">
        <v>361</v>
      </c>
      <c r="H379" s="4" t="s">
        <v>500</v>
      </c>
      <c r="I379" s="4" t="s">
        <v>93</v>
      </c>
      <c r="J379" s="4" t="s">
        <v>32</v>
      </c>
      <c r="K379" s="4" t="s">
        <v>1693</v>
      </c>
      <c r="L379" s="4" t="str">
        <f t="shared" si="5"/>
        <v>Different owner &amp; contact</v>
      </c>
    </row>
    <row r="380" spans="1:12" ht="15" customHeight="1" x14ac:dyDescent="0.3">
      <c r="A380" s="4" t="s">
        <v>1696</v>
      </c>
      <c r="B380" s="4" t="s">
        <v>1697</v>
      </c>
      <c r="C380" s="4" t="s">
        <v>1698</v>
      </c>
      <c r="D380" s="4" t="s">
        <v>1699</v>
      </c>
      <c r="E380" s="4" t="s">
        <v>106</v>
      </c>
      <c r="F380" s="4" t="s">
        <v>1700</v>
      </c>
      <c r="G380" s="4" t="s">
        <v>1321</v>
      </c>
      <c r="H380" s="4" t="s">
        <v>68</v>
      </c>
      <c r="I380" s="4" t="s">
        <v>944</v>
      </c>
      <c r="J380" s="4" t="s">
        <v>106</v>
      </c>
      <c r="K380" s="4" t="s">
        <v>1701</v>
      </c>
      <c r="L380" s="4" t="str">
        <f t="shared" si="5"/>
        <v>Different contact</v>
      </c>
    </row>
    <row r="381" spans="1:12" ht="15" customHeight="1" x14ac:dyDescent="0.3">
      <c r="A381" s="4" t="s">
        <v>1702</v>
      </c>
      <c r="B381" s="4" t="s">
        <v>1697</v>
      </c>
      <c r="C381" s="4" t="s">
        <v>1703</v>
      </c>
      <c r="D381" s="4"/>
      <c r="E381" s="4" t="s">
        <v>106</v>
      </c>
      <c r="F381" s="4" t="s">
        <v>1700</v>
      </c>
      <c r="G381" s="4" t="s">
        <v>1321</v>
      </c>
      <c r="H381" s="4" t="s">
        <v>68</v>
      </c>
      <c r="I381" s="4" t="s">
        <v>944</v>
      </c>
      <c r="J381" s="4" t="s">
        <v>106</v>
      </c>
      <c r="K381" s="4" t="s">
        <v>1701</v>
      </c>
      <c r="L381" s="4" t="str">
        <f t="shared" si="5"/>
        <v>Different contact</v>
      </c>
    </row>
    <row r="382" spans="1:12" ht="15" customHeight="1" x14ac:dyDescent="0.3">
      <c r="A382" s="4" t="s">
        <v>1704</v>
      </c>
      <c r="B382" s="4" t="s">
        <v>1705</v>
      </c>
      <c r="C382" s="4" t="s">
        <v>1706</v>
      </c>
      <c r="D382" s="4" t="s">
        <v>1707</v>
      </c>
      <c r="E382" s="4" t="s">
        <v>56</v>
      </c>
      <c r="F382" s="4" t="s">
        <v>1708</v>
      </c>
      <c r="G382" s="4" t="s">
        <v>293</v>
      </c>
      <c r="H382" s="4" t="s">
        <v>68</v>
      </c>
      <c r="I382" s="4" t="s">
        <v>533</v>
      </c>
      <c r="J382" s="4" t="s">
        <v>94</v>
      </c>
      <c r="K382" s="4" t="s">
        <v>1709</v>
      </c>
      <c r="L382" s="4" t="str">
        <f t="shared" si="5"/>
        <v>Different owner &amp; contact</v>
      </c>
    </row>
    <row r="383" spans="1:12" ht="15" customHeight="1" x14ac:dyDescent="0.3">
      <c r="A383" s="4" t="s">
        <v>1710</v>
      </c>
      <c r="B383" s="4" t="s">
        <v>1711</v>
      </c>
      <c r="C383" s="4" t="s">
        <v>1712</v>
      </c>
      <c r="D383" s="4" t="s">
        <v>1713</v>
      </c>
      <c r="E383" s="4" t="s">
        <v>52</v>
      </c>
      <c r="F383" s="4" t="s">
        <v>1714</v>
      </c>
      <c r="G383" s="4" t="s">
        <v>209</v>
      </c>
      <c r="H383" s="4" t="s">
        <v>68</v>
      </c>
      <c r="I383" s="4" t="s">
        <v>299</v>
      </c>
      <c r="J383" s="4" t="s">
        <v>102</v>
      </c>
      <c r="K383" s="4" t="s">
        <v>1715</v>
      </c>
      <c r="L383" s="4" t="str">
        <f t="shared" si="5"/>
        <v>Different owner &amp; contact</v>
      </c>
    </row>
    <row r="384" spans="1:12" ht="15" customHeight="1" x14ac:dyDescent="0.3">
      <c r="A384" s="4" t="s">
        <v>1716</v>
      </c>
      <c r="B384" s="4" t="s">
        <v>1711</v>
      </c>
      <c r="C384" s="4"/>
      <c r="D384" s="4"/>
      <c r="E384" s="4" t="s">
        <v>34</v>
      </c>
      <c r="F384" s="4" t="s">
        <v>1714</v>
      </c>
      <c r="G384" s="4" t="s">
        <v>209</v>
      </c>
      <c r="H384" s="4" t="s">
        <v>68</v>
      </c>
      <c r="I384" s="4" t="s">
        <v>299</v>
      </c>
      <c r="J384" s="4" t="s">
        <v>102</v>
      </c>
      <c r="K384" s="4" t="s">
        <v>1715</v>
      </c>
      <c r="L384" s="4" t="str">
        <f t="shared" si="5"/>
        <v>Different owner &amp; contact</v>
      </c>
    </row>
    <row r="385" spans="1:12" ht="15" customHeight="1" x14ac:dyDescent="0.3">
      <c r="A385" s="4" t="s">
        <v>1717</v>
      </c>
      <c r="B385" s="4" t="s">
        <v>1718</v>
      </c>
      <c r="C385" s="4" t="s">
        <v>1719</v>
      </c>
      <c r="D385" s="4" t="s">
        <v>1720</v>
      </c>
      <c r="E385" s="4" t="s">
        <v>91</v>
      </c>
      <c r="F385" s="4" t="s">
        <v>1721</v>
      </c>
      <c r="G385" s="4" t="s">
        <v>58</v>
      </c>
      <c r="H385" s="4" t="s">
        <v>41</v>
      </c>
      <c r="I385" s="4" t="s">
        <v>101</v>
      </c>
      <c r="J385" s="4" t="s">
        <v>32</v>
      </c>
      <c r="K385" s="4" t="s">
        <v>1722</v>
      </c>
      <c r="L385" s="4" t="str">
        <f t="shared" si="5"/>
        <v>Different owner &amp; contact</v>
      </c>
    </row>
    <row r="386" spans="1:12" ht="15" customHeight="1" x14ac:dyDescent="0.3">
      <c r="A386" s="4" t="s">
        <v>1723</v>
      </c>
      <c r="B386" s="4" t="s">
        <v>1724</v>
      </c>
      <c r="C386" s="4" t="s">
        <v>1725</v>
      </c>
      <c r="D386" s="4"/>
      <c r="E386" s="4" t="s">
        <v>56</v>
      </c>
      <c r="F386" s="4" t="s">
        <v>1726</v>
      </c>
      <c r="G386" s="4" t="s">
        <v>40</v>
      </c>
      <c r="H386" s="4" t="s">
        <v>30</v>
      </c>
      <c r="I386" s="4" t="s">
        <v>125</v>
      </c>
      <c r="J386" s="4" t="s">
        <v>34</v>
      </c>
      <c r="K386" s="4" t="s">
        <v>1727</v>
      </c>
      <c r="L386" s="4" t="str">
        <f t="shared" ref="L386:L449" si="6">IF(AND(TRIM(LOWER(E386))=TRIM(LOWER(J386)),TRIM(LOWER(C386))=TRIM(LOWER(K386))),"Match",IF(AND(NOT(TRIM(LOWER(E386))=TRIM(LOWER(J386))),TRIM(LOWER(C386))=TRIM(LOWER(K386))),"Different owner",IF(AND(TRIM(LOWER(E386))=TRIM(LOWER(J386)),NOT(TRIM(LOWER(C386))=TRIM(LOWER(K386)))),"Different contact","Different owner &amp; contact")))</f>
        <v>Different owner &amp; contact</v>
      </c>
    </row>
    <row r="387" spans="1:12" ht="15" customHeight="1" x14ac:dyDescent="0.3">
      <c r="A387" s="4" t="s">
        <v>1728</v>
      </c>
      <c r="B387" s="4" t="s">
        <v>1729</v>
      </c>
      <c r="C387" s="4" t="s">
        <v>1730</v>
      </c>
      <c r="D387" s="4" t="s">
        <v>1731</v>
      </c>
      <c r="E387" s="4" t="s">
        <v>66</v>
      </c>
      <c r="F387" s="4" t="s">
        <v>1732</v>
      </c>
      <c r="G387" s="4" t="s">
        <v>690</v>
      </c>
      <c r="H387" s="4" t="s">
        <v>41</v>
      </c>
      <c r="I387" s="4" t="s">
        <v>131</v>
      </c>
      <c r="J387" s="4" t="s">
        <v>66</v>
      </c>
      <c r="K387" s="4" t="s">
        <v>1733</v>
      </c>
      <c r="L387" s="4" t="str">
        <f t="shared" si="6"/>
        <v>Different contact</v>
      </c>
    </row>
    <row r="388" spans="1:12" ht="15" customHeight="1" x14ac:dyDescent="0.3">
      <c r="A388" s="4" t="s">
        <v>1734</v>
      </c>
      <c r="B388" s="4" t="s">
        <v>1735</v>
      </c>
      <c r="C388" s="4" t="s">
        <v>1736</v>
      </c>
      <c r="D388" s="4"/>
      <c r="E388" s="4" t="s">
        <v>52</v>
      </c>
      <c r="F388" s="4" t="s">
        <v>1737</v>
      </c>
      <c r="G388" s="4" t="s">
        <v>209</v>
      </c>
      <c r="H388" s="4" t="s">
        <v>41</v>
      </c>
      <c r="I388" s="4" t="s">
        <v>59</v>
      </c>
      <c r="J388" s="4" t="s">
        <v>52</v>
      </c>
      <c r="K388" s="4" t="s">
        <v>1738</v>
      </c>
      <c r="L388" s="4" t="str">
        <f t="shared" si="6"/>
        <v>Different contact</v>
      </c>
    </row>
    <row r="389" spans="1:12" ht="15" customHeight="1" x14ac:dyDescent="0.3">
      <c r="A389" s="4" t="s">
        <v>1739</v>
      </c>
      <c r="B389" s="4" t="s">
        <v>1740</v>
      </c>
      <c r="C389" s="4" t="s">
        <v>1741</v>
      </c>
      <c r="D389" s="4" t="s">
        <v>1742</v>
      </c>
      <c r="E389" s="4" t="s">
        <v>91</v>
      </c>
      <c r="F389" s="4" t="s">
        <v>1743</v>
      </c>
      <c r="G389" s="4" t="s">
        <v>130</v>
      </c>
      <c r="H389" s="4" t="s">
        <v>41</v>
      </c>
      <c r="I389" s="4" t="s">
        <v>210</v>
      </c>
      <c r="J389" s="4" t="s">
        <v>94</v>
      </c>
      <c r="K389" s="4" t="s">
        <v>1744</v>
      </c>
      <c r="L389" s="4" t="str">
        <f t="shared" si="6"/>
        <v>Different owner &amp; contact</v>
      </c>
    </row>
    <row r="390" spans="1:12" ht="15" customHeight="1" x14ac:dyDescent="0.3">
      <c r="A390" s="4" t="s">
        <v>1745</v>
      </c>
      <c r="B390" s="4" t="s">
        <v>1746</v>
      </c>
      <c r="C390" s="4" t="s">
        <v>1747</v>
      </c>
      <c r="D390" s="4"/>
      <c r="E390" s="4" t="s">
        <v>56</v>
      </c>
      <c r="F390" s="4" t="s">
        <v>1748</v>
      </c>
      <c r="G390" s="4" t="s">
        <v>29</v>
      </c>
      <c r="H390" s="4" t="s">
        <v>41</v>
      </c>
      <c r="I390" s="4" t="s">
        <v>101</v>
      </c>
      <c r="J390" s="4" t="s">
        <v>102</v>
      </c>
      <c r="K390" s="4" t="s">
        <v>1747</v>
      </c>
      <c r="L390" s="4" t="str">
        <f t="shared" si="6"/>
        <v>Different owner</v>
      </c>
    </row>
    <row r="391" spans="1:12" ht="15" customHeight="1" x14ac:dyDescent="0.3">
      <c r="A391" s="4" t="s">
        <v>1749</v>
      </c>
      <c r="B391" s="4" t="s">
        <v>1750</v>
      </c>
      <c r="C391" s="4" t="s">
        <v>1751</v>
      </c>
      <c r="D391" s="4" t="s">
        <v>1752</v>
      </c>
      <c r="E391" s="4" t="s">
        <v>66</v>
      </c>
      <c r="F391" s="4" t="s">
        <v>1753</v>
      </c>
      <c r="G391" s="4" t="s">
        <v>361</v>
      </c>
      <c r="H391" s="4" t="s">
        <v>41</v>
      </c>
      <c r="I391" s="4" t="s">
        <v>101</v>
      </c>
      <c r="J391" s="4" t="s">
        <v>102</v>
      </c>
      <c r="K391" s="4" t="s">
        <v>1754</v>
      </c>
      <c r="L391" s="4" t="str">
        <f t="shared" si="6"/>
        <v>Different owner &amp; contact</v>
      </c>
    </row>
    <row r="392" spans="1:12" ht="15" customHeight="1" x14ac:dyDescent="0.3">
      <c r="A392" s="4" t="s">
        <v>1755</v>
      </c>
      <c r="B392" s="4" t="s">
        <v>1750</v>
      </c>
      <c r="C392" s="4" t="s">
        <v>1754</v>
      </c>
      <c r="D392" s="4" t="s">
        <v>1756</v>
      </c>
      <c r="E392" s="4" t="s">
        <v>66</v>
      </c>
      <c r="F392" s="4" t="s">
        <v>1753</v>
      </c>
      <c r="G392" s="4" t="s">
        <v>361</v>
      </c>
      <c r="H392" s="4" t="s">
        <v>41</v>
      </c>
      <c r="I392" s="4" t="s">
        <v>101</v>
      </c>
      <c r="J392" s="4" t="s">
        <v>102</v>
      </c>
      <c r="K392" s="4" t="s">
        <v>1754</v>
      </c>
      <c r="L392" s="4" t="str">
        <f t="shared" si="6"/>
        <v>Different owner</v>
      </c>
    </row>
    <row r="393" spans="1:12" ht="15" customHeight="1" x14ac:dyDescent="0.3">
      <c r="A393" s="4" t="s">
        <v>1755</v>
      </c>
      <c r="B393" s="4" t="s">
        <v>1750</v>
      </c>
      <c r="C393" s="4" t="s">
        <v>1757</v>
      </c>
      <c r="D393" s="4" t="s">
        <v>1756</v>
      </c>
      <c r="E393" s="4" t="s">
        <v>66</v>
      </c>
      <c r="F393" s="4" t="s">
        <v>1753</v>
      </c>
      <c r="G393" s="4" t="s">
        <v>361</v>
      </c>
      <c r="H393" s="4" t="s">
        <v>41</v>
      </c>
      <c r="I393" s="4" t="s">
        <v>101</v>
      </c>
      <c r="J393" s="4" t="s">
        <v>102</v>
      </c>
      <c r="K393" s="4" t="s">
        <v>1754</v>
      </c>
      <c r="L393" s="4" t="str">
        <f t="shared" si="6"/>
        <v>Different owner &amp; contact</v>
      </c>
    </row>
    <row r="394" spans="1:12" ht="15" customHeight="1" x14ac:dyDescent="0.3">
      <c r="A394" s="4" t="s">
        <v>1758</v>
      </c>
      <c r="B394" s="4" t="s">
        <v>1759</v>
      </c>
      <c r="C394" s="4"/>
      <c r="D394" s="4" t="s">
        <v>1760</v>
      </c>
      <c r="E394" s="4" t="s">
        <v>27</v>
      </c>
      <c r="F394" s="4" t="s">
        <v>1761</v>
      </c>
      <c r="G394" s="4" t="s">
        <v>138</v>
      </c>
      <c r="H394" s="4" t="s">
        <v>41</v>
      </c>
      <c r="I394" s="4" t="s">
        <v>59</v>
      </c>
      <c r="J394" s="4" t="s">
        <v>34</v>
      </c>
      <c r="K394" s="4" t="s">
        <v>1762</v>
      </c>
      <c r="L394" s="4" t="str">
        <f t="shared" si="6"/>
        <v>Different owner &amp; contact</v>
      </c>
    </row>
    <row r="395" spans="1:12" ht="15" customHeight="1" x14ac:dyDescent="0.3">
      <c r="A395" s="4" t="s">
        <v>1763</v>
      </c>
      <c r="B395" s="4" t="s">
        <v>1759</v>
      </c>
      <c r="C395" s="4" t="s">
        <v>1762</v>
      </c>
      <c r="D395" s="4" t="s">
        <v>1760</v>
      </c>
      <c r="E395" s="4" t="s">
        <v>27</v>
      </c>
      <c r="F395" s="4" t="s">
        <v>1761</v>
      </c>
      <c r="G395" s="4" t="s">
        <v>138</v>
      </c>
      <c r="H395" s="4" t="s">
        <v>41</v>
      </c>
      <c r="I395" s="4" t="s">
        <v>59</v>
      </c>
      <c r="J395" s="4" t="s">
        <v>34</v>
      </c>
      <c r="K395" s="4" t="s">
        <v>1762</v>
      </c>
      <c r="L395" s="4" t="str">
        <f t="shared" si="6"/>
        <v>Different owner</v>
      </c>
    </row>
    <row r="396" spans="1:12" ht="15" customHeight="1" x14ac:dyDescent="0.3">
      <c r="A396" s="4" t="s">
        <v>1764</v>
      </c>
      <c r="B396" s="4" t="s">
        <v>1765</v>
      </c>
      <c r="C396" s="4" t="s">
        <v>1766</v>
      </c>
      <c r="D396" s="4"/>
      <c r="E396" s="4" t="s">
        <v>47</v>
      </c>
      <c r="F396" s="4" t="s">
        <v>1767</v>
      </c>
      <c r="G396" s="4" t="s">
        <v>515</v>
      </c>
      <c r="H396" s="4" t="s">
        <v>68</v>
      </c>
      <c r="I396" s="4" t="s">
        <v>995</v>
      </c>
      <c r="J396" s="4" t="s">
        <v>102</v>
      </c>
      <c r="K396" s="4" t="s">
        <v>1766</v>
      </c>
      <c r="L396" s="4" t="str">
        <f t="shared" si="6"/>
        <v>Different owner</v>
      </c>
    </row>
    <row r="397" spans="1:12" ht="15" customHeight="1" x14ac:dyDescent="0.3">
      <c r="A397" s="4" t="s">
        <v>1768</v>
      </c>
      <c r="B397" s="4" t="s">
        <v>1769</v>
      </c>
      <c r="C397" s="4" t="s">
        <v>1770</v>
      </c>
      <c r="D397" s="4"/>
      <c r="E397" s="4" t="s">
        <v>56</v>
      </c>
      <c r="F397" s="4" t="s">
        <v>1771</v>
      </c>
      <c r="G397" s="4" t="s">
        <v>49</v>
      </c>
      <c r="H397" s="4" t="s">
        <v>41</v>
      </c>
      <c r="I397" s="4" t="s">
        <v>1772</v>
      </c>
      <c r="J397" s="4" t="s">
        <v>60</v>
      </c>
      <c r="K397" s="4" t="s">
        <v>1770</v>
      </c>
      <c r="L397" s="4" t="str">
        <f t="shared" si="6"/>
        <v>Different owner</v>
      </c>
    </row>
    <row r="398" spans="1:12" ht="15" customHeight="1" x14ac:dyDescent="0.3">
      <c r="A398" s="4" t="s">
        <v>660</v>
      </c>
      <c r="B398" s="4" t="s">
        <v>1773</v>
      </c>
      <c r="C398" s="4"/>
      <c r="D398" s="4" t="s">
        <v>1774</v>
      </c>
      <c r="E398" s="4" t="s">
        <v>385</v>
      </c>
      <c r="F398" s="4" t="s">
        <v>1775</v>
      </c>
      <c r="G398" s="4" t="s">
        <v>58</v>
      </c>
      <c r="H398" s="4" t="s">
        <v>41</v>
      </c>
      <c r="I398" s="4" t="s">
        <v>101</v>
      </c>
      <c r="J398" s="4" t="s">
        <v>66</v>
      </c>
      <c r="K398" s="4" t="s">
        <v>1776</v>
      </c>
      <c r="L398" s="4" t="str">
        <f t="shared" si="6"/>
        <v>Different owner &amp; contact</v>
      </c>
    </row>
    <row r="399" spans="1:12" ht="15" customHeight="1" x14ac:dyDescent="0.3">
      <c r="A399" s="4" t="s">
        <v>1777</v>
      </c>
      <c r="B399" s="4" t="s">
        <v>1773</v>
      </c>
      <c r="C399" s="4" t="s">
        <v>1776</v>
      </c>
      <c r="D399" s="4"/>
      <c r="E399" s="4" t="s">
        <v>66</v>
      </c>
      <c r="F399" s="4" t="s">
        <v>1775</v>
      </c>
      <c r="G399" s="4" t="s">
        <v>58</v>
      </c>
      <c r="H399" s="4" t="s">
        <v>41</v>
      </c>
      <c r="I399" s="4" t="s">
        <v>101</v>
      </c>
      <c r="J399" s="4" t="s">
        <v>66</v>
      </c>
      <c r="K399" s="4" t="s">
        <v>1776</v>
      </c>
      <c r="L399" s="4" t="str">
        <f t="shared" si="6"/>
        <v>Match</v>
      </c>
    </row>
    <row r="400" spans="1:12" ht="15" customHeight="1" x14ac:dyDescent="0.3">
      <c r="A400" s="4" t="s">
        <v>1778</v>
      </c>
      <c r="B400" s="4" t="s">
        <v>1773</v>
      </c>
      <c r="C400" s="4" t="s">
        <v>1779</v>
      </c>
      <c r="D400" s="4" t="s">
        <v>1780</v>
      </c>
      <c r="E400" s="4" t="s">
        <v>66</v>
      </c>
      <c r="F400" s="4" t="s">
        <v>1775</v>
      </c>
      <c r="G400" s="4" t="s">
        <v>58</v>
      </c>
      <c r="H400" s="4" t="s">
        <v>41</v>
      </c>
      <c r="I400" s="4" t="s">
        <v>101</v>
      </c>
      <c r="J400" s="4" t="s">
        <v>66</v>
      </c>
      <c r="K400" s="4" t="s">
        <v>1776</v>
      </c>
      <c r="L400" s="4" t="str">
        <f t="shared" si="6"/>
        <v>Different contact</v>
      </c>
    </row>
    <row r="401" spans="1:12" ht="15" customHeight="1" x14ac:dyDescent="0.3">
      <c r="A401" s="4" t="s">
        <v>1781</v>
      </c>
      <c r="B401" s="4" t="s">
        <v>1773</v>
      </c>
      <c r="C401" s="4" t="s">
        <v>1782</v>
      </c>
      <c r="D401" s="4" t="s">
        <v>1780</v>
      </c>
      <c r="E401" s="4" t="s">
        <v>66</v>
      </c>
      <c r="F401" s="4" t="s">
        <v>1775</v>
      </c>
      <c r="G401" s="4" t="s">
        <v>58</v>
      </c>
      <c r="H401" s="4" t="s">
        <v>41</v>
      </c>
      <c r="I401" s="4" t="s">
        <v>101</v>
      </c>
      <c r="J401" s="4" t="s">
        <v>66</v>
      </c>
      <c r="K401" s="4" t="s">
        <v>1776</v>
      </c>
      <c r="L401" s="4" t="str">
        <f t="shared" si="6"/>
        <v>Different contact</v>
      </c>
    </row>
    <row r="402" spans="1:12" ht="15" customHeight="1" x14ac:dyDescent="0.3">
      <c r="A402" s="4" t="s">
        <v>1783</v>
      </c>
      <c r="B402" s="4" t="s">
        <v>1784</v>
      </c>
      <c r="C402" s="4" t="s">
        <v>1785</v>
      </c>
      <c r="D402" s="4" t="s">
        <v>1786</v>
      </c>
      <c r="E402" s="4" t="s">
        <v>91</v>
      </c>
      <c r="F402" s="4" t="s">
        <v>1787</v>
      </c>
      <c r="G402" s="4" t="s">
        <v>1326</v>
      </c>
      <c r="H402" s="4" t="s">
        <v>68</v>
      </c>
      <c r="I402" s="4" t="s">
        <v>93</v>
      </c>
      <c r="J402" s="4" t="s">
        <v>94</v>
      </c>
      <c r="K402" s="4" t="s">
        <v>1788</v>
      </c>
      <c r="L402" s="4" t="str">
        <f t="shared" si="6"/>
        <v>Different owner &amp; contact</v>
      </c>
    </row>
    <row r="403" spans="1:12" ht="15" customHeight="1" x14ac:dyDescent="0.3">
      <c r="A403" s="4" t="s">
        <v>1789</v>
      </c>
      <c r="B403" s="4" t="s">
        <v>1784</v>
      </c>
      <c r="C403" s="4"/>
      <c r="D403" s="4" t="s">
        <v>1786</v>
      </c>
      <c r="E403" s="4" t="s">
        <v>172</v>
      </c>
      <c r="F403" s="4" t="s">
        <v>1787</v>
      </c>
      <c r="G403" s="4" t="s">
        <v>1326</v>
      </c>
      <c r="H403" s="4" t="s">
        <v>68</v>
      </c>
      <c r="I403" s="4" t="s">
        <v>93</v>
      </c>
      <c r="J403" s="4" t="s">
        <v>94</v>
      </c>
      <c r="K403" s="4" t="s">
        <v>1788</v>
      </c>
      <c r="L403" s="4" t="str">
        <f t="shared" si="6"/>
        <v>Different owner &amp; contact</v>
      </c>
    </row>
    <row r="404" spans="1:12" ht="15" customHeight="1" x14ac:dyDescent="0.3">
      <c r="A404" s="4" t="s">
        <v>1790</v>
      </c>
      <c r="B404" s="4" t="s">
        <v>1784</v>
      </c>
      <c r="C404" s="4"/>
      <c r="D404" s="4" t="s">
        <v>1791</v>
      </c>
      <c r="E404" s="4" t="s">
        <v>385</v>
      </c>
      <c r="F404" s="4" t="s">
        <v>1787</v>
      </c>
      <c r="G404" s="4" t="s">
        <v>1326</v>
      </c>
      <c r="H404" s="4" t="s">
        <v>68</v>
      </c>
      <c r="I404" s="4" t="s">
        <v>93</v>
      </c>
      <c r="J404" s="4" t="s">
        <v>94</v>
      </c>
      <c r="K404" s="4" t="s">
        <v>1788</v>
      </c>
      <c r="L404" s="4" t="str">
        <f t="shared" si="6"/>
        <v>Different owner &amp; contact</v>
      </c>
    </row>
    <row r="405" spans="1:12" ht="15" customHeight="1" x14ac:dyDescent="0.3">
      <c r="A405" s="4" t="s">
        <v>1792</v>
      </c>
      <c r="B405" s="4" t="s">
        <v>1793</v>
      </c>
      <c r="C405" s="4" t="s">
        <v>1794</v>
      </c>
      <c r="D405" s="4" t="s">
        <v>1795</v>
      </c>
      <c r="E405" s="4" t="s">
        <v>27</v>
      </c>
      <c r="F405" s="4" t="s">
        <v>1796</v>
      </c>
      <c r="G405" s="4" t="s">
        <v>124</v>
      </c>
      <c r="H405" s="4" t="s">
        <v>30</v>
      </c>
      <c r="I405" s="4" t="s">
        <v>42</v>
      </c>
      <c r="J405" s="4" t="s">
        <v>34</v>
      </c>
      <c r="K405" s="4" t="s">
        <v>1797</v>
      </c>
      <c r="L405" s="4" t="str">
        <f t="shared" si="6"/>
        <v>Different owner &amp; contact</v>
      </c>
    </row>
    <row r="406" spans="1:12" ht="15" customHeight="1" x14ac:dyDescent="0.3">
      <c r="A406" s="4" t="s">
        <v>1798</v>
      </c>
      <c r="B406" s="4" t="s">
        <v>1793</v>
      </c>
      <c r="C406" s="4"/>
      <c r="D406" s="4"/>
      <c r="E406" s="4" t="s">
        <v>34</v>
      </c>
      <c r="F406" s="4" t="s">
        <v>1796</v>
      </c>
      <c r="G406" s="4" t="s">
        <v>124</v>
      </c>
      <c r="H406" s="4" t="s">
        <v>30</v>
      </c>
      <c r="I406" s="4" t="s">
        <v>42</v>
      </c>
      <c r="J406" s="4" t="s">
        <v>34</v>
      </c>
      <c r="K406" s="4" t="s">
        <v>1797</v>
      </c>
      <c r="L406" s="4" t="str">
        <f t="shared" si="6"/>
        <v>Different contact</v>
      </c>
    </row>
    <row r="407" spans="1:12" ht="15" customHeight="1" x14ac:dyDescent="0.3">
      <c r="A407" s="4" t="s">
        <v>1799</v>
      </c>
      <c r="B407" s="4" t="s">
        <v>1800</v>
      </c>
      <c r="C407" s="4" t="s">
        <v>1801</v>
      </c>
      <c r="D407" s="4" t="s">
        <v>1802</v>
      </c>
      <c r="E407" s="4" t="s">
        <v>27</v>
      </c>
      <c r="F407" s="4" t="s">
        <v>1803</v>
      </c>
      <c r="G407" s="4" t="s">
        <v>515</v>
      </c>
      <c r="H407" s="4" t="s">
        <v>68</v>
      </c>
      <c r="I407" s="4" t="s">
        <v>69</v>
      </c>
      <c r="J407" s="4" t="s">
        <v>32</v>
      </c>
      <c r="K407" s="4" t="s">
        <v>1801</v>
      </c>
      <c r="L407" s="4" t="str">
        <f t="shared" si="6"/>
        <v>Different owner</v>
      </c>
    </row>
    <row r="408" spans="1:12" ht="15" customHeight="1" x14ac:dyDescent="0.3">
      <c r="A408" s="4" t="s">
        <v>1804</v>
      </c>
      <c r="B408" s="4" t="s">
        <v>1805</v>
      </c>
      <c r="C408" s="4" t="s">
        <v>1806</v>
      </c>
      <c r="D408" s="4"/>
      <c r="E408" s="4" t="s">
        <v>56</v>
      </c>
      <c r="F408" s="4" t="s">
        <v>1807</v>
      </c>
      <c r="G408" s="4" t="s">
        <v>58</v>
      </c>
      <c r="H408" s="4" t="s">
        <v>68</v>
      </c>
      <c r="I408" s="4" t="s">
        <v>1089</v>
      </c>
      <c r="J408" s="4" t="s">
        <v>102</v>
      </c>
      <c r="K408" s="4" t="s">
        <v>1806</v>
      </c>
      <c r="L408" s="4" t="str">
        <f t="shared" si="6"/>
        <v>Different owner</v>
      </c>
    </row>
    <row r="409" spans="1:12" ht="15" customHeight="1" x14ac:dyDescent="0.3">
      <c r="A409" s="4" t="s">
        <v>1808</v>
      </c>
      <c r="B409" s="4" t="s">
        <v>1809</v>
      </c>
      <c r="C409" s="4" t="s">
        <v>1810</v>
      </c>
      <c r="D409" s="4"/>
      <c r="E409" s="4" t="s">
        <v>343</v>
      </c>
      <c r="F409" s="4" t="s">
        <v>1811</v>
      </c>
      <c r="G409" s="4" t="s">
        <v>361</v>
      </c>
      <c r="H409" s="4" t="s">
        <v>41</v>
      </c>
      <c r="I409" s="4" t="s">
        <v>101</v>
      </c>
      <c r="J409" s="4" t="s">
        <v>102</v>
      </c>
      <c r="K409" s="4" t="s">
        <v>1810</v>
      </c>
      <c r="L409" s="4" t="str">
        <f t="shared" si="6"/>
        <v>Different owner</v>
      </c>
    </row>
    <row r="410" spans="1:12" ht="15" customHeight="1" x14ac:dyDescent="0.3">
      <c r="A410" s="4" t="s">
        <v>1812</v>
      </c>
      <c r="B410" s="4" t="s">
        <v>1813</v>
      </c>
      <c r="C410" s="4" t="s">
        <v>1814</v>
      </c>
      <c r="D410" s="4"/>
      <c r="E410" s="4" t="s">
        <v>66</v>
      </c>
      <c r="F410" s="4" t="s">
        <v>1815</v>
      </c>
      <c r="G410" s="4" t="s">
        <v>138</v>
      </c>
      <c r="H410" s="4" t="s">
        <v>30</v>
      </c>
      <c r="I410" s="4" t="s">
        <v>125</v>
      </c>
      <c r="J410" s="4" t="s">
        <v>1816</v>
      </c>
      <c r="K410" s="4" t="s">
        <v>1814</v>
      </c>
      <c r="L410" s="4" t="str">
        <f t="shared" si="6"/>
        <v>Different owner</v>
      </c>
    </row>
    <row r="411" spans="1:12" ht="15" customHeight="1" x14ac:dyDescent="0.3">
      <c r="A411" s="4" t="s">
        <v>1817</v>
      </c>
      <c r="B411" s="4" t="s">
        <v>1818</v>
      </c>
      <c r="C411" s="4" t="s">
        <v>1819</v>
      </c>
      <c r="D411" s="4" t="s">
        <v>1820</v>
      </c>
      <c r="E411" s="4" t="s">
        <v>27</v>
      </c>
      <c r="F411" s="4" t="s">
        <v>1821</v>
      </c>
      <c r="G411" s="4" t="s">
        <v>138</v>
      </c>
      <c r="H411" s="4" t="s">
        <v>68</v>
      </c>
      <c r="I411" s="4" t="s">
        <v>228</v>
      </c>
      <c r="J411" s="4" t="s">
        <v>34</v>
      </c>
      <c r="K411" s="4" t="s">
        <v>1819</v>
      </c>
      <c r="L411" s="4" t="str">
        <f t="shared" si="6"/>
        <v>Different owner</v>
      </c>
    </row>
    <row r="412" spans="1:12" ht="15" customHeight="1" x14ac:dyDescent="0.3">
      <c r="A412" s="4" t="s">
        <v>1822</v>
      </c>
      <c r="B412" s="4" t="s">
        <v>1823</v>
      </c>
      <c r="C412" s="4" t="s">
        <v>1824</v>
      </c>
      <c r="D412" s="4"/>
      <c r="E412" s="4" t="s">
        <v>172</v>
      </c>
      <c r="F412" s="4" t="s">
        <v>1825</v>
      </c>
      <c r="G412" s="4" t="s">
        <v>58</v>
      </c>
      <c r="H412" s="4" t="s">
        <v>174</v>
      </c>
      <c r="I412" s="4" t="s">
        <v>175</v>
      </c>
      <c r="J412" s="4" t="s">
        <v>176</v>
      </c>
      <c r="K412" s="4" t="s">
        <v>1824</v>
      </c>
      <c r="L412" s="4" t="str">
        <f t="shared" si="6"/>
        <v>Different owner</v>
      </c>
    </row>
    <row r="413" spans="1:12" ht="15" customHeight="1" x14ac:dyDescent="0.3">
      <c r="A413" s="4" t="s">
        <v>1826</v>
      </c>
      <c r="B413" s="4" t="s">
        <v>1823</v>
      </c>
      <c r="C413" s="4"/>
      <c r="D413" s="4" t="s">
        <v>1827</v>
      </c>
      <c r="E413" s="4" t="s">
        <v>172</v>
      </c>
      <c r="F413" s="4" t="s">
        <v>1825</v>
      </c>
      <c r="G413" s="4" t="s">
        <v>58</v>
      </c>
      <c r="H413" s="4" t="s">
        <v>174</v>
      </c>
      <c r="I413" s="4" t="s">
        <v>175</v>
      </c>
      <c r="J413" s="4" t="s">
        <v>176</v>
      </c>
      <c r="K413" s="4" t="s">
        <v>1824</v>
      </c>
      <c r="L413" s="4" t="str">
        <f t="shared" si="6"/>
        <v>Different owner &amp; contact</v>
      </c>
    </row>
    <row r="414" spans="1:12" ht="15" customHeight="1" x14ac:dyDescent="0.3">
      <c r="A414" s="4" t="s">
        <v>1828</v>
      </c>
      <c r="B414" s="4" t="s">
        <v>1829</v>
      </c>
      <c r="C414" s="4" t="s">
        <v>1830</v>
      </c>
      <c r="D414" s="4"/>
      <c r="E414" s="4" t="s">
        <v>56</v>
      </c>
      <c r="F414" s="4" t="s">
        <v>1831</v>
      </c>
      <c r="G414" s="4" t="s">
        <v>49</v>
      </c>
      <c r="H414" s="4" t="s">
        <v>68</v>
      </c>
      <c r="I414" s="4" t="s">
        <v>1832</v>
      </c>
      <c r="J414" s="4" t="s">
        <v>60</v>
      </c>
      <c r="K414" s="4" t="s">
        <v>1833</v>
      </c>
      <c r="L414" s="4" t="str">
        <f t="shared" si="6"/>
        <v>Different owner &amp; contact</v>
      </c>
    </row>
    <row r="415" spans="1:12" ht="15" customHeight="1" x14ac:dyDescent="0.3">
      <c r="A415" s="4" t="s">
        <v>1834</v>
      </c>
      <c r="B415" s="4" t="s">
        <v>1829</v>
      </c>
      <c r="C415" s="4" t="s">
        <v>1833</v>
      </c>
      <c r="D415" s="4"/>
      <c r="E415" s="4" t="s">
        <v>56</v>
      </c>
      <c r="F415" s="4" t="s">
        <v>1831</v>
      </c>
      <c r="G415" s="4" t="s">
        <v>49</v>
      </c>
      <c r="H415" s="4" t="s">
        <v>68</v>
      </c>
      <c r="I415" s="4" t="s">
        <v>1832</v>
      </c>
      <c r="J415" s="4" t="s">
        <v>60</v>
      </c>
      <c r="K415" s="4" t="s">
        <v>1833</v>
      </c>
      <c r="L415" s="4" t="str">
        <f t="shared" si="6"/>
        <v>Different owner</v>
      </c>
    </row>
    <row r="416" spans="1:12" ht="15" customHeight="1" x14ac:dyDescent="0.3">
      <c r="A416" s="4" t="s">
        <v>1835</v>
      </c>
      <c r="B416" s="4" t="s">
        <v>1836</v>
      </c>
      <c r="C416" s="4" t="s">
        <v>1837</v>
      </c>
      <c r="D416" s="4"/>
      <c r="E416" s="4" t="s">
        <v>343</v>
      </c>
      <c r="F416" s="4" t="s">
        <v>1838</v>
      </c>
      <c r="G416" s="4" t="s">
        <v>58</v>
      </c>
      <c r="H416" s="4" t="s">
        <v>41</v>
      </c>
      <c r="I416" s="4" t="s">
        <v>101</v>
      </c>
      <c r="J416" s="4" t="s">
        <v>66</v>
      </c>
      <c r="K416" s="4" t="s">
        <v>1839</v>
      </c>
      <c r="L416" s="4" t="str">
        <f t="shared" si="6"/>
        <v>Different owner &amp; contact</v>
      </c>
    </row>
    <row r="417" spans="1:12" ht="15" customHeight="1" x14ac:dyDescent="0.3">
      <c r="A417" s="4" t="s">
        <v>1840</v>
      </c>
      <c r="B417" s="4" t="s">
        <v>1836</v>
      </c>
      <c r="C417" s="4" t="s">
        <v>1841</v>
      </c>
      <c r="D417" s="4" t="s">
        <v>1842</v>
      </c>
      <c r="E417" s="4" t="s">
        <v>66</v>
      </c>
      <c r="F417" s="4" t="s">
        <v>1838</v>
      </c>
      <c r="G417" s="4" t="s">
        <v>58</v>
      </c>
      <c r="H417" s="4" t="s">
        <v>41</v>
      </c>
      <c r="I417" s="4" t="s">
        <v>101</v>
      </c>
      <c r="J417" s="4" t="s">
        <v>66</v>
      </c>
      <c r="K417" s="4" t="s">
        <v>1839</v>
      </c>
      <c r="L417" s="4" t="str">
        <f t="shared" si="6"/>
        <v>Different contact</v>
      </c>
    </row>
    <row r="418" spans="1:12" ht="15" customHeight="1" x14ac:dyDescent="0.3">
      <c r="A418" s="4" t="s">
        <v>1840</v>
      </c>
      <c r="B418" s="4" t="s">
        <v>1836</v>
      </c>
      <c r="C418" s="4" t="s">
        <v>1843</v>
      </c>
      <c r="D418" s="4" t="s">
        <v>1844</v>
      </c>
      <c r="E418" s="4" t="s">
        <v>66</v>
      </c>
      <c r="F418" s="4" t="s">
        <v>1838</v>
      </c>
      <c r="G418" s="4" t="s">
        <v>58</v>
      </c>
      <c r="H418" s="4" t="s">
        <v>41</v>
      </c>
      <c r="I418" s="4" t="s">
        <v>101</v>
      </c>
      <c r="J418" s="4" t="s">
        <v>66</v>
      </c>
      <c r="K418" s="4" t="s">
        <v>1839</v>
      </c>
      <c r="L418" s="4" t="str">
        <f t="shared" si="6"/>
        <v>Different contact</v>
      </c>
    </row>
    <row r="419" spans="1:12" ht="15" customHeight="1" x14ac:dyDescent="0.3">
      <c r="A419" s="4" t="s">
        <v>1845</v>
      </c>
      <c r="B419" s="4" t="s">
        <v>1846</v>
      </c>
      <c r="C419" s="4" t="s">
        <v>1847</v>
      </c>
      <c r="D419" s="4" t="s">
        <v>1848</v>
      </c>
      <c r="E419" s="4" t="s">
        <v>56</v>
      </c>
      <c r="F419" s="4" t="s">
        <v>1849</v>
      </c>
      <c r="G419" s="4" t="s">
        <v>29</v>
      </c>
      <c r="H419" s="4" t="s">
        <v>41</v>
      </c>
      <c r="I419" s="4" t="s">
        <v>228</v>
      </c>
      <c r="J419" s="4" t="s">
        <v>34</v>
      </c>
      <c r="K419" s="4" t="s">
        <v>1850</v>
      </c>
      <c r="L419" s="4" t="str">
        <f t="shared" si="6"/>
        <v>Different owner &amp; contact</v>
      </c>
    </row>
    <row r="420" spans="1:12" ht="15" customHeight="1" x14ac:dyDescent="0.3">
      <c r="A420" s="4" t="s">
        <v>1090</v>
      </c>
      <c r="B420" s="4" t="s">
        <v>1851</v>
      </c>
      <c r="C420" s="4" t="s">
        <v>1852</v>
      </c>
      <c r="D420" s="4" t="s">
        <v>1853</v>
      </c>
      <c r="E420" s="4" t="s">
        <v>106</v>
      </c>
      <c r="F420" s="4" t="s">
        <v>1854</v>
      </c>
      <c r="G420" s="4" t="s">
        <v>100</v>
      </c>
      <c r="H420" s="4" t="s">
        <v>30</v>
      </c>
      <c r="I420" s="4" t="s">
        <v>125</v>
      </c>
      <c r="J420" s="4" t="s">
        <v>106</v>
      </c>
      <c r="K420" s="4" t="s">
        <v>1855</v>
      </c>
      <c r="L420" s="4" t="str">
        <f t="shared" si="6"/>
        <v>Different contact</v>
      </c>
    </row>
    <row r="421" spans="1:12" ht="15" customHeight="1" x14ac:dyDescent="0.3">
      <c r="A421" s="4" t="s">
        <v>1856</v>
      </c>
      <c r="B421" s="4" t="s">
        <v>1857</v>
      </c>
      <c r="C421" s="4" t="s">
        <v>1858</v>
      </c>
      <c r="D421" s="4"/>
      <c r="E421" s="4" t="s">
        <v>56</v>
      </c>
      <c r="F421" s="4" t="s">
        <v>1859</v>
      </c>
      <c r="G421" s="4" t="s">
        <v>100</v>
      </c>
      <c r="H421" s="4" t="s">
        <v>30</v>
      </c>
      <c r="I421" s="4" t="s">
        <v>125</v>
      </c>
      <c r="J421" s="4" t="s">
        <v>32</v>
      </c>
      <c r="K421" s="4" t="s">
        <v>1860</v>
      </c>
      <c r="L421" s="4" t="str">
        <f t="shared" si="6"/>
        <v>Different owner &amp; contact</v>
      </c>
    </row>
    <row r="422" spans="1:12" ht="15" customHeight="1" x14ac:dyDescent="0.3">
      <c r="A422" s="4" t="s">
        <v>1861</v>
      </c>
      <c r="B422" s="4" t="s">
        <v>1862</v>
      </c>
      <c r="C422" s="4" t="s">
        <v>1863</v>
      </c>
      <c r="D422" s="4" t="s">
        <v>1864</v>
      </c>
      <c r="E422" s="4" t="s">
        <v>106</v>
      </c>
      <c r="F422" s="4" t="s">
        <v>1865</v>
      </c>
      <c r="G422" s="4" t="s">
        <v>58</v>
      </c>
      <c r="H422" s="4" t="s">
        <v>41</v>
      </c>
      <c r="I422" s="4" t="s">
        <v>638</v>
      </c>
      <c r="J422" s="4" t="s">
        <v>106</v>
      </c>
      <c r="K422" s="4" t="s">
        <v>1866</v>
      </c>
      <c r="L422" s="4" t="str">
        <f t="shared" si="6"/>
        <v>Different contact</v>
      </c>
    </row>
    <row r="423" spans="1:12" ht="15" customHeight="1" x14ac:dyDescent="0.3">
      <c r="A423" s="4" t="s">
        <v>1867</v>
      </c>
      <c r="B423" s="4" t="s">
        <v>1868</v>
      </c>
      <c r="C423" s="4" t="s">
        <v>1869</v>
      </c>
      <c r="D423" s="4" t="s">
        <v>1870</v>
      </c>
      <c r="E423" s="4" t="s">
        <v>91</v>
      </c>
      <c r="F423" s="4" t="s">
        <v>1871</v>
      </c>
      <c r="G423" s="4" t="s">
        <v>49</v>
      </c>
      <c r="H423" s="4" t="s">
        <v>41</v>
      </c>
      <c r="I423" s="4" t="s">
        <v>131</v>
      </c>
      <c r="J423" s="4" t="s">
        <v>94</v>
      </c>
      <c r="K423" s="4" t="s">
        <v>1869</v>
      </c>
      <c r="L423" s="4" t="str">
        <f t="shared" si="6"/>
        <v>Different owner</v>
      </c>
    </row>
    <row r="424" spans="1:12" ht="15" customHeight="1" x14ac:dyDescent="0.3">
      <c r="A424" s="4" t="s">
        <v>1872</v>
      </c>
      <c r="B424" s="4" t="s">
        <v>1873</v>
      </c>
      <c r="C424" s="4"/>
      <c r="D424" s="4" t="s">
        <v>1874</v>
      </c>
      <c r="E424" s="4" t="s">
        <v>385</v>
      </c>
      <c r="F424" s="4" t="s">
        <v>1875</v>
      </c>
      <c r="G424" s="4" t="s">
        <v>58</v>
      </c>
      <c r="H424" s="4" t="s">
        <v>41</v>
      </c>
      <c r="I424" s="4" t="s">
        <v>149</v>
      </c>
      <c r="J424" s="4" t="s">
        <v>34</v>
      </c>
      <c r="K424" s="4" t="s">
        <v>1876</v>
      </c>
      <c r="L424" s="4" t="str">
        <f t="shared" si="6"/>
        <v>Different owner &amp; contact</v>
      </c>
    </row>
    <row r="425" spans="1:12" ht="15" customHeight="1" x14ac:dyDescent="0.3">
      <c r="A425" s="4" t="s">
        <v>1877</v>
      </c>
      <c r="B425" s="4" t="s">
        <v>1873</v>
      </c>
      <c r="C425" s="4" t="s">
        <v>1878</v>
      </c>
      <c r="D425" s="4" t="s">
        <v>1879</v>
      </c>
      <c r="E425" s="4" t="s">
        <v>27</v>
      </c>
      <c r="F425" s="4" t="s">
        <v>1875</v>
      </c>
      <c r="G425" s="4" t="s">
        <v>58</v>
      </c>
      <c r="H425" s="4" t="s">
        <v>41</v>
      </c>
      <c r="I425" s="4" t="s">
        <v>149</v>
      </c>
      <c r="J425" s="4" t="s">
        <v>34</v>
      </c>
      <c r="K425" s="4" t="s">
        <v>1876</v>
      </c>
      <c r="L425" s="4" t="str">
        <f t="shared" si="6"/>
        <v>Different owner &amp; contact</v>
      </c>
    </row>
    <row r="426" spans="1:12" ht="15" customHeight="1" x14ac:dyDescent="0.3">
      <c r="A426" s="4" t="s">
        <v>1880</v>
      </c>
      <c r="B426" s="4" t="s">
        <v>1873</v>
      </c>
      <c r="C426" s="4" t="s">
        <v>1876</v>
      </c>
      <c r="D426" s="4" t="s">
        <v>1881</v>
      </c>
      <c r="E426" s="4" t="s">
        <v>27</v>
      </c>
      <c r="F426" s="4" t="s">
        <v>1875</v>
      </c>
      <c r="G426" s="4" t="s">
        <v>58</v>
      </c>
      <c r="H426" s="4" t="s">
        <v>41</v>
      </c>
      <c r="I426" s="4" t="s">
        <v>149</v>
      </c>
      <c r="J426" s="4" t="s">
        <v>34</v>
      </c>
      <c r="K426" s="4" t="s">
        <v>1876</v>
      </c>
      <c r="L426" s="4" t="str">
        <f t="shared" si="6"/>
        <v>Different owner</v>
      </c>
    </row>
    <row r="427" spans="1:12" ht="15" customHeight="1" x14ac:dyDescent="0.3">
      <c r="A427" s="4" t="s">
        <v>1882</v>
      </c>
      <c r="B427" s="4" t="s">
        <v>1873</v>
      </c>
      <c r="C427" s="4" t="s">
        <v>1883</v>
      </c>
      <c r="D427" s="4" t="s">
        <v>1884</v>
      </c>
      <c r="E427" s="4" t="s">
        <v>27</v>
      </c>
      <c r="F427" s="4" t="s">
        <v>1875</v>
      </c>
      <c r="G427" s="4" t="s">
        <v>58</v>
      </c>
      <c r="H427" s="4" t="s">
        <v>41</v>
      </c>
      <c r="I427" s="4" t="s">
        <v>149</v>
      </c>
      <c r="J427" s="4" t="s">
        <v>34</v>
      </c>
      <c r="K427" s="4" t="s">
        <v>1876</v>
      </c>
      <c r="L427" s="4" t="str">
        <f t="shared" si="6"/>
        <v>Different owner &amp; contact</v>
      </c>
    </row>
    <row r="428" spans="1:12" ht="15" customHeight="1" x14ac:dyDescent="0.3">
      <c r="A428" s="4" t="s">
        <v>1885</v>
      </c>
      <c r="B428" s="4" t="s">
        <v>1886</v>
      </c>
      <c r="C428" s="4" t="s">
        <v>1887</v>
      </c>
      <c r="D428" s="4" t="s">
        <v>1888</v>
      </c>
      <c r="E428" s="4" t="s">
        <v>66</v>
      </c>
      <c r="F428" s="4" t="s">
        <v>1889</v>
      </c>
      <c r="G428" s="4" t="s">
        <v>40</v>
      </c>
      <c r="H428" s="4" t="s">
        <v>41</v>
      </c>
      <c r="I428" s="4" t="s">
        <v>101</v>
      </c>
      <c r="J428" s="4" t="s">
        <v>66</v>
      </c>
      <c r="K428" s="4" t="s">
        <v>1890</v>
      </c>
      <c r="L428" s="4" t="str">
        <f t="shared" si="6"/>
        <v>Different contact</v>
      </c>
    </row>
    <row r="429" spans="1:12" ht="15" customHeight="1" x14ac:dyDescent="0.3">
      <c r="A429" s="4" t="s">
        <v>1891</v>
      </c>
      <c r="B429" s="4" t="s">
        <v>1892</v>
      </c>
      <c r="C429" s="4" t="s">
        <v>1893</v>
      </c>
      <c r="D429" s="4"/>
      <c r="E429" s="4" t="s">
        <v>66</v>
      </c>
      <c r="F429" s="4" t="s">
        <v>1894</v>
      </c>
      <c r="G429" s="4" t="s">
        <v>84</v>
      </c>
      <c r="H429" s="4" t="s">
        <v>41</v>
      </c>
      <c r="I429" s="4" t="s">
        <v>1895</v>
      </c>
      <c r="J429" s="4" t="s">
        <v>66</v>
      </c>
      <c r="K429" s="4" t="s">
        <v>1893</v>
      </c>
      <c r="L429" s="4" t="str">
        <f t="shared" si="6"/>
        <v>Match</v>
      </c>
    </row>
    <row r="430" spans="1:12" ht="15" customHeight="1" x14ac:dyDescent="0.3">
      <c r="A430" s="4" t="s">
        <v>1896</v>
      </c>
      <c r="B430" s="4" t="s">
        <v>1897</v>
      </c>
      <c r="C430" s="4"/>
      <c r="D430" s="4"/>
      <c r="E430" s="4" t="s">
        <v>34</v>
      </c>
      <c r="F430" s="4" t="s">
        <v>1898</v>
      </c>
      <c r="G430" s="4" t="s">
        <v>29</v>
      </c>
      <c r="H430" s="4" t="s">
        <v>41</v>
      </c>
      <c r="I430" s="4" t="s">
        <v>210</v>
      </c>
      <c r="J430" s="4" t="s">
        <v>102</v>
      </c>
      <c r="K430" s="4" t="s">
        <v>1899</v>
      </c>
      <c r="L430" s="4" t="str">
        <f t="shared" si="6"/>
        <v>Different owner &amp; contact</v>
      </c>
    </row>
    <row r="431" spans="1:12" ht="15" customHeight="1" x14ac:dyDescent="0.3">
      <c r="A431" s="4" t="s">
        <v>1900</v>
      </c>
      <c r="B431" s="4" t="s">
        <v>1897</v>
      </c>
      <c r="C431" s="4" t="s">
        <v>1901</v>
      </c>
      <c r="D431" s="4" t="s">
        <v>1902</v>
      </c>
      <c r="E431" s="4" t="s">
        <v>91</v>
      </c>
      <c r="F431" s="4" t="s">
        <v>1898</v>
      </c>
      <c r="G431" s="4" t="s">
        <v>29</v>
      </c>
      <c r="H431" s="4" t="s">
        <v>41</v>
      </c>
      <c r="I431" s="4" t="s">
        <v>210</v>
      </c>
      <c r="J431" s="4" t="s">
        <v>102</v>
      </c>
      <c r="K431" s="4" t="s">
        <v>1899</v>
      </c>
      <c r="L431" s="4" t="str">
        <f t="shared" si="6"/>
        <v>Different owner &amp; contact</v>
      </c>
    </row>
    <row r="432" spans="1:12" ht="15" customHeight="1" x14ac:dyDescent="0.3">
      <c r="A432" s="4" t="s">
        <v>1903</v>
      </c>
      <c r="B432" s="4" t="s">
        <v>1904</v>
      </c>
      <c r="C432" s="4" t="s">
        <v>1905</v>
      </c>
      <c r="D432" s="4" t="s">
        <v>1906</v>
      </c>
      <c r="E432" s="4" t="s">
        <v>66</v>
      </c>
      <c r="F432" s="4" t="s">
        <v>1907</v>
      </c>
      <c r="G432" s="4" t="s">
        <v>49</v>
      </c>
      <c r="H432" s="4" t="s">
        <v>41</v>
      </c>
      <c r="I432" s="4" t="s">
        <v>131</v>
      </c>
      <c r="J432" s="4" t="s">
        <v>66</v>
      </c>
      <c r="K432" s="4" t="s">
        <v>1908</v>
      </c>
      <c r="L432" s="4" t="str">
        <f t="shared" si="6"/>
        <v>Different contact</v>
      </c>
    </row>
    <row r="433" spans="1:12" ht="15" customHeight="1" x14ac:dyDescent="0.3">
      <c r="A433" s="4" t="s">
        <v>1903</v>
      </c>
      <c r="B433" s="4" t="s">
        <v>1904</v>
      </c>
      <c r="C433" s="4" t="s">
        <v>1909</v>
      </c>
      <c r="D433" s="4" t="s">
        <v>1906</v>
      </c>
      <c r="E433" s="4" t="s">
        <v>66</v>
      </c>
      <c r="F433" s="4" t="s">
        <v>1907</v>
      </c>
      <c r="G433" s="4" t="s">
        <v>49</v>
      </c>
      <c r="H433" s="4" t="s">
        <v>41</v>
      </c>
      <c r="I433" s="4" t="s">
        <v>131</v>
      </c>
      <c r="J433" s="4" t="s">
        <v>66</v>
      </c>
      <c r="K433" s="4" t="s">
        <v>1908</v>
      </c>
      <c r="L433" s="4" t="str">
        <f t="shared" si="6"/>
        <v>Different contact</v>
      </c>
    </row>
    <row r="434" spans="1:12" ht="15" customHeight="1" x14ac:dyDescent="0.3">
      <c r="A434" s="4" t="s">
        <v>1910</v>
      </c>
      <c r="B434" s="4" t="s">
        <v>1904</v>
      </c>
      <c r="C434" s="4" t="s">
        <v>1911</v>
      </c>
      <c r="D434" s="4" t="s">
        <v>1912</v>
      </c>
      <c r="E434" s="4" t="s">
        <v>66</v>
      </c>
      <c r="F434" s="4" t="s">
        <v>1907</v>
      </c>
      <c r="G434" s="4" t="s">
        <v>49</v>
      </c>
      <c r="H434" s="4" t="s">
        <v>41</v>
      </c>
      <c r="I434" s="4" t="s">
        <v>131</v>
      </c>
      <c r="J434" s="4" t="s">
        <v>66</v>
      </c>
      <c r="K434" s="4" t="s">
        <v>1908</v>
      </c>
      <c r="L434" s="4" t="str">
        <f t="shared" si="6"/>
        <v>Different contact</v>
      </c>
    </row>
    <row r="435" spans="1:12" ht="15" customHeight="1" x14ac:dyDescent="0.3">
      <c r="A435" s="4" t="s">
        <v>1913</v>
      </c>
      <c r="B435" s="4" t="s">
        <v>1914</v>
      </c>
      <c r="C435" s="4" t="s">
        <v>1915</v>
      </c>
      <c r="D435" s="4" t="s">
        <v>1916</v>
      </c>
      <c r="E435" s="4" t="s">
        <v>91</v>
      </c>
      <c r="F435" s="4" t="s">
        <v>1917</v>
      </c>
      <c r="G435" s="4" t="s">
        <v>130</v>
      </c>
      <c r="H435" s="4" t="s">
        <v>41</v>
      </c>
      <c r="I435" s="4" t="s">
        <v>131</v>
      </c>
      <c r="J435" s="4" t="s">
        <v>32</v>
      </c>
      <c r="K435" s="4"/>
      <c r="L435" s="4" t="str">
        <f t="shared" si="6"/>
        <v>Different owner &amp; contact</v>
      </c>
    </row>
    <row r="436" spans="1:12" ht="15" customHeight="1" x14ac:dyDescent="0.3">
      <c r="A436" s="4" t="s">
        <v>1918</v>
      </c>
      <c r="B436" s="4" t="s">
        <v>1919</v>
      </c>
      <c r="C436" s="4" t="s">
        <v>1920</v>
      </c>
      <c r="D436" s="4" t="s">
        <v>1921</v>
      </c>
      <c r="E436" s="4" t="s">
        <v>91</v>
      </c>
      <c r="F436" s="4" t="s">
        <v>1922</v>
      </c>
      <c r="G436" s="4" t="s">
        <v>58</v>
      </c>
      <c r="H436" s="4" t="s">
        <v>41</v>
      </c>
      <c r="I436" s="4" t="s">
        <v>131</v>
      </c>
      <c r="J436" s="4" t="s">
        <v>94</v>
      </c>
      <c r="K436" s="4" t="s">
        <v>1920</v>
      </c>
      <c r="L436" s="4" t="str">
        <f t="shared" si="6"/>
        <v>Different owner</v>
      </c>
    </row>
    <row r="437" spans="1:12" ht="15" customHeight="1" x14ac:dyDescent="0.3">
      <c r="A437" s="4" t="s">
        <v>1923</v>
      </c>
      <c r="B437" s="4" t="s">
        <v>1919</v>
      </c>
      <c r="C437" s="4"/>
      <c r="D437" s="4" t="s">
        <v>1924</v>
      </c>
      <c r="E437" s="4" t="s">
        <v>385</v>
      </c>
      <c r="F437" s="4" t="s">
        <v>1922</v>
      </c>
      <c r="G437" s="4" t="s">
        <v>58</v>
      </c>
      <c r="H437" s="4" t="s">
        <v>41</v>
      </c>
      <c r="I437" s="4" t="s">
        <v>131</v>
      </c>
      <c r="J437" s="4" t="s">
        <v>94</v>
      </c>
      <c r="K437" s="4" t="s">
        <v>1920</v>
      </c>
      <c r="L437" s="4" t="str">
        <f t="shared" si="6"/>
        <v>Different owner &amp; contact</v>
      </c>
    </row>
    <row r="438" spans="1:12" ht="15" customHeight="1" x14ac:dyDescent="0.3">
      <c r="A438" s="4" t="s">
        <v>1925</v>
      </c>
      <c r="B438" s="4" t="s">
        <v>1926</v>
      </c>
      <c r="C438" s="4" t="s">
        <v>1927</v>
      </c>
      <c r="D438" s="4" t="s">
        <v>1928</v>
      </c>
      <c r="E438" s="4" t="s">
        <v>47</v>
      </c>
      <c r="F438" s="4" t="s">
        <v>1929</v>
      </c>
      <c r="G438" s="4" t="s">
        <v>138</v>
      </c>
      <c r="H438" s="4" t="s">
        <v>68</v>
      </c>
      <c r="I438" s="4" t="s">
        <v>538</v>
      </c>
      <c r="J438" s="4" t="s">
        <v>32</v>
      </c>
      <c r="K438" s="4" t="s">
        <v>1927</v>
      </c>
      <c r="L438" s="4" t="str">
        <f t="shared" si="6"/>
        <v>Different owner</v>
      </c>
    </row>
    <row r="439" spans="1:12" ht="15" customHeight="1" x14ac:dyDescent="0.3">
      <c r="A439" s="4" t="s">
        <v>1930</v>
      </c>
      <c r="B439" s="4" t="s">
        <v>1931</v>
      </c>
      <c r="C439" s="4"/>
      <c r="D439" s="4" t="s">
        <v>1932</v>
      </c>
      <c r="E439" s="4" t="s">
        <v>1031</v>
      </c>
      <c r="F439" s="4" t="s">
        <v>1933</v>
      </c>
      <c r="G439" s="4" t="s">
        <v>293</v>
      </c>
      <c r="H439" s="4" t="s">
        <v>41</v>
      </c>
      <c r="I439" s="4" t="s">
        <v>516</v>
      </c>
      <c r="J439" s="4" t="s">
        <v>34</v>
      </c>
      <c r="K439" s="4" t="s">
        <v>1934</v>
      </c>
      <c r="L439" s="4" t="str">
        <f t="shared" si="6"/>
        <v>Different owner &amp; contact</v>
      </c>
    </row>
    <row r="440" spans="1:12" ht="15" customHeight="1" x14ac:dyDescent="0.3">
      <c r="A440" s="4" t="s">
        <v>1930</v>
      </c>
      <c r="B440" s="4" t="s">
        <v>1931</v>
      </c>
      <c r="C440" s="4"/>
      <c r="D440" s="4"/>
      <c r="E440" s="4" t="s">
        <v>34</v>
      </c>
      <c r="F440" s="4" t="s">
        <v>1933</v>
      </c>
      <c r="G440" s="4" t="s">
        <v>293</v>
      </c>
      <c r="H440" s="4" t="s">
        <v>41</v>
      </c>
      <c r="I440" s="4" t="s">
        <v>516</v>
      </c>
      <c r="J440" s="4" t="s">
        <v>34</v>
      </c>
      <c r="K440" s="4" t="s">
        <v>1934</v>
      </c>
      <c r="L440" s="4" t="str">
        <f t="shared" si="6"/>
        <v>Different contact</v>
      </c>
    </row>
    <row r="441" spans="1:12" ht="15" customHeight="1" x14ac:dyDescent="0.3">
      <c r="A441" s="4" t="s">
        <v>1935</v>
      </c>
      <c r="B441" s="4" t="s">
        <v>1936</v>
      </c>
      <c r="C441" s="4" t="s">
        <v>1937</v>
      </c>
      <c r="D441" s="4" t="s">
        <v>1938</v>
      </c>
      <c r="E441" s="4" t="s">
        <v>52</v>
      </c>
      <c r="F441" s="4" t="s">
        <v>1939</v>
      </c>
      <c r="G441" s="4" t="s">
        <v>577</v>
      </c>
      <c r="H441" s="4" t="s">
        <v>30</v>
      </c>
      <c r="I441" s="4" t="s">
        <v>125</v>
      </c>
      <c r="J441" s="4" t="s">
        <v>32</v>
      </c>
      <c r="K441" s="4" t="s">
        <v>1940</v>
      </c>
      <c r="L441" s="4" t="str">
        <f t="shared" si="6"/>
        <v>Different owner &amp; contact</v>
      </c>
    </row>
    <row r="442" spans="1:12" ht="15" customHeight="1" x14ac:dyDescent="0.3">
      <c r="A442" s="4" t="s">
        <v>1941</v>
      </c>
      <c r="B442" s="4" t="s">
        <v>1942</v>
      </c>
      <c r="C442" s="4"/>
      <c r="D442" s="4"/>
      <c r="E442" s="4" t="s">
        <v>34</v>
      </c>
      <c r="F442" s="4" t="s">
        <v>1943</v>
      </c>
      <c r="G442" s="4" t="s">
        <v>138</v>
      </c>
      <c r="H442" s="4" t="s">
        <v>68</v>
      </c>
      <c r="I442" s="4" t="s">
        <v>299</v>
      </c>
      <c r="J442" s="4" t="s">
        <v>34</v>
      </c>
      <c r="K442" s="4" t="s">
        <v>1944</v>
      </c>
      <c r="L442" s="4" t="str">
        <f t="shared" si="6"/>
        <v>Different contact</v>
      </c>
    </row>
    <row r="443" spans="1:12" ht="15" customHeight="1" x14ac:dyDescent="0.3">
      <c r="A443" s="4" t="s">
        <v>1945</v>
      </c>
      <c r="B443" s="4" t="s">
        <v>1942</v>
      </c>
      <c r="C443" s="4" t="s">
        <v>1944</v>
      </c>
      <c r="D443" s="4" t="s">
        <v>1946</v>
      </c>
      <c r="E443" s="4" t="s">
        <v>27</v>
      </c>
      <c r="F443" s="4" t="s">
        <v>1943</v>
      </c>
      <c r="G443" s="4" t="s">
        <v>138</v>
      </c>
      <c r="H443" s="4" t="s">
        <v>68</v>
      </c>
      <c r="I443" s="4" t="s">
        <v>299</v>
      </c>
      <c r="J443" s="4" t="s">
        <v>34</v>
      </c>
      <c r="K443" s="4" t="s">
        <v>1944</v>
      </c>
      <c r="L443" s="4" t="str">
        <f t="shared" si="6"/>
        <v>Different owner</v>
      </c>
    </row>
    <row r="444" spans="1:12" ht="15" customHeight="1" x14ac:dyDescent="0.3">
      <c r="A444" s="4" t="s">
        <v>1947</v>
      </c>
      <c r="B444" s="4" t="s">
        <v>1948</v>
      </c>
      <c r="C444" s="4" t="s">
        <v>1949</v>
      </c>
      <c r="D444" s="4" t="s">
        <v>1950</v>
      </c>
      <c r="E444" s="4" t="s">
        <v>27</v>
      </c>
      <c r="F444" s="4" t="s">
        <v>1951</v>
      </c>
      <c r="G444" s="4" t="s">
        <v>84</v>
      </c>
      <c r="H444" s="4" t="s">
        <v>68</v>
      </c>
      <c r="I444" s="4" t="s">
        <v>299</v>
      </c>
      <c r="J444" s="4" t="s">
        <v>394</v>
      </c>
      <c r="K444" s="4" t="s">
        <v>1952</v>
      </c>
      <c r="L444" s="4" t="str">
        <f t="shared" si="6"/>
        <v>Different owner &amp; contact</v>
      </c>
    </row>
    <row r="445" spans="1:12" ht="15" customHeight="1" x14ac:dyDescent="0.3">
      <c r="A445" s="4" t="s">
        <v>1953</v>
      </c>
      <c r="B445" s="4" t="s">
        <v>1954</v>
      </c>
      <c r="C445" s="4" t="s">
        <v>1955</v>
      </c>
      <c r="D445" s="4" t="s">
        <v>1956</v>
      </c>
      <c r="E445" s="4" t="s">
        <v>91</v>
      </c>
      <c r="F445" s="4" t="s">
        <v>1957</v>
      </c>
      <c r="G445" s="4" t="s">
        <v>84</v>
      </c>
      <c r="H445" s="4" t="s">
        <v>68</v>
      </c>
      <c r="I445" s="4" t="s">
        <v>93</v>
      </c>
      <c r="J445" s="4" t="s">
        <v>94</v>
      </c>
      <c r="K445" s="4" t="s">
        <v>1958</v>
      </c>
      <c r="L445" s="4" t="str">
        <f t="shared" si="6"/>
        <v>Different owner &amp; contact</v>
      </c>
    </row>
    <row r="446" spans="1:12" ht="15" customHeight="1" x14ac:dyDescent="0.3">
      <c r="A446" s="4" t="s">
        <v>1959</v>
      </c>
      <c r="B446" s="4" t="s">
        <v>1960</v>
      </c>
      <c r="C446" s="4" t="s">
        <v>1961</v>
      </c>
      <c r="D446" s="4" t="s">
        <v>1962</v>
      </c>
      <c r="E446" s="4" t="s">
        <v>106</v>
      </c>
      <c r="F446" s="4" t="s">
        <v>1963</v>
      </c>
      <c r="G446" s="4" t="s">
        <v>130</v>
      </c>
      <c r="H446" s="4" t="s">
        <v>41</v>
      </c>
      <c r="I446" s="4" t="s">
        <v>823</v>
      </c>
      <c r="J446" s="4" t="s">
        <v>106</v>
      </c>
      <c r="K446" s="4" t="s">
        <v>1964</v>
      </c>
      <c r="L446" s="4" t="str">
        <f t="shared" si="6"/>
        <v>Different contact</v>
      </c>
    </row>
    <row r="447" spans="1:12" ht="15" customHeight="1" x14ac:dyDescent="0.3">
      <c r="A447" s="4" t="s">
        <v>1965</v>
      </c>
      <c r="B447" s="4" t="s">
        <v>1966</v>
      </c>
      <c r="C447" s="4" t="s">
        <v>1967</v>
      </c>
      <c r="D447" s="4"/>
      <c r="E447" s="4" t="s">
        <v>52</v>
      </c>
      <c r="F447" s="4" t="s">
        <v>1968</v>
      </c>
      <c r="G447" s="4" t="s">
        <v>163</v>
      </c>
      <c r="H447" s="4" t="s">
        <v>68</v>
      </c>
      <c r="I447" s="4" t="s">
        <v>280</v>
      </c>
      <c r="J447" s="4" t="s">
        <v>52</v>
      </c>
      <c r="K447" s="4" t="s">
        <v>1969</v>
      </c>
      <c r="L447" s="4" t="str">
        <f t="shared" si="6"/>
        <v>Different contact</v>
      </c>
    </row>
    <row r="448" spans="1:12" ht="15" customHeight="1" x14ac:dyDescent="0.3">
      <c r="A448" s="4" t="s">
        <v>1970</v>
      </c>
      <c r="B448" s="4" t="s">
        <v>1966</v>
      </c>
      <c r="C448" s="4" t="s">
        <v>1969</v>
      </c>
      <c r="D448" s="4"/>
      <c r="E448" s="4" t="s">
        <v>52</v>
      </c>
      <c r="F448" s="4" t="s">
        <v>1968</v>
      </c>
      <c r="G448" s="4" t="s">
        <v>163</v>
      </c>
      <c r="H448" s="4" t="s">
        <v>68</v>
      </c>
      <c r="I448" s="4" t="s">
        <v>280</v>
      </c>
      <c r="J448" s="4" t="s">
        <v>52</v>
      </c>
      <c r="K448" s="4" t="s">
        <v>1969</v>
      </c>
      <c r="L448" s="4" t="str">
        <f t="shared" si="6"/>
        <v>Match</v>
      </c>
    </row>
    <row r="449" spans="1:12" ht="15" customHeight="1" x14ac:dyDescent="0.3">
      <c r="A449" s="4" t="s">
        <v>1971</v>
      </c>
      <c r="B449" s="4" t="s">
        <v>1972</v>
      </c>
      <c r="C449" s="4" t="s">
        <v>1973</v>
      </c>
      <c r="D449" s="4" t="s">
        <v>1974</v>
      </c>
      <c r="E449" s="4" t="s">
        <v>91</v>
      </c>
      <c r="F449" s="4" t="s">
        <v>1975</v>
      </c>
      <c r="G449" s="4" t="s">
        <v>29</v>
      </c>
      <c r="H449" s="4" t="s">
        <v>41</v>
      </c>
      <c r="I449" s="4" t="s">
        <v>125</v>
      </c>
      <c r="J449" s="4" t="s">
        <v>32</v>
      </c>
      <c r="K449" s="4" t="s">
        <v>1976</v>
      </c>
      <c r="L449" s="4" t="str">
        <f t="shared" si="6"/>
        <v>Different owner &amp; contact</v>
      </c>
    </row>
    <row r="450" spans="1:12" ht="15" customHeight="1" x14ac:dyDescent="0.3">
      <c r="A450" s="4" t="s">
        <v>1977</v>
      </c>
      <c r="B450" s="4" t="s">
        <v>1978</v>
      </c>
      <c r="C450" s="4" t="s">
        <v>1979</v>
      </c>
      <c r="D450" s="4" t="s">
        <v>1980</v>
      </c>
      <c r="E450" s="4" t="s">
        <v>106</v>
      </c>
      <c r="F450" s="4" t="s">
        <v>1981</v>
      </c>
      <c r="G450" s="4" t="s">
        <v>209</v>
      </c>
      <c r="H450" s="4" t="s">
        <v>68</v>
      </c>
      <c r="I450" s="4" t="s">
        <v>1982</v>
      </c>
      <c r="J450" s="4" t="s">
        <v>106</v>
      </c>
      <c r="K450" s="4" t="s">
        <v>1983</v>
      </c>
      <c r="L450" s="4" t="str">
        <f t="shared" ref="L450:L513" si="7">IF(AND(TRIM(LOWER(E450))=TRIM(LOWER(J450)),TRIM(LOWER(C450))=TRIM(LOWER(K450))),"Match",IF(AND(NOT(TRIM(LOWER(E450))=TRIM(LOWER(J450))),TRIM(LOWER(C450))=TRIM(LOWER(K450))),"Different owner",IF(AND(TRIM(LOWER(E450))=TRIM(LOWER(J450)),NOT(TRIM(LOWER(C450))=TRIM(LOWER(K450)))),"Different contact","Different owner &amp; contact")))</f>
        <v>Different contact</v>
      </c>
    </row>
    <row r="451" spans="1:12" ht="15" customHeight="1" x14ac:dyDescent="0.3">
      <c r="A451" s="4" t="s">
        <v>1984</v>
      </c>
      <c r="B451" s="4" t="s">
        <v>1985</v>
      </c>
      <c r="C451" s="4" t="s">
        <v>1986</v>
      </c>
      <c r="D451" s="4" t="s">
        <v>1987</v>
      </c>
      <c r="E451" s="4" t="s">
        <v>91</v>
      </c>
      <c r="F451" s="4" t="s">
        <v>1988</v>
      </c>
      <c r="G451" s="4" t="s">
        <v>29</v>
      </c>
      <c r="H451" s="4" t="s">
        <v>68</v>
      </c>
      <c r="I451" s="4" t="s">
        <v>538</v>
      </c>
      <c r="J451" s="4" t="s">
        <v>32</v>
      </c>
      <c r="K451" s="4" t="s">
        <v>1986</v>
      </c>
      <c r="L451" s="4" t="str">
        <f t="shared" si="7"/>
        <v>Different owner</v>
      </c>
    </row>
    <row r="452" spans="1:12" ht="15" customHeight="1" x14ac:dyDescent="0.3">
      <c r="A452" s="4" t="s">
        <v>1989</v>
      </c>
      <c r="B452" s="4" t="s">
        <v>1990</v>
      </c>
      <c r="C452" s="4" t="s">
        <v>1991</v>
      </c>
      <c r="D452" s="4" t="s">
        <v>1992</v>
      </c>
      <c r="E452" s="4" t="s">
        <v>66</v>
      </c>
      <c r="F452" s="4" t="s">
        <v>1993</v>
      </c>
      <c r="G452" s="4" t="s">
        <v>690</v>
      </c>
      <c r="H452" s="4" t="s">
        <v>68</v>
      </c>
      <c r="I452" s="4" t="s">
        <v>995</v>
      </c>
      <c r="J452" s="4" t="s">
        <v>66</v>
      </c>
      <c r="K452" s="4" t="s">
        <v>1991</v>
      </c>
      <c r="L452" s="4" t="str">
        <f t="shared" si="7"/>
        <v>Match</v>
      </c>
    </row>
    <row r="453" spans="1:12" ht="15" customHeight="1" x14ac:dyDescent="0.3">
      <c r="A453" s="4" t="s">
        <v>1994</v>
      </c>
      <c r="B453" s="4" t="s">
        <v>1995</v>
      </c>
      <c r="C453" s="4" t="s">
        <v>1996</v>
      </c>
      <c r="D453" s="4" t="s">
        <v>1997</v>
      </c>
      <c r="E453" s="4" t="s">
        <v>106</v>
      </c>
      <c r="F453" s="4" t="s">
        <v>1998</v>
      </c>
      <c r="G453" s="4" t="s">
        <v>124</v>
      </c>
      <c r="H453" s="4" t="s">
        <v>41</v>
      </c>
      <c r="I453" s="4" t="s">
        <v>101</v>
      </c>
      <c r="J453" s="4" t="s">
        <v>106</v>
      </c>
      <c r="K453" s="4" t="s">
        <v>1999</v>
      </c>
      <c r="L453" s="4" t="str">
        <f t="shared" si="7"/>
        <v>Different contact</v>
      </c>
    </row>
    <row r="454" spans="1:12" ht="15" customHeight="1" x14ac:dyDescent="0.3">
      <c r="A454" s="4" t="s">
        <v>2000</v>
      </c>
      <c r="B454" s="4" t="s">
        <v>1995</v>
      </c>
      <c r="C454" s="4" t="s">
        <v>1999</v>
      </c>
      <c r="D454" s="4"/>
      <c r="E454" s="4" t="s">
        <v>106</v>
      </c>
      <c r="F454" s="4" t="s">
        <v>1998</v>
      </c>
      <c r="G454" s="4" t="s">
        <v>124</v>
      </c>
      <c r="H454" s="4" t="s">
        <v>41</v>
      </c>
      <c r="I454" s="4" t="s">
        <v>101</v>
      </c>
      <c r="J454" s="4" t="s">
        <v>106</v>
      </c>
      <c r="K454" s="4" t="s">
        <v>1999</v>
      </c>
      <c r="L454" s="4" t="str">
        <f t="shared" si="7"/>
        <v>Match</v>
      </c>
    </row>
    <row r="455" spans="1:12" ht="15" customHeight="1" x14ac:dyDescent="0.3">
      <c r="A455" s="4" t="s">
        <v>2001</v>
      </c>
      <c r="B455" s="4" t="s">
        <v>2002</v>
      </c>
      <c r="C455" s="4" t="s">
        <v>2003</v>
      </c>
      <c r="D455" s="4"/>
      <c r="E455" s="4" t="s">
        <v>56</v>
      </c>
      <c r="F455" s="4" t="s">
        <v>2004</v>
      </c>
      <c r="G455" s="4" t="s">
        <v>49</v>
      </c>
      <c r="H455" s="4" t="s">
        <v>68</v>
      </c>
      <c r="I455" s="4" t="s">
        <v>404</v>
      </c>
      <c r="J455" s="4" t="s">
        <v>32</v>
      </c>
      <c r="K455" s="4" t="s">
        <v>2003</v>
      </c>
      <c r="L455" s="4" t="str">
        <f t="shared" si="7"/>
        <v>Different owner</v>
      </c>
    </row>
    <row r="456" spans="1:12" ht="15" customHeight="1" x14ac:dyDescent="0.3">
      <c r="A456" s="4" t="s">
        <v>2005</v>
      </c>
      <c r="B456" s="4" t="s">
        <v>2006</v>
      </c>
      <c r="C456" s="4" t="s">
        <v>2007</v>
      </c>
      <c r="D456" s="4" t="s">
        <v>2008</v>
      </c>
      <c r="E456" s="4" t="s">
        <v>66</v>
      </c>
      <c r="F456" s="4" t="s">
        <v>2009</v>
      </c>
      <c r="G456" s="4" t="s">
        <v>100</v>
      </c>
      <c r="H456" s="4" t="s">
        <v>41</v>
      </c>
      <c r="I456" s="4" t="s">
        <v>42</v>
      </c>
      <c r="J456" s="4" t="s">
        <v>102</v>
      </c>
      <c r="K456" s="4" t="s">
        <v>2010</v>
      </c>
      <c r="L456" s="4" t="str">
        <f t="shared" si="7"/>
        <v>Different owner &amp; contact</v>
      </c>
    </row>
    <row r="457" spans="1:12" ht="15" customHeight="1" x14ac:dyDescent="0.3">
      <c r="A457" s="4" t="s">
        <v>2011</v>
      </c>
      <c r="B457" s="4" t="s">
        <v>2006</v>
      </c>
      <c r="C457" s="4" t="s">
        <v>2012</v>
      </c>
      <c r="D457" s="4" t="s">
        <v>2013</v>
      </c>
      <c r="E457" s="4" t="s">
        <v>66</v>
      </c>
      <c r="F457" s="4" t="s">
        <v>2009</v>
      </c>
      <c r="G457" s="4" t="s">
        <v>100</v>
      </c>
      <c r="H457" s="4" t="s">
        <v>41</v>
      </c>
      <c r="I457" s="4" t="s">
        <v>42</v>
      </c>
      <c r="J457" s="4" t="s">
        <v>102</v>
      </c>
      <c r="K457" s="4" t="s">
        <v>2010</v>
      </c>
      <c r="L457" s="4" t="str">
        <f t="shared" si="7"/>
        <v>Different owner &amp; contact</v>
      </c>
    </row>
    <row r="458" spans="1:12" ht="15" customHeight="1" x14ac:dyDescent="0.3">
      <c r="A458" s="4" t="s">
        <v>2014</v>
      </c>
      <c r="B458" s="4" t="s">
        <v>2006</v>
      </c>
      <c r="C458" s="4" t="s">
        <v>2010</v>
      </c>
      <c r="D458" s="4" t="s">
        <v>2015</v>
      </c>
      <c r="E458" s="4" t="s">
        <v>66</v>
      </c>
      <c r="F458" s="4" t="s">
        <v>2009</v>
      </c>
      <c r="G458" s="4" t="s">
        <v>100</v>
      </c>
      <c r="H458" s="4" t="s">
        <v>41</v>
      </c>
      <c r="I458" s="4" t="s">
        <v>42</v>
      </c>
      <c r="J458" s="4" t="s">
        <v>102</v>
      </c>
      <c r="K458" s="4" t="s">
        <v>2010</v>
      </c>
      <c r="L458" s="4" t="str">
        <f t="shared" si="7"/>
        <v>Different owner</v>
      </c>
    </row>
    <row r="459" spans="1:12" ht="15" customHeight="1" x14ac:dyDescent="0.3">
      <c r="A459" s="4" t="s">
        <v>2016</v>
      </c>
      <c r="B459" s="4" t="s">
        <v>2017</v>
      </c>
      <c r="C459" s="4" t="s">
        <v>2018</v>
      </c>
      <c r="D459" s="4"/>
      <c r="E459" s="4" t="s">
        <v>56</v>
      </c>
      <c r="F459" s="4" t="s">
        <v>2019</v>
      </c>
      <c r="G459" s="4" t="s">
        <v>138</v>
      </c>
      <c r="H459" s="4" t="s">
        <v>41</v>
      </c>
      <c r="I459" s="4" t="s">
        <v>1832</v>
      </c>
      <c r="J459" s="4" t="s">
        <v>32</v>
      </c>
      <c r="K459" s="4" t="s">
        <v>2018</v>
      </c>
      <c r="L459" s="4" t="str">
        <f t="shared" si="7"/>
        <v>Different owner</v>
      </c>
    </row>
    <row r="460" spans="1:12" ht="15" customHeight="1" x14ac:dyDescent="0.3">
      <c r="A460" s="4" t="s">
        <v>2020</v>
      </c>
      <c r="B460" s="4" t="s">
        <v>2021</v>
      </c>
      <c r="C460" s="4" t="s">
        <v>2022</v>
      </c>
      <c r="D460" s="4" t="s">
        <v>2023</v>
      </c>
      <c r="E460" s="4" t="s">
        <v>66</v>
      </c>
      <c r="F460" s="4" t="s">
        <v>2024</v>
      </c>
      <c r="G460" s="4" t="s">
        <v>138</v>
      </c>
      <c r="H460" s="4" t="s">
        <v>68</v>
      </c>
      <c r="I460" s="4" t="s">
        <v>299</v>
      </c>
      <c r="J460" s="4" t="s">
        <v>32</v>
      </c>
      <c r="K460" s="4" t="s">
        <v>2022</v>
      </c>
      <c r="L460" s="4" t="str">
        <f t="shared" si="7"/>
        <v>Different owner</v>
      </c>
    </row>
    <row r="461" spans="1:12" ht="15" customHeight="1" x14ac:dyDescent="0.3">
      <c r="A461" s="4" t="s">
        <v>2025</v>
      </c>
      <c r="B461" s="4" t="s">
        <v>2026</v>
      </c>
      <c r="C461" s="4" t="s">
        <v>2027</v>
      </c>
      <c r="D461" s="4" t="s">
        <v>2028</v>
      </c>
      <c r="E461" s="4" t="s">
        <v>66</v>
      </c>
      <c r="F461" s="4" t="s">
        <v>2029</v>
      </c>
      <c r="G461" s="4" t="s">
        <v>58</v>
      </c>
      <c r="H461" s="4" t="s">
        <v>41</v>
      </c>
      <c r="I461" s="4" t="s">
        <v>533</v>
      </c>
      <c r="J461" s="4" t="s">
        <v>66</v>
      </c>
      <c r="K461" s="4" t="s">
        <v>2030</v>
      </c>
      <c r="L461" s="4" t="str">
        <f t="shared" si="7"/>
        <v>Different contact</v>
      </c>
    </row>
    <row r="462" spans="1:12" ht="15" customHeight="1" x14ac:dyDescent="0.3">
      <c r="A462" s="4" t="s">
        <v>2031</v>
      </c>
      <c r="B462" s="4" t="s">
        <v>2032</v>
      </c>
      <c r="C462" s="4" t="s">
        <v>2033</v>
      </c>
      <c r="D462" s="4" t="s">
        <v>2034</v>
      </c>
      <c r="E462" s="4" t="s">
        <v>91</v>
      </c>
      <c r="F462" s="4" t="s">
        <v>2035</v>
      </c>
      <c r="G462" s="4" t="s">
        <v>29</v>
      </c>
      <c r="H462" s="4" t="s">
        <v>41</v>
      </c>
      <c r="I462" s="4" t="s">
        <v>210</v>
      </c>
      <c r="J462" s="4" t="s">
        <v>94</v>
      </c>
      <c r="K462" s="4" t="s">
        <v>2036</v>
      </c>
      <c r="L462" s="4" t="str">
        <f t="shared" si="7"/>
        <v>Different owner &amp; contact</v>
      </c>
    </row>
    <row r="463" spans="1:12" ht="15" customHeight="1" x14ac:dyDescent="0.3">
      <c r="A463" s="4" t="s">
        <v>2037</v>
      </c>
      <c r="B463" s="4" t="s">
        <v>2038</v>
      </c>
      <c r="C463" s="4" t="s">
        <v>2039</v>
      </c>
      <c r="D463" s="4" t="s">
        <v>2040</v>
      </c>
      <c r="E463" s="4" t="s">
        <v>91</v>
      </c>
      <c r="F463" s="4" t="s">
        <v>2041</v>
      </c>
      <c r="G463" s="4" t="s">
        <v>40</v>
      </c>
      <c r="H463" s="4" t="s">
        <v>41</v>
      </c>
      <c r="I463" s="4" t="s">
        <v>1190</v>
      </c>
      <c r="J463" s="4" t="s">
        <v>94</v>
      </c>
      <c r="K463" s="4" t="s">
        <v>2039</v>
      </c>
      <c r="L463" s="4" t="str">
        <f t="shared" si="7"/>
        <v>Different owner</v>
      </c>
    </row>
    <row r="464" spans="1:12" ht="15" customHeight="1" x14ac:dyDescent="0.3">
      <c r="A464" s="4" t="s">
        <v>2042</v>
      </c>
      <c r="B464" s="4" t="s">
        <v>2043</v>
      </c>
      <c r="C464" s="4"/>
      <c r="D464" s="4" t="s">
        <v>2044</v>
      </c>
      <c r="E464" s="4" t="s">
        <v>385</v>
      </c>
      <c r="F464" s="4" t="s">
        <v>2045</v>
      </c>
      <c r="G464" s="4" t="s">
        <v>49</v>
      </c>
      <c r="H464" s="4" t="s">
        <v>68</v>
      </c>
      <c r="I464" s="4" t="s">
        <v>93</v>
      </c>
      <c r="J464" s="4" t="s">
        <v>34</v>
      </c>
      <c r="K464" s="4" t="s">
        <v>2046</v>
      </c>
      <c r="L464" s="4" t="str">
        <f t="shared" si="7"/>
        <v>Different owner &amp; contact</v>
      </c>
    </row>
    <row r="465" spans="1:12" ht="15" customHeight="1" x14ac:dyDescent="0.3">
      <c r="A465" s="4" t="s">
        <v>2047</v>
      </c>
      <c r="B465" s="4" t="s">
        <v>2043</v>
      </c>
      <c r="C465" s="4" t="s">
        <v>2048</v>
      </c>
      <c r="D465" s="4" t="s">
        <v>2049</v>
      </c>
      <c r="E465" s="4" t="s">
        <v>27</v>
      </c>
      <c r="F465" s="4" t="s">
        <v>2045</v>
      </c>
      <c r="G465" s="4" t="s">
        <v>49</v>
      </c>
      <c r="H465" s="4" t="s">
        <v>68</v>
      </c>
      <c r="I465" s="4" t="s">
        <v>93</v>
      </c>
      <c r="J465" s="4" t="s">
        <v>34</v>
      </c>
      <c r="K465" s="4" t="s">
        <v>2046</v>
      </c>
      <c r="L465" s="4" t="str">
        <f t="shared" si="7"/>
        <v>Different owner &amp; contact</v>
      </c>
    </row>
    <row r="466" spans="1:12" ht="15" customHeight="1" x14ac:dyDescent="0.3">
      <c r="A466" s="4" t="s">
        <v>2050</v>
      </c>
      <c r="B466" s="4" t="s">
        <v>2043</v>
      </c>
      <c r="C466" s="4" t="s">
        <v>2046</v>
      </c>
      <c r="D466" s="4"/>
      <c r="E466" s="4" t="s">
        <v>27</v>
      </c>
      <c r="F466" s="4" t="s">
        <v>2045</v>
      </c>
      <c r="G466" s="4" t="s">
        <v>49</v>
      </c>
      <c r="H466" s="4" t="s">
        <v>68</v>
      </c>
      <c r="I466" s="4" t="s">
        <v>93</v>
      </c>
      <c r="J466" s="4" t="s">
        <v>34</v>
      </c>
      <c r="K466" s="4" t="s">
        <v>2046</v>
      </c>
      <c r="L466" s="4" t="str">
        <f t="shared" si="7"/>
        <v>Different owner</v>
      </c>
    </row>
    <row r="467" spans="1:12" ht="15" customHeight="1" x14ac:dyDescent="0.3">
      <c r="A467" s="4" t="s">
        <v>2051</v>
      </c>
      <c r="B467" s="4" t="s">
        <v>2052</v>
      </c>
      <c r="C467" s="4" t="s">
        <v>2053</v>
      </c>
      <c r="D467" s="4"/>
      <c r="E467" s="4" t="s">
        <v>27</v>
      </c>
      <c r="F467" s="4" t="s">
        <v>2054</v>
      </c>
      <c r="G467" s="4" t="s">
        <v>124</v>
      </c>
      <c r="H467" s="4" t="s">
        <v>41</v>
      </c>
      <c r="I467" s="4" t="s">
        <v>101</v>
      </c>
      <c r="J467" s="4" t="s">
        <v>102</v>
      </c>
      <c r="K467" s="4" t="s">
        <v>2055</v>
      </c>
      <c r="L467" s="4" t="str">
        <f t="shared" si="7"/>
        <v>Different owner &amp; contact</v>
      </c>
    </row>
    <row r="468" spans="1:12" ht="15" customHeight="1" x14ac:dyDescent="0.3">
      <c r="A468" s="4" t="s">
        <v>2056</v>
      </c>
      <c r="B468" s="4" t="s">
        <v>2057</v>
      </c>
      <c r="C468" s="4" t="s">
        <v>2058</v>
      </c>
      <c r="D468" s="4" t="s">
        <v>2059</v>
      </c>
      <c r="E468" s="4" t="s">
        <v>106</v>
      </c>
      <c r="F468" s="4" t="s">
        <v>2060</v>
      </c>
      <c r="G468" s="4" t="s">
        <v>40</v>
      </c>
      <c r="H468" s="4" t="s">
        <v>41</v>
      </c>
      <c r="I468" s="4" t="s">
        <v>101</v>
      </c>
      <c r="J468" s="4" t="s">
        <v>106</v>
      </c>
      <c r="K468" s="4" t="s">
        <v>2061</v>
      </c>
      <c r="L468" s="4" t="str">
        <f t="shared" si="7"/>
        <v>Different contact</v>
      </c>
    </row>
    <row r="469" spans="1:12" ht="15" customHeight="1" x14ac:dyDescent="0.3">
      <c r="A469" s="4" t="s">
        <v>47</v>
      </c>
      <c r="B469" s="4" t="s">
        <v>2057</v>
      </c>
      <c r="C469" s="4"/>
      <c r="D469" s="4"/>
      <c r="E469" s="4" t="s">
        <v>385</v>
      </c>
      <c r="F469" s="4" t="s">
        <v>2060</v>
      </c>
      <c r="G469" s="4" t="s">
        <v>40</v>
      </c>
      <c r="H469" s="4" t="s">
        <v>41</v>
      </c>
      <c r="I469" s="4" t="s">
        <v>101</v>
      </c>
      <c r="J469" s="4" t="s">
        <v>106</v>
      </c>
      <c r="K469" s="4" t="s">
        <v>2061</v>
      </c>
      <c r="L469" s="4" t="str">
        <f t="shared" si="7"/>
        <v>Different owner &amp; contact</v>
      </c>
    </row>
    <row r="470" spans="1:12" ht="15" customHeight="1" x14ac:dyDescent="0.3">
      <c r="A470" s="4" t="s">
        <v>2062</v>
      </c>
      <c r="B470" s="4" t="s">
        <v>2057</v>
      </c>
      <c r="C470" s="4" t="s">
        <v>2061</v>
      </c>
      <c r="D470" s="4"/>
      <c r="E470" s="4" t="s">
        <v>106</v>
      </c>
      <c r="F470" s="4" t="s">
        <v>2060</v>
      </c>
      <c r="G470" s="4" t="s">
        <v>40</v>
      </c>
      <c r="H470" s="4" t="s">
        <v>41</v>
      </c>
      <c r="I470" s="4" t="s">
        <v>101</v>
      </c>
      <c r="J470" s="4" t="s">
        <v>106</v>
      </c>
      <c r="K470" s="4" t="s">
        <v>2061</v>
      </c>
      <c r="L470" s="4" t="str">
        <f t="shared" si="7"/>
        <v>Match</v>
      </c>
    </row>
    <row r="471" spans="1:12" ht="15" customHeight="1" x14ac:dyDescent="0.3">
      <c r="A471" s="4" t="s">
        <v>2063</v>
      </c>
      <c r="B471" s="4" t="s">
        <v>2064</v>
      </c>
      <c r="C471" s="4" t="s">
        <v>2065</v>
      </c>
      <c r="D471" s="4" t="s">
        <v>1365</v>
      </c>
      <c r="E471" s="4" t="s">
        <v>52</v>
      </c>
      <c r="F471" s="4" t="s">
        <v>2066</v>
      </c>
      <c r="G471" s="4" t="s">
        <v>84</v>
      </c>
      <c r="H471" s="4" t="s">
        <v>68</v>
      </c>
      <c r="I471" s="4" t="s">
        <v>299</v>
      </c>
      <c r="J471" s="4" t="s">
        <v>52</v>
      </c>
      <c r="K471" s="4" t="s">
        <v>2067</v>
      </c>
      <c r="L471" s="4" t="str">
        <f t="shared" si="7"/>
        <v>Different contact</v>
      </c>
    </row>
    <row r="472" spans="1:12" ht="15" customHeight="1" x14ac:dyDescent="0.3">
      <c r="A472" s="4" t="s">
        <v>2068</v>
      </c>
      <c r="B472" s="4" t="s">
        <v>2064</v>
      </c>
      <c r="C472" s="4" t="s">
        <v>2069</v>
      </c>
      <c r="D472" s="4" t="s">
        <v>2070</v>
      </c>
      <c r="E472" s="4" t="s">
        <v>172</v>
      </c>
      <c r="F472" s="4" t="s">
        <v>2066</v>
      </c>
      <c r="G472" s="4" t="s">
        <v>84</v>
      </c>
      <c r="H472" s="4" t="s">
        <v>68</v>
      </c>
      <c r="I472" s="4" t="s">
        <v>299</v>
      </c>
      <c r="J472" s="4" t="s">
        <v>52</v>
      </c>
      <c r="K472" s="4" t="s">
        <v>2067</v>
      </c>
      <c r="L472" s="4" t="str">
        <f t="shared" si="7"/>
        <v>Different owner &amp; contact</v>
      </c>
    </row>
    <row r="473" spans="1:12" ht="15" customHeight="1" x14ac:dyDescent="0.3">
      <c r="A473" s="4" t="s">
        <v>2071</v>
      </c>
      <c r="B473" s="4" t="s">
        <v>2072</v>
      </c>
      <c r="C473" s="4" t="s">
        <v>2073</v>
      </c>
      <c r="D473" s="4" t="s">
        <v>2074</v>
      </c>
      <c r="E473" s="4" t="s">
        <v>52</v>
      </c>
      <c r="F473" s="4" t="s">
        <v>2075</v>
      </c>
      <c r="G473" s="4" t="s">
        <v>49</v>
      </c>
      <c r="H473" s="4" t="s">
        <v>68</v>
      </c>
      <c r="I473" s="4" t="s">
        <v>1208</v>
      </c>
      <c r="J473" s="4" t="s">
        <v>102</v>
      </c>
      <c r="K473" s="4" t="s">
        <v>2076</v>
      </c>
      <c r="L473" s="4" t="str">
        <f t="shared" si="7"/>
        <v>Different owner &amp; contact</v>
      </c>
    </row>
    <row r="474" spans="1:12" ht="15" customHeight="1" x14ac:dyDescent="0.3">
      <c r="A474" s="4" t="s">
        <v>2077</v>
      </c>
      <c r="B474" s="4" t="s">
        <v>2078</v>
      </c>
      <c r="C474" s="4"/>
      <c r="D474" s="4"/>
      <c r="E474" s="4" t="s">
        <v>91</v>
      </c>
      <c r="F474" s="4" t="s">
        <v>2079</v>
      </c>
      <c r="G474" s="4" t="s">
        <v>361</v>
      </c>
      <c r="H474" s="4" t="s">
        <v>41</v>
      </c>
      <c r="I474" s="4" t="s">
        <v>59</v>
      </c>
      <c r="J474" s="4" t="s">
        <v>32</v>
      </c>
      <c r="K474" s="4" t="s">
        <v>2080</v>
      </c>
      <c r="L474" s="4" t="str">
        <f t="shared" si="7"/>
        <v>Different owner &amp; contact</v>
      </c>
    </row>
    <row r="475" spans="1:12" ht="15" customHeight="1" x14ac:dyDescent="0.3">
      <c r="A475" s="4" t="s">
        <v>2081</v>
      </c>
      <c r="B475" s="4" t="s">
        <v>2082</v>
      </c>
      <c r="C475" s="4" t="s">
        <v>2083</v>
      </c>
      <c r="D475" s="4"/>
      <c r="E475" s="4" t="s">
        <v>27</v>
      </c>
      <c r="F475" s="4" t="s">
        <v>2084</v>
      </c>
      <c r="G475" s="4" t="s">
        <v>361</v>
      </c>
      <c r="H475" s="4" t="s">
        <v>68</v>
      </c>
      <c r="I475" s="4" t="s">
        <v>264</v>
      </c>
      <c r="J475" s="4" t="s">
        <v>34</v>
      </c>
      <c r="K475" s="4" t="s">
        <v>2085</v>
      </c>
      <c r="L475" s="4" t="str">
        <f t="shared" si="7"/>
        <v>Different owner &amp; contact</v>
      </c>
    </row>
    <row r="476" spans="1:12" ht="15" customHeight="1" x14ac:dyDescent="0.3">
      <c r="A476" s="4" t="s">
        <v>2086</v>
      </c>
      <c r="B476" s="4" t="s">
        <v>2082</v>
      </c>
      <c r="C476" s="4"/>
      <c r="D476" s="4"/>
      <c r="E476" s="4" t="s">
        <v>34</v>
      </c>
      <c r="F476" s="4" t="s">
        <v>2084</v>
      </c>
      <c r="G476" s="4" t="s">
        <v>361</v>
      </c>
      <c r="H476" s="4" t="s">
        <v>68</v>
      </c>
      <c r="I476" s="4" t="s">
        <v>264</v>
      </c>
      <c r="J476" s="4" t="s">
        <v>34</v>
      </c>
      <c r="K476" s="4" t="s">
        <v>2085</v>
      </c>
      <c r="L476" s="4" t="str">
        <f t="shared" si="7"/>
        <v>Different contact</v>
      </c>
    </row>
    <row r="477" spans="1:12" ht="15" customHeight="1" x14ac:dyDescent="0.3">
      <c r="A477" s="4" t="s">
        <v>2087</v>
      </c>
      <c r="B477" s="4" t="s">
        <v>2082</v>
      </c>
      <c r="C477" s="4" t="s">
        <v>2088</v>
      </c>
      <c r="D477" s="4" t="s">
        <v>2089</v>
      </c>
      <c r="E477" s="4" t="s">
        <v>27</v>
      </c>
      <c r="F477" s="4" t="s">
        <v>2084</v>
      </c>
      <c r="G477" s="4" t="s">
        <v>361</v>
      </c>
      <c r="H477" s="4" t="s">
        <v>68</v>
      </c>
      <c r="I477" s="4" t="s">
        <v>264</v>
      </c>
      <c r="J477" s="4" t="s">
        <v>34</v>
      </c>
      <c r="K477" s="4" t="s">
        <v>2085</v>
      </c>
      <c r="L477" s="4" t="str">
        <f t="shared" si="7"/>
        <v>Different owner &amp; contact</v>
      </c>
    </row>
    <row r="478" spans="1:12" ht="15" customHeight="1" x14ac:dyDescent="0.3">
      <c r="A478" s="4" t="s">
        <v>2090</v>
      </c>
      <c r="B478" s="4" t="s">
        <v>2082</v>
      </c>
      <c r="C478" s="4"/>
      <c r="D478" s="4" t="s">
        <v>2091</v>
      </c>
      <c r="E478" s="4" t="s">
        <v>34</v>
      </c>
      <c r="F478" s="4" t="s">
        <v>2084</v>
      </c>
      <c r="G478" s="4" t="s">
        <v>361</v>
      </c>
      <c r="H478" s="4" t="s">
        <v>68</v>
      </c>
      <c r="I478" s="4" t="s">
        <v>264</v>
      </c>
      <c r="J478" s="4" t="s">
        <v>34</v>
      </c>
      <c r="K478" s="4" t="s">
        <v>2085</v>
      </c>
      <c r="L478" s="4" t="str">
        <f t="shared" si="7"/>
        <v>Different contact</v>
      </c>
    </row>
    <row r="479" spans="1:12" ht="15" customHeight="1" x14ac:dyDescent="0.3">
      <c r="A479" s="4" t="s">
        <v>2090</v>
      </c>
      <c r="B479" s="4" t="s">
        <v>2082</v>
      </c>
      <c r="C479" s="4"/>
      <c r="D479" s="4"/>
      <c r="E479" s="4" t="s">
        <v>34</v>
      </c>
      <c r="F479" s="4" t="s">
        <v>2084</v>
      </c>
      <c r="G479" s="4" t="s">
        <v>361</v>
      </c>
      <c r="H479" s="4" t="s">
        <v>68</v>
      </c>
      <c r="I479" s="4" t="s">
        <v>264</v>
      </c>
      <c r="J479" s="4" t="s">
        <v>34</v>
      </c>
      <c r="K479" s="4" t="s">
        <v>2085</v>
      </c>
      <c r="L479" s="4" t="str">
        <f t="shared" si="7"/>
        <v>Different contact</v>
      </c>
    </row>
    <row r="480" spans="1:12" ht="15" customHeight="1" x14ac:dyDescent="0.3">
      <c r="A480" s="4" t="s">
        <v>2092</v>
      </c>
      <c r="B480" s="4" t="s">
        <v>2093</v>
      </c>
      <c r="C480" s="4" t="s">
        <v>2094</v>
      </c>
      <c r="D480" s="4"/>
      <c r="E480" s="4" t="s">
        <v>52</v>
      </c>
      <c r="F480" s="4" t="s">
        <v>2095</v>
      </c>
      <c r="G480" s="4" t="s">
        <v>58</v>
      </c>
      <c r="H480" s="4" t="s">
        <v>68</v>
      </c>
      <c r="I480" s="4" t="s">
        <v>196</v>
      </c>
      <c r="J480" s="4" t="s">
        <v>32</v>
      </c>
      <c r="K480" s="4" t="s">
        <v>2094</v>
      </c>
      <c r="L480" s="4" t="str">
        <f t="shared" si="7"/>
        <v>Different owner</v>
      </c>
    </row>
    <row r="481" spans="1:12" ht="15" customHeight="1" x14ac:dyDescent="0.3">
      <c r="A481" s="4" t="s">
        <v>2096</v>
      </c>
      <c r="B481" s="4" t="s">
        <v>2097</v>
      </c>
      <c r="C481" s="4" t="s">
        <v>2098</v>
      </c>
      <c r="D481" s="4"/>
      <c r="E481" s="4" t="s">
        <v>91</v>
      </c>
      <c r="F481" s="4" t="s">
        <v>2099</v>
      </c>
      <c r="G481" s="4" t="s">
        <v>130</v>
      </c>
      <c r="H481" s="4" t="s">
        <v>41</v>
      </c>
      <c r="I481" s="4" t="s">
        <v>131</v>
      </c>
      <c r="J481" s="4" t="s">
        <v>94</v>
      </c>
      <c r="K481" s="4" t="s">
        <v>2100</v>
      </c>
      <c r="L481" s="4" t="str">
        <f t="shared" si="7"/>
        <v>Different owner &amp; contact</v>
      </c>
    </row>
    <row r="482" spans="1:12" ht="15" customHeight="1" x14ac:dyDescent="0.3">
      <c r="A482" s="4" t="s">
        <v>2101</v>
      </c>
      <c r="B482" s="4" t="s">
        <v>2102</v>
      </c>
      <c r="C482" s="4" t="s">
        <v>2103</v>
      </c>
      <c r="D482" s="4" t="s">
        <v>2104</v>
      </c>
      <c r="E482" s="4" t="s">
        <v>91</v>
      </c>
      <c r="F482" s="4" t="s">
        <v>2105</v>
      </c>
      <c r="G482" s="4" t="s">
        <v>49</v>
      </c>
      <c r="H482" s="4" t="s">
        <v>41</v>
      </c>
      <c r="I482" s="4" t="s">
        <v>42</v>
      </c>
      <c r="J482" s="4" t="s">
        <v>32</v>
      </c>
      <c r="K482" s="4" t="s">
        <v>2103</v>
      </c>
      <c r="L482" s="4" t="str">
        <f t="shared" si="7"/>
        <v>Different owner</v>
      </c>
    </row>
    <row r="483" spans="1:12" ht="15" customHeight="1" x14ac:dyDescent="0.3">
      <c r="A483" s="4" t="s">
        <v>2106</v>
      </c>
      <c r="B483" s="4" t="s">
        <v>2107</v>
      </c>
      <c r="C483" s="4" t="s">
        <v>2108</v>
      </c>
      <c r="D483" s="4"/>
      <c r="E483" s="4" t="s">
        <v>52</v>
      </c>
      <c r="F483" s="4" t="s">
        <v>2109</v>
      </c>
      <c r="G483" s="4" t="s">
        <v>29</v>
      </c>
      <c r="H483" s="4" t="s">
        <v>41</v>
      </c>
      <c r="I483" s="4" t="s">
        <v>299</v>
      </c>
      <c r="J483" s="4" t="s">
        <v>34</v>
      </c>
      <c r="K483" s="4" t="s">
        <v>2108</v>
      </c>
      <c r="L483" s="4" t="str">
        <f t="shared" si="7"/>
        <v>Different owner</v>
      </c>
    </row>
    <row r="484" spans="1:12" ht="15" customHeight="1" x14ac:dyDescent="0.3">
      <c r="A484" s="4" t="s">
        <v>2110</v>
      </c>
      <c r="B484" s="4" t="s">
        <v>2111</v>
      </c>
      <c r="C484" s="4" t="s">
        <v>2112</v>
      </c>
      <c r="D484" s="4"/>
      <c r="E484" s="4" t="s">
        <v>91</v>
      </c>
      <c r="F484" s="4" t="s">
        <v>2113</v>
      </c>
      <c r="G484" s="4" t="s">
        <v>690</v>
      </c>
      <c r="H484" s="4" t="s">
        <v>1603</v>
      </c>
      <c r="I484" s="4" t="s">
        <v>432</v>
      </c>
      <c r="J484" s="4" t="s">
        <v>94</v>
      </c>
      <c r="K484" s="4" t="s">
        <v>2114</v>
      </c>
      <c r="L484" s="4" t="str">
        <f t="shared" si="7"/>
        <v>Different owner &amp; contact</v>
      </c>
    </row>
    <row r="485" spans="1:12" ht="15" customHeight="1" x14ac:dyDescent="0.3">
      <c r="A485" s="4" t="s">
        <v>2115</v>
      </c>
      <c r="B485" s="4" t="s">
        <v>2116</v>
      </c>
      <c r="C485" s="4" t="s">
        <v>2117</v>
      </c>
      <c r="D485" s="4" t="s">
        <v>2118</v>
      </c>
      <c r="E485" s="4" t="s">
        <v>172</v>
      </c>
      <c r="F485" s="4" t="s">
        <v>2119</v>
      </c>
      <c r="G485" s="4" t="s">
        <v>138</v>
      </c>
      <c r="H485" s="4" t="s">
        <v>174</v>
      </c>
      <c r="I485" s="4" t="s">
        <v>175</v>
      </c>
      <c r="J485" s="4" t="s">
        <v>176</v>
      </c>
      <c r="K485" s="4" t="s">
        <v>2120</v>
      </c>
      <c r="L485" s="4" t="str">
        <f t="shared" si="7"/>
        <v>Different owner &amp; contact</v>
      </c>
    </row>
    <row r="486" spans="1:12" ht="15" customHeight="1" x14ac:dyDescent="0.3">
      <c r="A486" s="4" t="s">
        <v>2121</v>
      </c>
      <c r="B486" s="4" t="s">
        <v>2116</v>
      </c>
      <c r="C486" s="4"/>
      <c r="D486" s="4" t="s">
        <v>2122</v>
      </c>
      <c r="E486" s="4" t="s">
        <v>172</v>
      </c>
      <c r="F486" s="4" t="s">
        <v>2119</v>
      </c>
      <c r="G486" s="4" t="s">
        <v>138</v>
      </c>
      <c r="H486" s="4" t="s">
        <v>174</v>
      </c>
      <c r="I486" s="4" t="s">
        <v>175</v>
      </c>
      <c r="J486" s="4" t="s">
        <v>176</v>
      </c>
      <c r="K486" s="4" t="s">
        <v>2120</v>
      </c>
      <c r="L486" s="4" t="str">
        <f t="shared" si="7"/>
        <v>Different owner &amp; contact</v>
      </c>
    </row>
    <row r="487" spans="1:12" ht="15" customHeight="1" x14ac:dyDescent="0.3">
      <c r="A487" s="4" t="s">
        <v>2123</v>
      </c>
      <c r="B487" s="4" t="s">
        <v>2124</v>
      </c>
      <c r="C487" s="4" t="s">
        <v>2125</v>
      </c>
      <c r="D487" s="4"/>
      <c r="E487" s="4" t="s">
        <v>343</v>
      </c>
      <c r="F487" s="4" t="s">
        <v>2126</v>
      </c>
      <c r="G487" s="4" t="s">
        <v>361</v>
      </c>
      <c r="H487" s="4" t="s">
        <v>41</v>
      </c>
      <c r="I487" s="4" t="s">
        <v>131</v>
      </c>
      <c r="J487" s="4" t="s">
        <v>32</v>
      </c>
      <c r="K487" s="4" t="s">
        <v>2125</v>
      </c>
      <c r="L487" s="4" t="str">
        <f t="shared" si="7"/>
        <v>Different owner</v>
      </c>
    </row>
    <row r="488" spans="1:12" ht="15" customHeight="1" x14ac:dyDescent="0.3">
      <c r="A488" s="4" t="s">
        <v>2127</v>
      </c>
      <c r="B488" s="4" t="s">
        <v>2128</v>
      </c>
      <c r="C488" s="4" t="s">
        <v>2129</v>
      </c>
      <c r="D488" s="4"/>
      <c r="E488" s="4" t="s">
        <v>52</v>
      </c>
      <c r="F488" s="4" t="s">
        <v>2130</v>
      </c>
      <c r="G488" s="4" t="s">
        <v>58</v>
      </c>
      <c r="H488" s="4" t="s">
        <v>41</v>
      </c>
      <c r="I488" s="4" t="s">
        <v>883</v>
      </c>
      <c r="J488" s="4" t="s">
        <v>52</v>
      </c>
      <c r="K488" s="4" t="s">
        <v>2129</v>
      </c>
      <c r="L488" s="4" t="str">
        <f t="shared" si="7"/>
        <v>Match</v>
      </c>
    </row>
    <row r="489" spans="1:12" ht="15" customHeight="1" x14ac:dyDescent="0.3">
      <c r="A489" s="4" t="s">
        <v>2127</v>
      </c>
      <c r="B489" s="4" t="s">
        <v>2128</v>
      </c>
      <c r="C489" s="4" t="s">
        <v>2131</v>
      </c>
      <c r="D489" s="4"/>
      <c r="E489" s="4" t="s">
        <v>343</v>
      </c>
      <c r="F489" s="4" t="s">
        <v>2130</v>
      </c>
      <c r="G489" s="4" t="s">
        <v>58</v>
      </c>
      <c r="H489" s="4" t="s">
        <v>41</v>
      </c>
      <c r="I489" s="4" t="s">
        <v>883</v>
      </c>
      <c r="J489" s="4" t="s">
        <v>52</v>
      </c>
      <c r="K489" s="4" t="s">
        <v>2129</v>
      </c>
      <c r="L489" s="4" t="str">
        <f t="shared" si="7"/>
        <v>Different owner &amp; contact</v>
      </c>
    </row>
    <row r="490" spans="1:12" ht="15" customHeight="1" x14ac:dyDescent="0.3">
      <c r="A490" s="4" t="s">
        <v>2132</v>
      </c>
      <c r="B490" s="4" t="s">
        <v>2133</v>
      </c>
      <c r="C490" s="4" t="s">
        <v>2134</v>
      </c>
      <c r="D490" s="4" t="s">
        <v>2135</v>
      </c>
      <c r="E490" s="4" t="s">
        <v>91</v>
      </c>
      <c r="F490" s="4" t="s">
        <v>2136</v>
      </c>
      <c r="G490" s="4" t="s">
        <v>40</v>
      </c>
      <c r="H490" s="4" t="s">
        <v>41</v>
      </c>
      <c r="I490" s="4" t="s">
        <v>883</v>
      </c>
      <c r="J490" s="4" t="s">
        <v>32</v>
      </c>
      <c r="K490" s="4" t="s">
        <v>2137</v>
      </c>
      <c r="L490" s="4" t="str">
        <f t="shared" si="7"/>
        <v>Different owner &amp; contact</v>
      </c>
    </row>
    <row r="491" spans="1:12" ht="15" customHeight="1" x14ac:dyDescent="0.3">
      <c r="A491" s="4" t="s">
        <v>2138</v>
      </c>
      <c r="B491" s="4" t="s">
        <v>2139</v>
      </c>
      <c r="C491" s="4" t="s">
        <v>2140</v>
      </c>
      <c r="D491" s="4" t="s">
        <v>2141</v>
      </c>
      <c r="E491" s="4" t="s">
        <v>91</v>
      </c>
      <c r="F491" s="4" t="s">
        <v>2142</v>
      </c>
      <c r="G491" s="4" t="s">
        <v>29</v>
      </c>
      <c r="H491" s="4" t="s">
        <v>41</v>
      </c>
      <c r="I491" s="4" t="s">
        <v>883</v>
      </c>
      <c r="J491" s="4" t="s">
        <v>32</v>
      </c>
      <c r="K491" s="4" t="s">
        <v>2143</v>
      </c>
      <c r="L491" s="4" t="str">
        <f t="shared" si="7"/>
        <v>Different owner &amp; contact</v>
      </c>
    </row>
    <row r="492" spans="1:12" ht="15" customHeight="1" x14ac:dyDescent="0.3">
      <c r="A492" s="4" t="s">
        <v>2144</v>
      </c>
      <c r="B492" s="4" t="s">
        <v>2145</v>
      </c>
      <c r="C492" s="4" t="s">
        <v>2146</v>
      </c>
      <c r="D492" s="4" t="s">
        <v>2147</v>
      </c>
      <c r="E492" s="4" t="s">
        <v>106</v>
      </c>
      <c r="F492" s="4" t="s">
        <v>2148</v>
      </c>
      <c r="G492" s="4" t="s">
        <v>40</v>
      </c>
      <c r="H492" s="4" t="s">
        <v>41</v>
      </c>
      <c r="I492" s="4" t="s">
        <v>823</v>
      </c>
      <c r="J492" s="4" t="s">
        <v>106</v>
      </c>
      <c r="K492" s="4" t="s">
        <v>2149</v>
      </c>
      <c r="L492" s="4" t="str">
        <f t="shared" si="7"/>
        <v>Different contact</v>
      </c>
    </row>
    <row r="493" spans="1:12" ht="15" customHeight="1" x14ac:dyDescent="0.3">
      <c r="A493" s="4" t="s">
        <v>2150</v>
      </c>
      <c r="B493" s="4" t="s">
        <v>2145</v>
      </c>
      <c r="C493" s="4" t="s">
        <v>2149</v>
      </c>
      <c r="D493" s="4"/>
      <c r="E493" s="4" t="s">
        <v>106</v>
      </c>
      <c r="F493" s="4" t="s">
        <v>2148</v>
      </c>
      <c r="G493" s="4" t="s">
        <v>40</v>
      </c>
      <c r="H493" s="4" t="s">
        <v>41</v>
      </c>
      <c r="I493" s="4" t="s">
        <v>823</v>
      </c>
      <c r="J493" s="4" t="s">
        <v>106</v>
      </c>
      <c r="K493" s="4" t="s">
        <v>2149</v>
      </c>
      <c r="L493" s="4" t="str">
        <f t="shared" si="7"/>
        <v>Match</v>
      </c>
    </row>
    <row r="494" spans="1:12" ht="15" customHeight="1" x14ac:dyDescent="0.3">
      <c r="A494" s="4" t="s">
        <v>2151</v>
      </c>
      <c r="B494" s="4" t="s">
        <v>2152</v>
      </c>
      <c r="C494" s="4" t="s">
        <v>2153</v>
      </c>
      <c r="D494" s="4" t="s">
        <v>2154</v>
      </c>
      <c r="E494" s="4" t="s">
        <v>66</v>
      </c>
      <c r="F494" s="4" t="s">
        <v>2155</v>
      </c>
      <c r="G494" s="4" t="s">
        <v>58</v>
      </c>
      <c r="H494" s="4" t="s">
        <v>41</v>
      </c>
      <c r="I494" s="4" t="s">
        <v>734</v>
      </c>
      <c r="J494" s="4" t="s">
        <v>66</v>
      </c>
      <c r="K494" s="4" t="s">
        <v>2156</v>
      </c>
      <c r="L494" s="4" t="str">
        <f t="shared" si="7"/>
        <v>Different contact</v>
      </c>
    </row>
    <row r="495" spans="1:12" ht="15" customHeight="1" x14ac:dyDescent="0.3">
      <c r="A495" s="4" t="s">
        <v>2157</v>
      </c>
      <c r="B495" s="4" t="s">
        <v>2158</v>
      </c>
      <c r="C495" s="4" t="s">
        <v>2159</v>
      </c>
      <c r="D495" s="4"/>
      <c r="E495" s="4" t="s">
        <v>91</v>
      </c>
      <c r="F495" s="4" t="s">
        <v>2160</v>
      </c>
      <c r="G495" s="4" t="s">
        <v>58</v>
      </c>
      <c r="H495" s="4" t="s">
        <v>41</v>
      </c>
      <c r="I495" s="4" t="s">
        <v>149</v>
      </c>
      <c r="J495" s="4" t="s">
        <v>102</v>
      </c>
      <c r="K495" s="4" t="s">
        <v>2159</v>
      </c>
      <c r="L495" s="4" t="str">
        <f t="shared" si="7"/>
        <v>Different owner</v>
      </c>
    </row>
    <row r="496" spans="1:12" ht="15" customHeight="1" x14ac:dyDescent="0.3">
      <c r="A496" s="4" t="s">
        <v>2161</v>
      </c>
      <c r="B496" s="4" t="s">
        <v>2162</v>
      </c>
      <c r="C496" s="4" t="s">
        <v>2163</v>
      </c>
      <c r="D496" s="4" t="s">
        <v>2164</v>
      </c>
      <c r="E496" s="4" t="s">
        <v>27</v>
      </c>
      <c r="F496" s="4" t="s">
        <v>2165</v>
      </c>
      <c r="G496" s="4" t="s">
        <v>124</v>
      </c>
      <c r="H496" s="4" t="s">
        <v>41</v>
      </c>
      <c r="I496" s="4" t="s">
        <v>2166</v>
      </c>
      <c r="J496" s="4" t="s">
        <v>52</v>
      </c>
      <c r="K496" s="4" t="s">
        <v>2163</v>
      </c>
      <c r="L496" s="4" t="str">
        <f t="shared" si="7"/>
        <v>Different owner</v>
      </c>
    </row>
    <row r="497" spans="1:12" ht="15" customHeight="1" x14ac:dyDescent="0.3">
      <c r="A497" s="4" t="s">
        <v>2167</v>
      </c>
      <c r="B497" s="4" t="s">
        <v>2168</v>
      </c>
      <c r="C497" s="4" t="s">
        <v>2169</v>
      </c>
      <c r="D497" s="4"/>
      <c r="E497" s="4" t="s">
        <v>56</v>
      </c>
      <c r="F497" s="4" t="s">
        <v>2170</v>
      </c>
      <c r="G497" s="4" t="s">
        <v>29</v>
      </c>
      <c r="H497" s="4" t="s">
        <v>41</v>
      </c>
      <c r="I497" s="4" t="s">
        <v>2171</v>
      </c>
      <c r="J497" s="4" t="s">
        <v>60</v>
      </c>
      <c r="K497" s="4" t="s">
        <v>2172</v>
      </c>
      <c r="L497" s="4" t="str">
        <f t="shared" si="7"/>
        <v>Different owner &amp; contact</v>
      </c>
    </row>
    <row r="498" spans="1:12" ht="15" customHeight="1" x14ac:dyDescent="0.3">
      <c r="A498" s="4" t="s">
        <v>2173</v>
      </c>
      <c r="B498" s="4" t="s">
        <v>2174</v>
      </c>
      <c r="C498" s="4" t="s">
        <v>2175</v>
      </c>
      <c r="D498" s="4" t="s">
        <v>2176</v>
      </c>
      <c r="E498" s="4" t="s">
        <v>27</v>
      </c>
      <c r="F498" s="4" t="s">
        <v>2177</v>
      </c>
      <c r="G498" s="4" t="s">
        <v>29</v>
      </c>
      <c r="H498" s="4" t="s">
        <v>41</v>
      </c>
      <c r="I498" s="4" t="s">
        <v>101</v>
      </c>
      <c r="J498" s="4" t="s">
        <v>34</v>
      </c>
      <c r="K498" s="4" t="s">
        <v>2178</v>
      </c>
      <c r="L498" s="4" t="str">
        <f t="shared" si="7"/>
        <v>Different owner &amp; contact</v>
      </c>
    </row>
    <row r="499" spans="1:12" ht="15" customHeight="1" x14ac:dyDescent="0.3">
      <c r="A499" s="4" t="s">
        <v>2179</v>
      </c>
      <c r="B499" s="4" t="s">
        <v>2174</v>
      </c>
      <c r="C499" s="4" t="s">
        <v>2178</v>
      </c>
      <c r="D499" s="4"/>
      <c r="E499" s="4" t="s">
        <v>27</v>
      </c>
      <c r="F499" s="4" t="s">
        <v>2177</v>
      </c>
      <c r="G499" s="4" t="s">
        <v>29</v>
      </c>
      <c r="H499" s="4" t="s">
        <v>41</v>
      </c>
      <c r="I499" s="4" t="s">
        <v>101</v>
      </c>
      <c r="J499" s="4" t="s">
        <v>34</v>
      </c>
      <c r="K499" s="4" t="s">
        <v>2178</v>
      </c>
      <c r="L499" s="4" t="str">
        <f t="shared" si="7"/>
        <v>Different owner</v>
      </c>
    </row>
    <row r="500" spans="1:12" ht="15" customHeight="1" x14ac:dyDescent="0.3">
      <c r="A500" s="4" t="s">
        <v>2180</v>
      </c>
      <c r="B500" s="4" t="s">
        <v>2181</v>
      </c>
      <c r="C500" s="4" t="s">
        <v>2182</v>
      </c>
      <c r="D500" s="4"/>
      <c r="E500" s="4" t="s">
        <v>56</v>
      </c>
      <c r="F500" s="4" t="s">
        <v>2183</v>
      </c>
      <c r="G500" s="4" t="s">
        <v>209</v>
      </c>
      <c r="H500" s="4" t="s">
        <v>41</v>
      </c>
      <c r="I500" s="4" t="s">
        <v>432</v>
      </c>
      <c r="J500" s="4" t="s">
        <v>60</v>
      </c>
      <c r="K500" s="4" t="s">
        <v>2184</v>
      </c>
      <c r="L500" s="4" t="str">
        <f t="shared" si="7"/>
        <v>Different owner</v>
      </c>
    </row>
    <row r="501" spans="1:12" ht="15" customHeight="1" x14ac:dyDescent="0.3">
      <c r="A501" s="4" t="s">
        <v>2185</v>
      </c>
      <c r="B501" s="4" t="s">
        <v>2181</v>
      </c>
      <c r="C501" s="4" t="s">
        <v>2186</v>
      </c>
      <c r="D501" s="4"/>
      <c r="E501" s="4" t="s">
        <v>56</v>
      </c>
      <c r="F501" s="4" t="s">
        <v>2183</v>
      </c>
      <c r="G501" s="4" t="s">
        <v>209</v>
      </c>
      <c r="H501" s="4" t="s">
        <v>41</v>
      </c>
      <c r="I501" s="4" t="s">
        <v>432</v>
      </c>
      <c r="J501" s="4" t="s">
        <v>60</v>
      </c>
      <c r="K501" s="4" t="s">
        <v>2184</v>
      </c>
      <c r="L501" s="4" t="str">
        <f t="shared" si="7"/>
        <v>Different owner &amp; contact</v>
      </c>
    </row>
    <row r="502" spans="1:12" ht="15" customHeight="1" x14ac:dyDescent="0.3">
      <c r="A502" s="4" t="s">
        <v>2187</v>
      </c>
      <c r="B502" s="4" t="s">
        <v>2188</v>
      </c>
      <c r="C502" s="4"/>
      <c r="D502" s="4" t="s">
        <v>2189</v>
      </c>
      <c r="E502" s="4" t="s">
        <v>172</v>
      </c>
      <c r="F502" s="4" t="s">
        <v>2190</v>
      </c>
      <c r="G502" s="4" t="s">
        <v>84</v>
      </c>
      <c r="H502" s="4" t="s">
        <v>174</v>
      </c>
      <c r="I502" s="4" t="s">
        <v>175</v>
      </c>
      <c r="J502" s="4" t="s">
        <v>176</v>
      </c>
      <c r="K502" s="4" t="s">
        <v>2191</v>
      </c>
      <c r="L502" s="4" t="str">
        <f t="shared" si="7"/>
        <v>Different owner &amp; contact</v>
      </c>
    </row>
    <row r="503" spans="1:12" ht="15" customHeight="1" x14ac:dyDescent="0.3">
      <c r="A503" s="4" t="s">
        <v>2192</v>
      </c>
      <c r="B503" s="4" t="s">
        <v>2188</v>
      </c>
      <c r="C503" s="4"/>
      <c r="D503" s="4" t="s">
        <v>2193</v>
      </c>
      <c r="E503" s="4" t="s">
        <v>172</v>
      </c>
      <c r="F503" s="4" t="s">
        <v>2190</v>
      </c>
      <c r="G503" s="4" t="s">
        <v>84</v>
      </c>
      <c r="H503" s="4" t="s">
        <v>174</v>
      </c>
      <c r="I503" s="4" t="s">
        <v>175</v>
      </c>
      <c r="J503" s="4" t="s">
        <v>176</v>
      </c>
      <c r="K503" s="4" t="s">
        <v>2191</v>
      </c>
      <c r="L503" s="4" t="str">
        <f t="shared" si="7"/>
        <v>Different owner &amp; contact</v>
      </c>
    </row>
    <row r="504" spans="1:12" ht="15" customHeight="1" x14ac:dyDescent="0.3">
      <c r="A504" s="4" t="s">
        <v>2194</v>
      </c>
      <c r="B504" s="4" t="s">
        <v>2188</v>
      </c>
      <c r="C504" s="4"/>
      <c r="D504" s="4" t="s">
        <v>2195</v>
      </c>
      <c r="E504" s="4" t="s">
        <v>172</v>
      </c>
      <c r="F504" s="4" t="s">
        <v>2190</v>
      </c>
      <c r="G504" s="4" t="s">
        <v>84</v>
      </c>
      <c r="H504" s="4" t="s">
        <v>174</v>
      </c>
      <c r="I504" s="4" t="s">
        <v>175</v>
      </c>
      <c r="J504" s="4" t="s">
        <v>176</v>
      </c>
      <c r="K504" s="4" t="s">
        <v>2191</v>
      </c>
      <c r="L504" s="4" t="str">
        <f t="shared" si="7"/>
        <v>Different owner &amp; contact</v>
      </c>
    </row>
    <row r="505" spans="1:12" ht="15" customHeight="1" x14ac:dyDescent="0.3">
      <c r="A505" s="4" t="s">
        <v>2196</v>
      </c>
      <c r="B505" s="4" t="s">
        <v>2197</v>
      </c>
      <c r="C505" s="4" t="s">
        <v>2198</v>
      </c>
      <c r="D505" s="4" t="s">
        <v>2199</v>
      </c>
      <c r="E505" s="4" t="s">
        <v>91</v>
      </c>
      <c r="F505" s="4" t="s">
        <v>2200</v>
      </c>
      <c r="G505" s="4" t="s">
        <v>84</v>
      </c>
      <c r="H505" s="4" t="s">
        <v>68</v>
      </c>
      <c r="I505" s="4" t="s">
        <v>538</v>
      </c>
      <c r="J505" s="4" t="s">
        <v>94</v>
      </c>
      <c r="K505" s="4" t="s">
        <v>2201</v>
      </c>
      <c r="L505" s="4" t="str">
        <f t="shared" si="7"/>
        <v>Different owner &amp; contact</v>
      </c>
    </row>
    <row r="506" spans="1:12" ht="15" customHeight="1" x14ac:dyDescent="0.3">
      <c r="A506" s="4" t="s">
        <v>2202</v>
      </c>
      <c r="B506" s="4" t="s">
        <v>2197</v>
      </c>
      <c r="C506" s="4" t="s">
        <v>2201</v>
      </c>
      <c r="D506" s="4" t="s">
        <v>2203</v>
      </c>
      <c r="E506" s="4" t="s">
        <v>52</v>
      </c>
      <c r="F506" s="4" t="s">
        <v>2200</v>
      </c>
      <c r="G506" s="4" t="s">
        <v>84</v>
      </c>
      <c r="H506" s="4" t="s">
        <v>68</v>
      </c>
      <c r="I506" s="4" t="s">
        <v>538</v>
      </c>
      <c r="J506" s="4" t="s">
        <v>94</v>
      </c>
      <c r="K506" s="4" t="s">
        <v>2201</v>
      </c>
      <c r="L506" s="4" t="str">
        <f t="shared" si="7"/>
        <v>Different owner</v>
      </c>
    </row>
    <row r="507" spans="1:12" ht="15" customHeight="1" x14ac:dyDescent="0.3">
      <c r="A507" s="4" t="s">
        <v>2204</v>
      </c>
      <c r="B507" s="4" t="s">
        <v>2205</v>
      </c>
      <c r="C507" s="4" t="s">
        <v>2206</v>
      </c>
      <c r="D507" s="4" t="s">
        <v>2207</v>
      </c>
      <c r="E507" s="4" t="s">
        <v>106</v>
      </c>
      <c r="F507" s="4" t="s">
        <v>2208</v>
      </c>
      <c r="G507" s="4" t="s">
        <v>58</v>
      </c>
      <c r="H507" s="4" t="s">
        <v>500</v>
      </c>
      <c r="I507" s="4" t="s">
        <v>944</v>
      </c>
      <c r="J507" s="4" t="s">
        <v>106</v>
      </c>
      <c r="K507" s="4" t="s">
        <v>2209</v>
      </c>
      <c r="L507" s="4" t="str">
        <f t="shared" si="7"/>
        <v>Different contact</v>
      </c>
    </row>
    <row r="508" spans="1:12" ht="15" customHeight="1" x14ac:dyDescent="0.3">
      <c r="A508" s="4" t="s">
        <v>2210</v>
      </c>
      <c r="B508" s="4" t="s">
        <v>2205</v>
      </c>
      <c r="C508" s="4" t="s">
        <v>2211</v>
      </c>
      <c r="D508" s="4"/>
      <c r="E508" s="4" t="s">
        <v>343</v>
      </c>
      <c r="F508" s="4" t="s">
        <v>2208</v>
      </c>
      <c r="G508" s="4" t="s">
        <v>58</v>
      </c>
      <c r="H508" s="4" t="s">
        <v>500</v>
      </c>
      <c r="I508" s="4" t="s">
        <v>944</v>
      </c>
      <c r="J508" s="4" t="s">
        <v>106</v>
      </c>
      <c r="K508" s="4" t="s">
        <v>2209</v>
      </c>
      <c r="L508" s="4" t="str">
        <f t="shared" si="7"/>
        <v>Different owner &amp; contact</v>
      </c>
    </row>
    <row r="509" spans="1:12" ht="15" customHeight="1" x14ac:dyDescent="0.3">
      <c r="A509" s="4" t="s">
        <v>2212</v>
      </c>
      <c r="B509" s="4" t="s">
        <v>2213</v>
      </c>
      <c r="C509" s="4" t="s">
        <v>2214</v>
      </c>
      <c r="D509" s="4"/>
      <c r="E509" s="4" t="s">
        <v>27</v>
      </c>
      <c r="F509" s="4" t="s">
        <v>2215</v>
      </c>
      <c r="G509" s="4" t="s">
        <v>124</v>
      </c>
      <c r="H509" s="4" t="s">
        <v>30</v>
      </c>
      <c r="I509" s="4" t="s">
        <v>1107</v>
      </c>
      <c r="J509" s="4" t="s">
        <v>52</v>
      </c>
      <c r="K509" s="4" t="s">
        <v>2216</v>
      </c>
      <c r="L509" s="4" t="str">
        <f t="shared" si="7"/>
        <v>Different owner &amp; contact</v>
      </c>
    </row>
    <row r="510" spans="1:12" ht="15" customHeight="1" x14ac:dyDescent="0.3">
      <c r="A510" s="4" t="s">
        <v>2217</v>
      </c>
      <c r="B510" s="4" t="s">
        <v>2218</v>
      </c>
      <c r="C510" s="4" t="s">
        <v>2219</v>
      </c>
      <c r="D510" s="4" t="s">
        <v>2220</v>
      </c>
      <c r="E510" s="4" t="s">
        <v>91</v>
      </c>
      <c r="F510" s="4" t="s">
        <v>2221</v>
      </c>
      <c r="G510" s="4" t="s">
        <v>84</v>
      </c>
      <c r="H510" s="4" t="s">
        <v>41</v>
      </c>
      <c r="I510" s="4" t="s">
        <v>823</v>
      </c>
      <c r="J510" s="4" t="s">
        <v>32</v>
      </c>
      <c r="K510" s="4" t="s">
        <v>2222</v>
      </c>
      <c r="L510" s="4" t="str">
        <f t="shared" si="7"/>
        <v>Different owner &amp; contact</v>
      </c>
    </row>
    <row r="511" spans="1:12" ht="15" customHeight="1" x14ac:dyDescent="0.3">
      <c r="A511" s="4" t="s">
        <v>2223</v>
      </c>
      <c r="B511" s="4" t="s">
        <v>2224</v>
      </c>
      <c r="C511" s="4" t="s">
        <v>2225</v>
      </c>
      <c r="D511" s="4" t="s">
        <v>1365</v>
      </c>
      <c r="E511" s="4" t="s">
        <v>52</v>
      </c>
      <c r="F511" s="4" t="s">
        <v>2226</v>
      </c>
      <c r="G511" s="4" t="s">
        <v>130</v>
      </c>
      <c r="H511" s="4" t="s">
        <v>68</v>
      </c>
      <c r="I511" s="4" t="s">
        <v>2227</v>
      </c>
      <c r="J511" s="4" t="s">
        <v>102</v>
      </c>
      <c r="K511" s="4" t="s">
        <v>2228</v>
      </c>
      <c r="L511" s="4" t="str">
        <f t="shared" si="7"/>
        <v>Different owner &amp; contact</v>
      </c>
    </row>
    <row r="512" spans="1:12" ht="15" customHeight="1" x14ac:dyDescent="0.3">
      <c r="A512" s="4" t="s">
        <v>2229</v>
      </c>
      <c r="B512" s="4" t="s">
        <v>2230</v>
      </c>
      <c r="C512" s="4"/>
      <c r="D512" s="4" t="s">
        <v>2231</v>
      </c>
      <c r="E512" s="4" t="s">
        <v>385</v>
      </c>
      <c r="F512" s="4" t="s">
        <v>2232</v>
      </c>
      <c r="G512" s="4" t="s">
        <v>58</v>
      </c>
      <c r="H512" s="4" t="s">
        <v>500</v>
      </c>
      <c r="I512" s="4" t="s">
        <v>501</v>
      </c>
      <c r="J512" s="4" t="s">
        <v>52</v>
      </c>
      <c r="K512" s="4" t="s">
        <v>2233</v>
      </c>
      <c r="L512" s="4" t="str">
        <f t="shared" si="7"/>
        <v>Different owner &amp; contact</v>
      </c>
    </row>
    <row r="513" spans="1:12" ht="15" customHeight="1" x14ac:dyDescent="0.3">
      <c r="A513" s="4" t="s">
        <v>2234</v>
      </c>
      <c r="B513" s="4" t="s">
        <v>2230</v>
      </c>
      <c r="C513" s="4" t="s">
        <v>2235</v>
      </c>
      <c r="D513" s="4" t="s">
        <v>2236</v>
      </c>
      <c r="E513" s="4" t="s">
        <v>27</v>
      </c>
      <c r="F513" s="4" t="s">
        <v>2232</v>
      </c>
      <c r="G513" s="4" t="s">
        <v>58</v>
      </c>
      <c r="H513" s="4" t="s">
        <v>500</v>
      </c>
      <c r="I513" s="4" t="s">
        <v>501</v>
      </c>
      <c r="J513" s="4" t="s">
        <v>52</v>
      </c>
      <c r="K513" s="4" t="s">
        <v>2233</v>
      </c>
      <c r="L513" s="4" t="str">
        <f t="shared" si="7"/>
        <v>Different owner &amp; contact</v>
      </c>
    </row>
    <row r="514" spans="1:12" ht="15" customHeight="1" x14ac:dyDescent="0.3">
      <c r="A514" s="4" t="s">
        <v>2237</v>
      </c>
      <c r="B514" s="4" t="s">
        <v>2230</v>
      </c>
      <c r="C514" s="4" t="s">
        <v>2233</v>
      </c>
      <c r="D514" s="4" t="s">
        <v>2236</v>
      </c>
      <c r="E514" s="4" t="s">
        <v>27</v>
      </c>
      <c r="F514" s="4" t="s">
        <v>2232</v>
      </c>
      <c r="G514" s="4" t="s">
        <v>58</v>
      </c>
      <c r="H514" s="4" t="s">
        <v>500</v>
      </c>
      <c r="I514" s="4" t="s">
        <v>501</v>
      </c>
      <c r="J514" s="4" t="s">
        <v>52</v>
      </c>
      <c r="K514" s="4" t="s">
        <v>2233</v>
      </c>
      <c r="L514" s="4" t="str">
        <f t="shared" ref="L514:L577" si="8">IF(AND(TRIM(LOWER(E514))=TRIM(LOWER(J514)),TRIM(LOWER(C514))=TRIM(LOWER(K514))),"Match",IF(AND(NOT(TRIM(LOWER(E514))=TRIM(LOWER(J514))),TRIM(LOWER(C514))=TRIM(LOWER(K514))),"Different owner",IF(AND(TRIM(LOWER(E514))=TRIM(LOWER(J514)),NOT(TRIM(LOWER(C514))=TRIM(LOWER(K514)))),"Different contact","Different owner &amp; contact")))</f>
        <v>Different owner</v>
      </c>
    </row>
    <row r="515" spans="1:12" ht="15" customHeight="1" x14ac:dyDescent="0.3">
      <c r="A515" s="4" t="s">
        <v>2238</v>
      </c>
      <c r="B515" s="4" t="s">
        <v>2239</v>
      </c>
      <c r="C515" s="4" t="s">
        <v>2240</v>
      </c>
      <c r="D515" s="4" t="s">
        <v>2241</v>
      </c>
      <c r="E515" s="4" t="s">
        <v>172</v>
      </c>
      <c r="F515" s="4" t="s">
        <v>2242</v>
      </c>
      <c r="G515" s="4" t="s">
        <v>361</v>
      </c>
      <c r="H515" s="4" t="s">
        <v>174</v>
      </c>
      <c r="I515" s="4" t="s">
        <v>175</v>
      </c>
      <c r="J515" s="4" t="s">
        <v>176</v>
      </c>
      <c r="K515" s="4" t="s">
        <v>2243</v>
      </c>
      <c r="L515" s="4" t="str">
        <f t="shared" si="8"/>
        <v>Different owner &amp; contact</v>
      </c>
    </row>
    <row r="516" spans="1:12" ht="15" customHeight="1" x14ac:dyDescent="0.3">
      <c r="A516" s="4" t="s">
        <v>2244</v>
      </c>
      <c r="B516" s="4" t="s">
        <v>2239</v>
      </c>
      <c r="C516" s="4" t="s">
        <v>2245</v>
      </c>
      <c r="D516" s="4"/>
      <c r="E516" s="4" t="s">
        <v>172</v>
      </c>
      <c r="F516" s="4" t="s">
        <v>2242</v>
      </c>
      <c r="G516" s="4" t="s">
        <v>361</v>
      </c>
      <c r="H516" s="4" t="s">
        <v>174</v>
      </c>
      <c r="I516" s="4" t="s">
        <v>175</v>
      </c>
      <c r="J516" s="4" t="s">
        <v>176</v>
      </c>
      <c r="K516" s="4" t="s">
        <v>2243</v>
      </c>
      <c r="L516" s="4" t="str">
        <f t="shared" si="8"/>
        <v>Different owner &amp; contact</v>
      </c>
    </row>
    <row r="517" spans="1:12" ht="15" customHeight="1" x14ac:dyDescent="0.3">
      <c r="A517" s="4" t="s">
        <v>2246</v>
      </c>
      <c r="B517" s="4" t="s">
        <v>2247</v>
      </c>
      <c r="C517" s="4"/>
      <c r="D517" s="4" t="s">
        <v>2248</v>
      </c>
      <c r="E517" s="4" t="s">
        <v>56</v>
      </c>
      <c r="F517" s="4" t="s">
        <v>2249</v>
      </c>
      <c r="G517" s="4" t="s">
        <v>361</v>
      </c>
      <c r="H517" s="4" t="s">
        <v>41</v>
      </c>
      <c r="I517" s="4" t="s">
        <v>101</v>
      </c>
      <c r="J517" s="4" t="s">
        <v>60</v>
      </c>
      <c r="K517" s="4" t="s">
        <v>2250</v>
      </c>
      <c r="L517" s="4" t="str">
        <f t="shared" si="8"/>
        <v>Different owner &amp; contact</v>
      </c>
    </row>
    <row r="518" spans="1:12" ht="15" customHeight="1" x14ac:dyDescent="0.3">
      <c r="A518" s="4" t="s">
        <v>2251</v>
      </c>
      <c r="B518" s="4" t="s">
        <v>2252</v>
      </c>
      <c r="C518" s="4" t="s">
        <v>2253</v>
      </c>
      <c r="D518" s="4"/>
      <c r="E518" s="4" t="s">
        <v>172</v>
      </c>
      <c r="F518" s="4" t="s">
        <v>2254</v>
      </c>
      <c r="G518" s="4" t="s">
        <v>58</v>
      </c>
      <c r="H518" s="4" t="s">
        <v>68</v>
      </c>
      <c r="I518" s="4" t="s">
        <v>404</v>
      </c>
      <c r="J518" s="4" t="s">
        <v>34</v>
      </c>
      <c r="K518" s="4" t="s">
        <v>2255</v>
      </c>
      <c r="L518" s="4" t="str">
        <f t="shared" si="8"/>
        <v>Different owner &amp; contact</v>
      </c>
    </row>
    <row r="519" spans="1:12" ht="15" customHeight="1" x14ac:dyDescent="0.3">
      <c r="A519" s="4" t="s">
        <v>2256</v>
      </c>
      <c r="B519" s="4" t="s">
        <v>2252</v>
      </c>
      <c r="C519" s="4" t="s">
        <v>2255</v>
      </c>
      <c r="D519" s="4"/>
      <c r="E519" s="4" t="s">
        <v>56</v>
      </c>
      <c r="F519" s="4" t="s">
        <v>2254</v>
      </c>
      <c r="G519" s="4" t="s">
        <v>58</v>
      </c>
      <c r="H519" s="4" t="s">
        <v>68</v>
      </c>
      <c r="I519" s="4" t="s">
        <v>404</v>
      </c>
      <c r="J519" s="4" t="s">
        <v>34</v>
      </c>
      <c r="K519" s="4" t="s">
        <v>2255</v>
      </c>
      <c r="L519" s="4" t="str">
        <f t="shared" si="8"/>
        <v>Different owner</v>
      </c>
    </row>
    <row r="520" spans="1:12" ht="15" customHeight="1" x14ac:dyDescent="0.3">
      <c r="A520" s="4" t="s">
        <v>2256</v>
      </c>
      <c r="B520" s="4" t="s">
        <v>2252</v>
      </c>
      <c r="C520" s="4" t="s">
        <v>2257</v>
      </c>
      <c r="D520" s="4"/>
      <c r="E520" s="4" t="s">
        <v>343</v>
      </c>
      <c r="F520" s="4" t="s">
        <v>2254</v>
      </c>
      <c r="G520" s="4" t="s">
        <v>58</v>
      </c>
      <c r="H520" s="4" t="s">
        <v>68</v>
      </c>
      <c r="I520" s="4" t="s">
        <v>404</v>
      </c>
      <c r="J520" s="4" t="s">
        <v>34</v>
      </c>
      <c r="K520" s="4" t="s">
        <v>2255</v>
      </c>
      <c r="L520" s="4" t="str">
        <f t="shared" si="8"/>
        <v>Different owner &amp; contact</v>
      </c>
    </row>
    <row r="521" spans="1:12" ht="15" customHeight="1" x14ac:dyDescent="0.3">
      <c r="A521" s="4" t="s">
        <v>2258</v>
      </c>
      <c r="B521" s="4" t="s">
        <v>2259</v>
      </c>
      <c r="C521" s="4" t="s">
        <v>2260</v>
      </c>
      <c r="D521" s="4"/>
      <c r="E521" s="4" t="s">
        <v>66</v>
      </c>
      <c r="F521" s="4" t="s">
        <v>2261</v>
      </c>
      <c r="G521" s="4" t="s">
        <v>124</v>
      </c>
      <c r="H521" s="4" t="s">
        <v>30</v>
      </c>
      <c r="I521" s="4" t="s">
        <v>125</v>
      </c>
      <c r="J521" s="4" t="s">
        <v>66</v>
      </c>
      <c r="K521" s="4" t="s">
        <v>2260</v>
      </c>
      <c r="L521" s="4" t="str">
        <f t="shared" si="8"/>
        <v>Match</v>
      </c>
    </row>
    <row r="522" spans="1:12" ht="15" customHeight="1" x14ac:dyDescent="0.3">
      <c r="A522" s="4" t="s">
        <v>2262</v>
      </c>
      <c r="B522" s="4" t="s">
        <v>2263</v>
      </c>
      <c r="C522" s="4" t="s">
        <v>2264</v>
      </c>
      <c r="D522" s="4" t="s">
        <v>2265</v>
      </c>
      <c r="E522" s="4" t="s">
        <v>27</v>
      </c>
      <c r="F522" s="4" t="s">
        <v>2266</v>
      </c>
      <c r="G522" s="4" t="s">
        <v>58</v>
      </c>
      <c r="H522" s="4" t="s">
        <v>41</v>
      </c>
      <c r="I522" s="4" t="s">
        <v>101</v>
      </c>
      <c r="J522" s="4" t="s">
        <v>32</v>
      </c>
      <c r="K522" s="4" t="s">
        <v>2264</v>
      </c>
      <c r="L522" s="4" t="str">
        <f t="shared" si="8"/>
        <v>Different owner</v>
      </c>
    </row>
    <row r="523" spans="1:12" ht="15" customHeight="1" x14ac:dyDescent="0.3">
      <c r="A523" s="4" t="s">
        <v>2267</v>
      </c>
      <c r="B523" s="4" t="s">
        <v>2263</v>
      </c>
      <c r="C523" s="4"/>
      <c r="D523" s="4" t="s">
        <v>2268</v>
      </c>
      <c r="E523" s="4" t="s">
        <v>27</v>
      </c>
      <c r="F523" s="4" t="s">
        <v>2266</v>
      </c>
      <c r="G523" s="4" t="s">
        <v>58</v>
      </c>
      <c r="H523" s="4" t="s">
        <v>41</v>
      </c>
      <c r="I523" s="4" t="s">
        <v>101</v>
      </c>
      <c r="J523" s="4" t="s">
        <v>32</v>
      </c>
      <c r="K523" s="4" t="s">
        <v>2264</v>
      </c>
      <c r="L523" s="4" t="str">
        <f t="shared" si="8"/>
        <v>Different owner &amp; contact</v>
      </c>
    </row>
    <row r="524" spans="1:12" ht="15" customHeight="1" x14ac:dyDescent="0.3">
      <c r="A524" s="4" t="s">
        <v>2269</v>
      </c>
      <c r="B524" s="4" t="s">
        <v>2270</v>
      </c>
      <c r="C524" s="4" t="s">
        <v>2271</v>
      </c>
      <c r="D524" s="4"/>
      <c r="E524" s="4" t="s">
        <v>47</v>
      </c>
      <c r="F524" s="4" t="s">
        <v>2272</v>
      </c>
      <c r="G524" s="4" t="s">
        <v>1326</v>
      </c>
      <c r="H524" s="4" t="s">
        <v>41</v>
      </c>
      <c r="I524" s="4" t="s">
        <v>101</v>
      </c>
      <c r="J524" s="4" t="s">
        <v>32</v>
      </c>
      <c r="K524" s="4" t="s">
        <v>2271</v>
      </c>
      <c r="L524" s="4" t="str">
        <f t="shared" si="8"/>
        <v>Different owner</v>
      </c>
    </row>
    <row r="525" spans="1:12" ht="15" customHeight="1" x14ac:dyDescent="0.3">
      <c r="A525" s="4" t="s">
        <v>2273</v>
      </c>
      <c r="B525" s="4" t="s">
        <v>2274</v>
      </c>
      <c r="C525" s="4" t="s">
        <v>2275</v>
      </c>
      <c r="D525" s="4" t="s">
        <v>2276</v>
      </c>
      <c r="E525" s="4" t="s">
        <v>91</v>
      </c>
      <c r="F525" s="4" t="s">
        <v>2277</v>
      </c>
      <c r="G525" s="4" t="s">
        <v>29</v>
      </c>
      <c r="H525" s="4" t="s">
        <v>68</v>
      </c>
      <c r="I525" s="4" t="s">
        <v>1089</v>
      </c>
      <c r="J525" s="4" t="s">
        <v>102</v>
      </c>
      <c r="K525" s="4" t="s">
        <v>2278</v>
      </c>
      <c r="L525" s="4" t="str">
        <f t="shared" si="8"/>
        <v>Different owner &amp; contact</v>
      </c>
    </row>
    <row r="526" spans="1:12" ht="15" customHeight="1" x14ac:dyDescent="0.3">
      <c r="A526" s="4" t="s">
        <v>2279</v>
      </c>
      <c r="B526" s="4" t="s">
        <v>2280</v>
      </c>
      <c r="C526" s="4" t="s">
        <v>2281</v>
      </c>
      <c r="D526" s="4"/>
      <c r="E526" s="4" t="s">
        <v>91</v>
      </c>
      <c r="F526" s="4" t="s">
        <v>2282</v>
      </c>
      <c r="G526" s="4" t="s">
        <v>84</v>
      </c>
      <c r="H526" s="4" t="s">
        <v>41</v>
      </c>
      <c r="I526" s="4" t="s">
        <v>101</v>
      </c>
      <c r="J526" s="4" t="s">
        <v>32</v>
      </c>
      <c r="K526" s="4" t="s">
        <v>2283</v>
      </c>
      <c r="L526" s="4" t="str">
        <f t="shared" si="8"/>
        <v>Different owner &amp; contact</v>
      </c>
    </row>
    <row r="527" spans="1:12" ht="15" customHeight="1" x14ac:dyDescent="0.3">
      <c r="A527" s="4" t="s">
        <v>2284</v>
      </c>
      <c r="B527" s="4" t="s">
        <v>2285</v>
      </c>
      <c r="C527" s="4" t="s">
        <v>2286</v>
      </c>
      <c r="D527" s="4"/>
      <c r="E527" s="4" t="s">
        <v>343</v>
      </c>
      <c r="F527" s="4" t="s">
        <v>2287</v>
      </c>
      <c r="G527" s="4" t="s">
        <v>361</v>
      </c>
      <c r="H527" s="4" t="s">
        <v>30</v>
      </c>
      <c r="I527" s="4" t="s">
        <v>125</v>
      </c>
      <c r="J527" s="4" t="s">
        <v>66</v>
      </c>
      <c r="K527" s="4" t="s">
        <v>2286</v>
      </c>
      <c r="L527" s="4" t="str">
        <f t="shared" si="8"/>
        <v>Different owner</v>
      </c>
    </row>
    <row r="528" spans="1:12" ht="15" customHeight="1" x14ac:dyDescent="0.3">
      <c r="A528" s="4" t="s">
        <v>2288</v>
      </c>
      <c r="B528" s="4" t="s">
        <v>2285</v>
      </c>
      <c r="C528" s="4" t="s">
        <v>2289</v>
      </c>
      <c r="D528" s="4" t="s">
        <v>2290</v>
      </c>
      <c r="E528" s="4" t="s">
        <v>66</v>
      </c>
      <c r="F528" s="4" t="s">
        <v>2287</v>
      </c>
      <c r="G528" s="4" t="s">
        <v>361</v>
      </c>
      <c r="H528" s="4" t="s">
        <v>30</v>
      </c>
      <c r="I528" s="4" t="s">
        <v>125</v>
      </c>
      <c r="J528" s="4" t="s">
        <v>66</v>
      </c>
      <c r="K528" s="4" t="s">
        <v>2286</v>
      </c>
      <c r="L528" s="4" t="str">
        <f t="shared" si="8"/>
        <v>Different contact</v>
      </c>
    </row>
    <row r="529" spans="1:12" ht="15" customHeight="1" x14ac:dyDescent="0.3">
      <c r="A529" s="4" t="s">
        <v>2291</v>
      </c>
      <c r="B529" s="4" t="s">
        <v>2292</v>
      </c>
      <c r="C529" s="4" t="s">
        <v>2293</v>
      </c>
      <c r="D529" s="4" t="s">
        <v>2294</v>
      </c>
      <c r="E529" s="4" t="s">
        <v>91</v>
      </c>
      <c r="F529" s="4" t="s">
        <v>2295</v>
      </c>
      <c r="G529" s="4" t="s">
        <v>49</v>
      </c>
      <c r="H529" s="4" t="s">
        <v>68</v>
      </c>
      <c r="I529" s="4" t="s">
        <v>2296</v>
      </c>
      <c r="J529" s="4" t="s">
        <v>102</v>
      </c>
      <c r="K529" s="4" t="s">
        <v>2297</v>
      </c>
      <c r="L529" s="4" t="str">
        <f t="shared" si="8"/>
        <v>Different owner &amp; contact</v>
      </c>
    </row>
    <row r="530" spans="1:12" ht="15" customHeight="1" x14ac:dyDescent="0.3">
      <c r="A530" s="4" t="s">
        <v>2298</v>
      </c>
      <c r="B530" s="4" t="s">
        <v>2299</v>
      </c>
      <c r="C530" s="4" t="s">
        <v>2300</v>
      </c>
      <c r="D530" s="4" t="s">
        <v>2301</v>
      </c>
      <c r="E530" s="4" t="s">
        <v>52</v>
      </c>
      <c r="F530" s="4" t="s">
        <v>2302</v>
      </c>
      <c r="G530" s="4" t="s">
        <v>29</v>
      </c>
      <c r="H530" s="4" t="s">
        <v>68</v>
      </c>
      <c r="I530" s="4" t="s">
        <v>538</v>
      </c>
      <c r="J530" s="4" t="s">
        <v>102</v>
      </c>
      <c r="K530" s="4"/>
      <c r="L530" s="4" t="str">
        <f t="shared" si="8"/>
        <v>Different owner &amp; contact</v>
      </c>
    </row>
    <row r="531" spans="1:12" ht="15" customHeight="1" x14ac:dyDescent="0.3">
      <c r="A531" s="4" t="s">
        <v>2303</v>
      </c>
      <c r="B531" s="4" t="s">
        <v>2304</v>
      </c>
      <c r="C531" s="4" t="s">
        <v>2305</v>
      </c>
      <c r="D531" s="4" t="s">
        <v>2306</v>
      </c>
      <c r="E531" s="4" t="s">
        <v>66</v>
      </c>
      <c r="F531" s="4" t="s">
        <v>2307</v>
      </c>
      <c r="G531" s="4" t="s">
        <v>58</v>
      </c>
      <c r="H531" s="4" t="s">
        <v>41</v>
      </c>
      <c r="I531" s="4" t="s">
        <v>1190</v>
      </c>
      <c r="J531" s="4" t="s">
        <v>32</v>
      </c>
      <c r="K531" s="4" t="s">
        <v>2305</v>
      </c>
      <c r="L531" s="4" t="str">
        <f t="shared" si="8"/>
        <v>Different owner</v>
      </c>
    </row>
    <row r="532" spans="1:12" ht="15" customHeight="1" x14ac:dyDescent="0.3">
      <c r="A532" s="4" t="s">
        <v>2308</v>
      </c>
      <c r="B532" s="4" t="s">
        <v>2309</v>
      </c>
      <c r="C532" s="4" t="s">
        <v>2310</v>
      </c>
      <c r="D532" s="4" t="s">
        <v>2311</v>
      </c>
      <c r="E532" s="4" t="s">
        <v>91</v>
      </c>
      <c r="F532" s="4" t="s">
        <v>2312</v>
      </c>
      <c r="G532" s="4" t="s">
        <v>84</v>
      </c>
      <c r="H532" s="4" t="s">
        <v>68</v>
      </c>
      <c r="I532" s="4" t="s">
        <v>228</v>
      </c>
      <c r="J532" s="4" t="s">
        <v>102</v>
      </c>
      <c r="K532" s="4" t="s">
        <v>2313</v>
      </c>
      <c r="L532" s="4" t="str">
        <f t="shared" si="8"/>
        <v>Different owner &amp; contact</v>
      </c>
    </row>
    <row r="533" spans="1:12" ht="15" customHeight="1" x14ac:dyDescent="0.3">
      <c r="A533" s="4" t="s">
        <v>2314</v>
      </c>
      <c r="B533" s="4" t="s">
        <v>2315</v>
      </c>
      <c r="C533" s="4" t="s">
        <v>2316</v>
      </c>
      <c r="D533" s="4" t="s">
        <v>2317</v>
      </c>
      <c r="E533" s="4" t="s">
        <v>106</v>
      </c>
      <c r="F533" s="4" t="s">
        <v>2318</v>
      </c>
      <c r="G533" s="4" t="s">
        <v>49</v>
      </c>
      <c r="H533" s="4" t="s">
        <v>68</v>
      </c>
      <c r="I533" s="4" t="s">
        <v>570</v>
      </c>
      <c r="J533" s="4" t="s">
        <v>106</v>
      </c>
      <c r="K533" s="4" t="s">
        <v>2319</v>
      </c>
      <c r="L533" s="4" t="str">
        <f t="shared" si="8"/>
        <v>Different contact</v>
      </c>
    </row>
    <row r="534" spans="1:12" ht="15" customHeight="1" x14ac:dyDescent="0.3">
      <c r="A534" s="4" t="s">
        <v>2320</v>
      </c>
      <c r="B534" s="4" t="s">
        <v>2321</v>
      </c>
      <c r="C534" s="4" t="s">
        <v>2322</v>
      </c>
      <c r="D534" s="4" t="s">
        <v>2323</v>
      </c>
      <c r="E534" s="4" t="s">
        <v>91</v>
      </c>
      <c r="F534" s="4" t="s">
        <v>2324</v>
      </c>
      <c r="G534" s="4" t="s">
        <v>577</v>
      </c>
      <c r="H534" s="4" t="s">
        <v>2325</v>
      </c>
      <c r="I534" s="4" t="s">
        <v>501</v>
      </c>
      <c r="J534" s="4" t="s">
        <v>32</v>
      </c>
      <c r="K534" s="4" t="s">
        <v>2322</v>
      </c>
      <c r="L534" s="4" t="str">
        <f t="shared" si="8"/>
        <v>Different owner</v>
      </c>
    </row>
    <row r="535" spans="1:12" ht="15" customHeight="1" x14ac:dyDescent="0.3">
      <c r="A535" s="4" t="s">
        <v>2326</v>
      </c>
      <c r="B535" s="4" t="s">
        <v>2327</v>
      </c>
      <c r="C535" s="4"/>
      <c r="D535" s="4"/>
      <c r="E535" s="4" t="s">
        <v>34</v>
      </c>
      <c r="F535" s="4" t="s">
        <v>2328</v>
      </c>
      <c r="G535" s="4" t="s">
        <v>361</v>
      </c>
      <c r="H535" s="4" t="s">
        <v>50</v>
      </c>
      <c r="I535" s="4" t="s">
        <v>196</v>
      </c>
      <c r="J535" s="4" t="s">
        <v>34</v>
      </c>
      <c r="K535" s="4" t="s">
        <v>2329</v>
      </c>
      <c r="L535" s="4" t="str">
        <f t="shared" si="8"/>
        <v>Different contact</v>
      </c>
    </row>
    <row r="536" spans="1:12" ht="15" customHeight="1" x14ac:dyDescent="0.3">
      <c r="A536" s="4" t="s">
        <v>2326</v>
      </c>
      <c r="B536" s="4" t="s">
        <v>2327</v>
      </c>
      <c r="C536" s="4"/>
      <c r="D536" s="4"/>
      <c r="E536" s="4" t="s">
        <v>34</v>
      </c>
      <c r="F536" s="4" t="s">
        <v>2328</v>
      </c>
      <c r="G536" s="4" t="s">
        <v>361</v>
      </c>
      <c r="H536" s="4" t="s">
        <v>50</v>
      </c>
      <c r="I536" s="4" t="s">
        <v>196</v>
      </c>
      <c r="J536" s="4" t="s">
        <v>34</v>
      </c>
      <c r="K536" s="4" t="s">
        <v>2329</v>
      </c>
      <c r="L536" s="4" t="str">
        <f t="shared" si="8"/>
        <v>Different contact</v>
      </c>
    </row>
    <row r="537" spans="1:12" ht="15" customHeight="1" x14ac:dyDescent="0.3">
      <c r="A537" s="4" t="s">
        <v>2330</v>
      </c>
      <c r="B537" s="4" t="s">
        <v>2327</v>
      </c>
      <c r="C537" s="4" t="s">
        <v>2331</v>
      </c>
      <c r="D537" s="4" t="s">
        <v>2332</v>
      </c>
      <c r="E537" s="4" t="s">
        <v>27</v>
      </c>
      <c r="F537" s="4" t="s">
        <v>2328</v>
      </c>
      <c r="G537" s="4" t="s">
        <v>361</v>
      </c>
      <c r="H537" s="4" t="s">
        <v>50</v>
      </c>
      <c r="I537" s="4" t="s">
        <v>196</v>
      </c>
      <c r="J537" s="4" t="s">
        <v>34</v>
      </c>
      <c r="K537" s="4" t="s">
        <v>2329</v>
      </c>
      <c r="L537" s="4" t="str">
        <f t="shared" si="8"/>
        <v>Different owner &amp; contact</v>
      </c>
    </row>
    <row r="538" spans="1:12" ht="15" customHeight="1" x14ac:dyDescent="0.3">
      <c r="A538" s="4" t="s">
        <v>2333</v>
      </c>
      <c r="B538" s="4" t="s">
        <v>2327</v>
      </c>
      <c r="C538" s="4"/>
      <c r="D538" s="4" t="s">
        <v>2334</v>
      </c>
      <c r="E538" s="4" t="s">
        <v>34</v>
      </c>
      <c r="F538" s="4" t="s">
        <v>2328</v>
      </c>
      <c r="G538" s="4" t="s">
        <v>361</v>
      </c>
      <c r="H538" s="4" t="s">
        <v>50</v>
      </c>
      <c r="I538" s="4" t="s">
        <v>196</v>
      </c>
      <c r="J538" s="4" t="s">
        <v>34</v>
      </c>
      <c r="K538" s="4" t="s">
        <v>2329</v>
      </c>
      <c r="L538" s="4" t="str">
        <f t="shared" si="8"/>
        <v>Different contact</v>
      </c>
    </row>
    <row r="539" spans="1:12" ht="15" customHeight="1" x14ac:dyDescent="0.3">
      <c r="A539" s="4" t="s">
        <v>2335</v>
      </c>
      <c r="B539" s="4" t="s">
        <v>2327</v>
      </c>
      <c r="C539" s="4"/>
      <c r="D539" s="4" t="s">
        <v>2336</v>
      </c>
      <c r="E539" s="4" t="s">
        <v>385</v>
      </c>
      <c r="F539" s="4" t="s">
        <v>2328</v>
      </c>
      <c r="G539" s="4" t="s">
        <v>361</v>
      </c>
      <c r="H539" s="4" t="s">
        <v>50</v>
      </c>
      <c r="I539" s="4" t="s">
        <v>196</v>
      </c>
      <c r="J539" s="4" t="s">
        <v>34</v>
      </c>
      <c r="K539" s="4" t="s">
        <v>2329</v>
      </c>
      <c r="L539" s="4" t="str">
        <f t="shared" si="8"/>
        <v>Different owner &amp; contact</v>
      </c>
    </row>
    <row r="540" spans="1:12" ht="15" customHeight="1" x14ac:dyDescent="0.3">
      <c r="A540" s="4" t="s">
        <v>2337</v>
      </c>
      <c r="B540" s="4" t="s">
        <v>2327</v>
      </c>
      <c r="C540" s="4"/>
      <c r="D540" s="4"/>
      <c r="E540" s="4" t="s">
        <v>34</v>
      </c>
      <c r="F540" s="4" t="s">
        <v>2328</v>
      </c>
      <c r="G540" s="4" t="s">
        <v>361</v>
      </c>
      <c r="H540" s="4" t="s">
        <v>50</v>
      </c>
      <c r="I540" s="4" t="s">
        <v>196</v>
      </c>
      <c r="J540" s="4" t="s">
        <v>34</v>
      </c>
      <c r="K540" s="4" t="s">
        <v>2329</v>
      </c>
      <c r="L540" s="4" t="str">
        <f t="shared" si="8"/>
        <v>Different contact</v>
      </c>
    </row>
    <row r="541" spans="1:12" ht="15" customHeight="1" x14ac:dyDescent="0.3">
      <c r="A541" s="4" t="s">
        <v>2338</v>
      </c>
      <c r="B541" s="4" t="s">
        <v>2327</v>
      </c>
      <c r="C541" s="4"/>
      <c r="D541" s="4"/>
      <c r="E541" s="4" t="s">
        <v>34</v>
      </c>
      <c r="F541" s="4" t="s">
        <v>2328</v>
      </c>
      <c r="G541" s="4" t="s">
        <v>361</v>
      </c>
      <c r="H541" s="4" t="s">
        <v>50</v>
      </c>
      <c r="I541" s="4" t="s">
        <v>196</v>
      </c>
      <c r="J541" s="4" t="s">
        <v>34</v>
      </c>
      <c r="K541" s="4" t="s">
        <v>2329</v>
      </c>
      <c r="L541" s="4" t="str">
        <f t="shared" si="8"/>
        <v>Different contact</v>
      </c>
    </row>
    <row r="542" spans="1:12" ht="15" customHeight="1" x14ac:dyDescent="0.3">
      <c r="A542" s="4" t="s">
        <v>2339</v>
      </c>
      <c r="B542" s="4" t="s">
        <v>2340</v>
      </c>
      <c r="C542" s="4" t="s">
        <v>2341</v>
      </c>
      <c r="D542" s="4"/>
      <c r="E542" s="4" t="s">
        <v>27</v>
      </c>
      <c r="F542" s="4" t="s">
        <v>2342</v>
      </c>
      <c r="G542" s="4" t="s">
        <v>49</v>
      </c>
      <c r="H542" s="4" t="s">
        <v>50</v>
      </c>
      <c r="I542" s="4" t="s">
        <v>1447</v>
      </c>
      <c r="J542" s="4" t="s">
        <v>394</v>
      </c>
      <c r="K542" s="4" t="s">
        <v>2341</v>
      </c>
      <c r="L542" s="4" t="str">
        <f t="shared" si="8"/>
        <v>Different owner</v>
      </c>
    </row>
    <row r="543" spans="1:12" ht="15" customHeight="1" x14ac:dyDescent="0.3">
      <c r="A543" s="4" t="s">
        <v>2343</v>
      </c>
      <c r="B543" s="4" t="s">
        <v>2344</v>
      </c>
      <c r="C543" s="4" t="s">
        <v>2345</v>
      </c>
      <c r="D543" s="4" t="s">
        <v>2346</v>
      </c>
      <c r="E543" s="4" t="s">
        <v>27</v>
      </c>
      <c r="F543" s="4" t="s">
        <v>2347</v>
      </c>
      <c r="G543" s="4" t="s">
        <v>29</v>
      </c>
      <c r="H543" s="4" t="s">
        <v>41</v>
      </c>
      <c r="I543" s="4" t="s">
        <v>125</v>
      </c>
      <c r="J543" s="4" t="s">
        <v>102</v>
      </c>
      <c r="K543" s="4" t="s">
        <v>2345</v>
      </c>
      <c r="L543" s="4" t="str">
        <f t="shared" si="8"/>
        <v>Different owner</v>
      </c>
    </row>
    <row r="544" spans="1:12" ht="15" customHeight="1" x14ac:dyDescent="0.3">
      <c r="A544" s="4" t="s">
        <v>1512</v>
      </c>
      <c r="B544" s="4" t="s">
        <v>2348</v>
      </c>
      <c r="C544" s="4"/>
      <c r="D544" s="4"/>
      <c r="E544" s="4" t="s">
        <v>34</v>
      </c>
      <c r="F544" s="4" t="s">
        <v>2349</v>
      </c>
      <c r="G544" s="4" t="s">
        <v>58</v>
      </c>
      <c r="H544" s="4" t="s">
        <v>30</v>
      </c>
      <c r="I544" s="4" t="s">
        <v>125</v>
      </c>
      <c r="J544" s="4" t="s">
        <v>34</v>
      </c>
      <c r="K544" s="4" t="s">
        <v>2350</v>
      </c>
      <c r="L544" s="4" t="str">
        <f t="shared" si="8"/>
        <v>Different contact</v>
      </c>
    </row>
    <row r="545" spans="1:12" ht="15" customHeight="1" x14ac:dyDescent="0.3">
      <c r="A545" s="4" t="s">
        <v>2351</v>
      </c>
      <c r="B545" s="4" t="s">
        <v>2348</v>
      </c>
      <c r="C545" s="4" t="s">
        <v>2350</v>
      </c>
      <c r="D545" s="4"/>
      <c r="E545" s="4" t="s">
        <v>343</v>
      </c>
      <c r="F545" s="4" t="s">
        <v>2349</v>
      </c>
      <c r="G545" s="4" t="s">
        <v>58</v>
      </c>
      <c r="H545" s="4" t="s">
        <v>30</v>
      </c>
      <c r="I545" s="4" t="s">
        <v>125</v>
      </c>
      <c r="J545" s="4" t="s">
        <v>34</v>
      </c>
      <c r="K545" s="4" t="s">
        <v>2350</v>
      </c>
      <c r="L545" s="4" t="str">
        <f t="shared" si="8"/>
        <v>Different owner</v>
      </c>
    </row>
    <row r="546" spans="1:12" ht="15" customHeight="1" x14ac:dyDescent="0.3">
      <c r="A546" s="4" t="s">
        <v>2352</v>
      </c>
      <c r="B546" s="4" t="s">
        <v>2348</v>
      </c>
      <c r="C546" s="4" t="s">
        <v>2353</v>
      </c>
      <c r="D546" s="4" t="s">
        <v>2354</v>
      </c>
      <c r="E546" s="4" t="s">
        <v>52</v>
      </c>
      <c r="F546" s="4" t="s">
        <v>2349</v>
      </c>
      <c r="G546" s="4" t="s">
        <v>58</v>
      </c>
      <c r="H546" s="4" t="s">
        <v>30</v>
      </c>
      <c r="I546" s="4" t="s">
        <v>125</v>
      </c>
      <c r="J546" s="4" t="s">
        <v>34</v>
      </c>
      <c r="K546" s="4" t="s">
        <v>2350</v>
      </c>
      <c r="L546" s="4" t="str">
        <f t="shared" si="8"/>
        <v>Different owner &amp; contact</v>
      </c>
    </row>
    <row r="547" spans="1:12" ht="15" customHeight="1" x14ac:dyDescent="0.3">
      <c r="A547" s="4" t="s">
        <v>2355</v>
      </c>
      <c r="B547" s="4" t="s">
        <v>2356</v>
      </c>
      <c r="C547" s="4" t="s">
        <v>2357</v>
      </c>
      <c r="D547" s="4" t="s">
        <v>2358</v>
      </c>
      <c r="E547" s="4" t="s">
        <v>114</v>
      </c>
      <c r="F547" s="4" t="s">
        <v>2359</v>
      </c>
      <c r="G547" s="4" t="s">
        <v>58</v>
      </c>
      <c r="H547" s="4" t="s">
        <v>1270</v>
      </c>
      <c r="I547" s="4" t="s">
        <v>1297</v>
      </c>
      <c r="J547" s="4" t="s">
        <v>114</v>
      </c>
      <c r="K547" s="4" t="s">
        <v>2360</v>
      </c>
      <c r="L547" s="4" t="str">
        <f t="shared" si="8"/>
        <v>Different contact</v>
      </c>
    </row>
    <row r="548" spans="1:12" ht="15" customHeight="1" x14ac:dyDescent="0.3">
      <c r="A548" s="4" t="s">
        <v>2361</v>
      </c>
      <c r="B548" s="4" t="s">
        <v>2362</v>
      </c>
      <c r="C548" s="4" t="s">
        <v>2363</v>
      </c>
      <c r="D548" s="4" t="s">
        <v>2364</v>
      </c>
      <c r="E548" s="4" t="s">
        <v>106</v>
      </c>
      <c r="F548" s="4" t="s">
        <v>2365</v>
      </c>
      <c r="G548" s="4" t="s">
        <v>124</v>
      </c>
      <c r="H548" s="4" t="s">
        <v>41</v>
      </c>
      <c r="I548" s="4" t="s">
        <v>85</v>
      </c>
      <c r="J548" s="4" t="s">
        <v>106</v>
      </c>
      <c r="K548" s="4" t="s">
        <v>2366</v>
      </c>
      <c r="L548" s="4" t="str">
        <f t="shared" si="8"/>
        <v>Different contact</v>
      </c>
    </row>
    <row r="549" spans="1:12" ht="15" customHeight="1" x14ac:dyDescent="0.3">
      <c r="A549" s="4" t="s">
        <v>2367</v>
      </c>
      <c r="B549" s="4" t="s">
        <v>2362</v>
      </c>
      <c r="C549" s="4"/>
      <c r="D549" s="4" t="s">
        <v>2364</v>
      </c>
      <c r="E549" s="4" t="s">
        <v>385</v>
      </c>
      <c r="F549" s="4" t="s">
        <v>2365</v>
      </c>
      <c r="G549" s="4" t="s">
        <v>124</v>
      </c>
      <c r="H549" s="4" t="s">
        <v>41</v>
      </c>
      <c r="I549" s="4" t="s">
        <v>85</v>
      </c>
      <c r="J549" s="4" t="s">
        <v>106</v>
      </c>
      <c r="K549" s="4" t="s">
        <v>2366</v>
      </c>
      <c r="L549" s="4" t="str">
        <f t="shared" si="8"/>
        <v>Different owner &amp; contact</v>
      </c>
    </row>
    <row r="550" spans="1:12" ht="15" customHeight="1" x14ac:dyDescent="0.3">
      <c r="A550" s="4" t="s">
        <v>2368</v>
      </c>
      <c r="B550" s="4" t="s">
        <v>2369</v>
      </c>
      <c r="C550" s="4" t="s">
        <v>2370</v>
      </c>
      <c r="D550" s="4" t="s">
        <v>2371</v>
      </c>
      <c r="E550" s="4" t="s">
        <v>91</v>
      </c>
      <c r="F550" s="4" t="s">
        <v>2372</v>
      </c>
      <c r="G550" s="4" t="s">
        <v>58</v>
      </c>
      <c r="H550" s="4" t="s">
        <v>50</v>
      </c>
      <c r="I550" s="4" t="s">
        <v>1447</v>
      </c>
      <c r="J550" s="4" t="s">
        <v>94</v>
      </c>
      <c r="K550" s="4" t="s">
        <v>2373</v>
      </c>
      <c r="L550" s="4" t="str">
        <f t="shared" si="8"/>
        <v>Different owner &amp; contact</v>
      </c>
    </row>
    <row r="551" spans="1:12" ht="15" customHeight="1" x14ac:dyDescent="0.3">
      <c r="A551" s="4" t="s">
        <v>2374</v>
      </c>
      <c r="B551" s="4" t="s">
        <v>2369</v>
      </c>
      <c r="C551" s="4" t="s">
        <v>2373</v>
      </c>
      <c r="D551" s="4" t="s">
        <v>2371</v>
      </c>
      <c r="E551" s="4" t="s">
        <v>91</v>
      </c>
      <c r="F551" s="4" t="s">
        <v>2372</v>
      </c>
      <c r="G551" s="4" t="s">
        <v>58</v>
      </c>
      <c r="H551" s="4" t="s">
        <v>50</v>
      </c>
      <c r="I551" s="4" t="s">
        <v>1447</v>
      </c>
      <c r="J551" s="4" t="s">
        <v>94</v>
      </c>
      <c r="K551" s="4" t="s">
        <v>2373</v>
      </c>
      <c r="L551" s="4" t="str">
        <f t="shared" si="8"/>
        <v>Different owner</v>
      </c>
    </row>
    <row r="552" spans="1:12" ht="15" customHeight="1" x14ac:dyDescent="0.3">
      <c r="A552" s="4" t="s">
        <v>2375</v>
      </c>
      <c r="B552" s="4" t="s">
        <v>2376</v>
      </c>
      <c r="C552" s="4" t="s">
        <v>2377</v>
      </c>
      <c r="D552" s="4" t="s">
        <v>2378</v>
      </c>
      <c r="E552" s="4" t="s">
        <v>172</v>
      </c>
      <c r="F552" s="4" t="s">
        <v>2379</v>
      </c>
      <c r="G552" s="4" t="s">
        <v>337</v>
      </c>
      <c r="H552" s="4" t="s">
        <v>2380</v>
      </c>
      <c r="I552" s="4" t="s">
        <v>2380</v>
      </c>
      <c r="J552" s="4" t="s">
        <v>176</v>
      </c>
      <c r="K552" s="4"/>
      <c r="L552" s="4" t="str">
        <f t="shared" si="8"/>
        <v>Different owner &amp; contact</v>
      </c>
    </row>
    <row r="553" spans="1:12" ht="15" customHeight="1" x14ac:dyDescent="0.3">
      <c r="A553" s="4" t="s">
        <v>2381</v>
      </c>
      <c r="B553" s="4" t="s">
        <v>2382</v>
      </c>
      <c r="C553" s="4" t="s">
        <v>2383</v>
      </c>
      <c r="D553" s="4"/>
      <c r="E553" s="4" t="s">
        <v>56</v>
      </c>
      <c r="F553" s="4" t="s">
        <v>2384</v>
      </c>
      <c r="G553" s="4" t="s">
        <v>29</v>
      </c>
      <c r="H553" s="4" t="s">
        <v>1270</v>
      </c>
      <c r="I553" s="4" t="s">
        <v>1271</v>
      </c>
      <c r="J553" s="4" t="s">
        <v>32</v>
      </c>
      <c r="K553" s="4" t="s">
        <v>2383</v>
      </c>
      <c r="L553" s="4" t="str">
        <f t="shared" si="8"/>
        <v>Different owner</v>
      </c>
    </row>
    <row r="554" spans="1:12" ht="15" customHeight="1" x14ac:dyDescent="0.3">
      <c r="A554" s="4" t="s">
        <v>2385</v>
      </c>
      <c r="B554" s="4" t="s">
        <v>2382</v>
      </c>
      <c r="C554" s="4" t="s">
        <v>2386</v>
      </c>
      <c r="D554" s="4" t="s">
        <v>2387</v>
      </c>
      <c r="E554" s="4" t="s">
        <v>56</v>
      </c>
      <c r="F554" s="4" t="s">
        <v>2384</v>
      </c>
      <c r="G554" s="4" t="s">
        <v>29</v>
      </c>
      <c r="H554" s="4" t="s">
        <v>1270</v>
      </c>
      <c r="I554" s="4" t="s">
        <v>1271</v>
      </c>
      <c r="J554" s="4" t="s">
        <v>32</v>
      </c>
      <c r="K554" s="4" t="s">
        <v>2383</v>
      </c>
      <c r="L554" s="4" t="str">
        <f t="shared" si="8"/>
        <v>Different owner &amp; contact</v>
      </c>
    </row>
    <row r="555" spans="1:12" ht="15" customHeight="1" x14ac:dyDescent="0.3">
      <c r="A555" s="4" t="s">
        <v>2388</v>
      </c>
      <c r="B555" s="4" t="s">
        <v>2389</v>
      </c>
      <c r="C555" s="4" t="s">
        <v>2390</v>
      </c>
      <c r="D555" s="4"/>
      <c r="E555" s="4" t="s">
        <v>91</v>
      </c>
      <c r="F555" s="4" t="s">
        <v>2391</v>
      </c>
      <c r="G555" s="4" t="s">
        <v>29</v>
      </c>
      <c r="H555" s="4" t="s">
        <v>30</v>
      </c>
      <c r="I555" s="4" t="s">
        <v>125</v>
      </c>
      <c r="J555" s="4" t="s">
        <v>94</v>
      </c>
      <c r="K555" s="4" t="s">
        <v>2392</v>
      </c>
      <c r="L555" s="4" t="str">
        <f t="shared" si="8"/>
        <v>Different owner &amp; contact</v>
      </c>
    </row>
    <row r="556" spans="1:12" ht="15" customHeight="1" x14ac:dyDescent="0.3">
      <c r="A556" s="4" t="s">
        <v>2393</v>
      </c>
      <c r="B556" s="4" t="s">
        <v>2389</v>
      </c>
      <c r="C556" s="4" t="s">
        <v>2394</v>
      </c>
      <c r="D556" s="4" t="s">
        <v>2395</v>
      </c>
      <c r="E556" s="4" t="s">
        <v>91</v>
      </c>
      <c r="F556" s="4" t="s">
        <v>2391</v>
      </c>
      <c r="G556" s="4" t="s">
        <v>29</v>
      </c>
      <c r="H556" s="4" t="s">
        <v>30</v>
      </c>
      <c r="I556" s="4" t="s">
        <v>125</v>
      </c>
      <c r="J556" s="4" t="s">
        <v>94</v>
      </c>
      <c r="K556" s="4" t="s">
        <v>2392</v>
      </c>
      <c r="L556" s="4" t="str">
        <f t="shared" si="8"/>
        <v>Different owner &amp; contact</v>
      </c>
    </row>
    <row r="557" spans="1:12" ht="15" customHeight="1" x14ac:dyDescent="0.3">
      <c r="A557" s="4" t="s">
        <v>2396</v>
      </c>
      <c r="B557" s="4" t="s">
        <v>2397</v>
      </c>
      <c r="C557" s="4" t="s">
        <v>2398</v>
      </c>
      <c r="D557" s="4"/>
      <c r="E557" s="4" t="s">
        <v>91</v>
      </c>
      <c r="F557" s="4" t="s">
        <v>2399</v>
      </c>
      <c r="G557" s="4" t="s">
        <v>293</v>
      </c>
      <c r="H557" s="4" t="s">
        <v>41</v>
      </c>
      <c r="I557" s="4" t="s">
        <v>164</v>
      </c>
      <c r="J557" s="4" t="s">
        <v>94</v>
      </c>
      <c r="K557" s="4" t="s">
        <v>2400</v>
      </c>
      <c r="L557" s="4" t="str">
        <f t="shared" si="8"/>
        <v>Different owner &amp; contact</v>
      </c>
    </row>
    <row r="558" spans="1:12" ht="15" customHeight="1" x14ac:dyDescent="0.3">
      <c r="A558" s="4" t="s">
        <v>2401</v>
      </c>
      <c r="B558" s="4" t="s">
        <v>2397</v>
      </c>
      <c r="C558" s="4"/>
      <c r="D558" s="4" t="s">
        <v>2402</v>
      </c>
      <c r="E558" s="4" t="s">
        <v>385</v>
      </c>
      <c r="F558" s="4" t="s">
        <v>2399</v>
      </c>
      <c r="G558" s="4" t="s">
        <v>293</v>
      </c>
      <c r="H558" s="4" t="s">
        <v>41</v>
      </c>
      <c r="I558" s="4" t="s">
        <v>164</v>
      </c>
      <c r="J558" s="4" t="s">
        <v>94</v>
      </c>
      <c r="K558" s="4" t="s">
        <v>2400</v>
      </c>
      <c r="L558" s="4" t="str">
        <f t="shared" si="8"/>
        <v>Different owner &amp; contact</v>
      </c>
    </row>
    <row r="559" spans="1:12" ht="15" customHeight="1" x14ac:dyDescent="0.3">
      <c r="A559" s="4" t="s">
        <v>2403</v>
      </c>
      <c r="B559" s="4" t="s">
        <v>2404</v>
      </c>
      <c r="C559" s="4" t="s">
        <v>2405</v>
      </c>
      <c r="D559" s="4" t="s">
        <v>2406</v>
      </c>
      <c r="E559" s="4" t="s">
        <v>27</v>
      </c>
      <c r="F559" s="4" t="s">
        <v>2407</v>
      </c>
      <c r="G559" s="4" t="s">
        <v>40</v>
      </c>
      <c r="H559" s="4" t="s">
        <v>41</v>
      </c>
      <c r="I559" s="4" t="s">
        <v>101</v>
      </c>
      <c r="J559" s="4" t="s">
        <v>34</v>
      </c>
      <c r="K559" s="4" t="s">
        <v>2408</v>
      </c>
      <c r="L559" s="4" t="str">
        <f t="shared" si="8"/>
        <v>Different owner &amp; contact</v>
      </c>
    </row>
    <row r="560" spans="1:12" ht="15" customHeight="1" x14ac:dyDescent="0.3">
      <c r="A560" s="4" t="s">
        <v>2409</v>
      </c>
      <c r="B560" s="4" t="s">
        <v>2404</v>
      </c>
      <c r="C560" s="4" t="s">
        <v>2410</v>
      </c>
      <c r="D560" s="4" t="s">
        <v>2406</v>
      </c>
      <c r="E560" s="4" t="s">
        <v>27</v>
      </c>
      <c r="F560" s="4" t="s">
        <v>2407</v>
      </c>
      <c r="G560" s="4" t="s">
        <v>40</v>
      </c>
      <c r="H560" s="4" t="s">
        <v>41</v>
      </c>
      <c r="I560" s="4" t="s">
        <v>101</v>
      </c>
      <c r="J560" s="4" t="s">
        <v>34</v>
      </c>
      <c r="K560" s="4" t="s">
        <v>2408</v>
      </c>
      <c r="L560" s="4" t="str">
        <f t="shared" si="8"/>
        <v>Different owner &amp; contact</v>
      </c>
    </row>
    <row r="561" spans="1:12" ht="15" customHeight="1" x14ac:dyDescent="0.3">
      <c r="A561" s="4" t="s">
        <v>2411</v>
      </c>
      <c r="B561" s="4" t="s">
        <v>2412</v>
      </c>
      <c r="C561" s="4" t="s">
        <v>2413</v>
      </c>
      <c r="D561" s="4" t="s">
        <v>2414</v>
      </c>
      <c r="E561" s="4" t="s">
        <v>172</v>
      </c>
      <c r="F561" s="4" t="s">
        <v>2415</v>
      </c>
      <c r="G561" s="4" t="s">
        <v>577</v>
      </c>
      <c r="H561" s="4" t="s">
        <v>174</v>
      </c>
      <c r="I561" s="4" t="s">
        <v>175</v>
      </c>
      <c r="J561" s="4" t="s">
        <v>176</v>
      </c>
      <c r="K561" s="4" t="s">
        <v>2413</v>
      </c>
      <c r="L561" s="4" t="str">
        <f t="shared" si="8"/>
        <v>Different owner</v>
      </c>
    </row>
    <row r="562" spans="1:12" ht="15" customHeight="1" x14ac:dyDescent="0.3">
      <c r="A562" s="4" t="s">
        <v>2150</v>
      </c>
      <c r="B562" s="4" t="s">
        <v>2416</v>
      </c>
      <c r="C562" s="4" t="s">
        <v>2417</v>
      </c>
      <c r="D562" s="4"/>
      <c r="E562" s="4" t="s">
        <v>106</v>
      </c>
      <c r="F562" s="4" t="s">
        <v>2418</v>
      </c>
      <c r="G562" s="4" t="s">
        <v>40</v>
      </c>
      <c r="H562" s="4" t="s">
        <v>68</v>
      </c>
      <c r="I562" s="4" t="s">
        <v>93</v>
      </c>
      <c r="J562" s="4" t="s">
        <v>106</v>
      </c>
      <c r="K562" s="4" t="s">
        <v>2419</v>
      </c>
      <c r="L562" s="4" t="str">
        <f t="shared" si="8"/>
        <v>Different contact</v>
      </c>
    </row>
    <row r="563" spans="1:12" ht="15" customHeight="1" x14ac:dyDescent="0.3">
      <c r="A563" s="4" t="s">
        <v>2420</v>
      </c>
      <c r="B563" s="4" t="s">
        <v>2416</v>
      </c>
      <c r="C563" s="4"/>
      <c r="D563" s="4"/>
      <c r="E563" s="4" t="s">
        <v>385</v>
      </c>
      <c r="F563" s="4" t="s">
        <v>2418</v>
      </c>
      <c r="G563" s="4" t="s">
        <v>40</v>
      </c>
      <c r="H563" s="4" t="s">
        <v>68</v>
      </c>
      <c r="I563" s="4" t="s">
        <v>93</v>
      </c>
      <c r="J563" s="4" t="s">
        <v>106</v>
      </c>
      <c r="K563" s="4" t="s">
        <v>2419</v>
      </c>
      <c r="L563" s="4" t="str">
        <f t="shared" si="8"/>
        <v>Different owner &amp; contact</v>
      </c>
    </row>
    <row r="564" spans="1:12" ht="15" customHeight="1" x14ac:dyDescent="0.3">
      <c r="A564" s="4" t="s">
        <v>2421</v>
      </c>
      <c r="B564" s="4" t="s">
        <v>2422</v>
      </c>
      <c r="C564" s="4" t="s">
        <v>2423</v>
      </c>
      <c r="D564" s="4" t="s">
        <v>2424</v>
      </c>
      <c r="E564" s="4" t="s">
        <v>172</v>
      </c>
      <c r="F564" s="4" t="s">
        <v>2425</v>
      </c>
      <c r="G564" s="4" t="s">
        <v>361</v>
      </c>
      <c r="H564" s="4" t="s">
        <v>174</v>
      </c>
      <c r="I564" s="4" t="s">
        <v>175</v>
      </c>
      <c r="J564" s="4" t="s">
        <v>176</v>
      </c>
      <c r="K564" s="4" t="s">
        <v>2426</v>
      </c>
      <c r="L564" s="4" t="str">
        <f t="shared" si="8"/>
        <v>Different owner &amp; contact</v>
      </c>
    </row>
    <row r="565" spans="1:12" ht="15" customHeight="1" x14ac:dyDescent="0.3">
      <c r="A565" s="4" t="s">
        <v>2427</v>
      </c>
      <c r="B565" s="4" t="s">
        <v>2428</v>
      </c>
      <c r="C565" s="4" t="s">
        <v>2429</v>
      </c>
      <c r="D565" s="4" t="s">
        <v>2430</v>
      </c>
      <c r="E565" s="4" t="s">
        <v>91</v>
      </c>
      <c r="F565" s="4" t="s">
        <v>2431</v>
      </c>
      <c r="G565" s="4" t="s">
        <v>40</v>
      </c>
      <c r="H565" s="4" t="s">
        <v>68</v>
      </c>
      <c r="I565" s="4" t="s">
        <v>85</v>
      </c>
      <c r="J565" s="4" t="s">
        <v>94</v>
      </c>
      <c r="K565" s="4" t="s">
        <v>2432</v>
      </c>
      <c r="L565" s="4" t="str">
        <f t="shared" si="8"/>
        <v>Different owner &amp; contact</v>
      </c>
    </row>
    <row r="566" spans="1:12" ht="15" customHeight="1" x14ac:dyDescent="0.3">
      <c r="A566" s="4" t="s">
        <v>2433</v>
      </c>
      <c r="B566" s="4" t="s">
        <v>2434</v>
      </c>
      <c r="C566" s="4" t="s">
        <v>2435</v>
      </c>
      <c r="D566" s="4" t="s">
        <v>2436</v>
      </c>
      <c r="E566" s="4" t="s">
        <v>91</v>
      </c>
      <c r="F566" s="4" t="s">
        <v>2437</v>
      </c>
      <c r="G566" s="4" t="s">
        <v>130</v>
      </c>
      <c r="H566" s="4" t="s">
        <v>41</v>
      </c>
      <c r="I566" s="4" t="s">
        <v>42</v>
      </c>
      <c r="J566" s="4" t="s">
        <v>102</v>
      </c>
      <c r="K566" s="4" t="s">
        <v>2435</v>
      </c>
      <c r="L566" s="4" t="str">
        <f t="shared" si="8"/>
        <v>Different owner</v>
      </c>
    </row>
    <row r="567" spans="1:12" ht="15" customHeight="1" x14ac:dyDescent="0.3">
      <c r="A567" s="4" t="s">
        <v>2438</v>
      </c>
      <c r="B567" s="4" t="s">
        <v>2439</v>
      </c>
      <c r="C567" s="4" t="s">
        <v>2440</v>
      </c>
      <c r="D567" s="4" t="s">
        <v>2441</v>
      </c>
      <c r="E567" s="4" t="s">
        <v>91</v>
      </c>
      <c r="F567" s="4" t="s">
        <v>2442</v>
      </c>
      <c r="G567" s="4" t="s">
        <v>40</v>
      </c>
      <c r="H567" s="4" t="s">
        <v>41</v>
      </c>
      <c r="I567" s="4" t="s">
        <v>42</v>
      </c>
      <c r="J567" s="4" t="s">
        <v>94</v>
      </c>
      <c r="K567" s="4" t="s">
        <v>2443</v>
      </c>
      <c r="L567" s="4" t="str">
        <f t="shared" si="8"/>
        <v>Different owner &amp; contact</v>
      </c>
    </row>
    <row r="568" spans="1:12" ht="15" customHeight="1" x14ac:dyDescent="0.3">
      <c r="A568" s="4" t="s">
        <v>2444</v>
      </c>
      <c r="B568" s="4" t="s">
        <v>2445</v>
      </c>
      <c r="C568" s="4" t="s">
        <v>2446</v>
      </c>
      <c r="D568" s="4" t="s">
        <v>2447</v>
      </c>
      <c r="E568" s="4" t="s">
        <v>47</v>
      </c>
      <c r="F568" s="4" t="s">
        <v>2448</v>
      </c>
      <c r="G568" s="4" t="s">
        <v>577</v>
      </c>
      <c r="H568" s="4" t="s">
        <v>1270</v>
      </c>
      <c r="I568" s="4" t="s">
        <v>703</v>
      </c>
      <c r="J568" s="4" t="s">
        <v>34</v>
      </c>
      <c r="K568" s="4" t="s">
        <v>2446</v>
      </c>
      <c r="L568" s="4" t="str">
        <f t="shared" si="8"/>
        <v>Different owner</v>
      </c>
    </row>
    <row r="569" spans="1:12" ht="15" customHeight="1" x14ac:dyDescent="0.3">
      <c r="A569" s="4" t="s">
        <v>2449</v>
      </c>
      <c r="B569" s="4" t="s">
        <v>2450</v>
      </c>
      <c r="C569" s="4" t="s">
        <v>2451</v>
      </c>
      <c r="D569" s="4"/>
      <c r="E569" s="4" t="s">
        <v>52</v>
      </c>
      <c r="F569" s="4" t="s">
        <v>2452</v>
      </c>
      <c r="G569" s="4" t="s">
        <v>58</v>
      </c>
      <c r="H569" s="4" t="s">
        <v>116</v>
      </c>
      <c r="I569" s="4" t="s">
        <v>672</v>
      </c>
      <c r="J569" s="4" t="s">
        <v>52</v>
      </c>
      <c r="K569" s="4" t="s">
        <v>2451</v>
      </c>
      <c r="L569" s="4" t="str">
        <f t="shared" si="8"/>
        <v>Match</v>
      </c>
    </row>
    <row r="570" spans="1:12" ht="15" customHeight="1" x14ac:dyDescent="0.3">
      <c r="A570" s="4" t="s">
        <v>2453</v>
      </c>
      <c r="B570" s="4" t="s">
        <v>2454</v>
      </c>
      <c r="C570" s="4" t="s">
        <v>2455</v>
      </c>
      <c r="D570" s="4" t="s">
        <v>2456</v>
      </c>
      <c r="E570" s="4" t="s">
        <v>91</v>
      </c>
      <c r="F570" s="4" t="s">
        <v>2457</v>
      </c>
      <c r="G570" s="4" t="s">
        <v>361</v>
      </c>
      <c r="H570" s="4" t="s">
        <v>68</v>
      </c>
      <c r="I570" s="4" t="s">
        <v>1489</v>
      </c>
      <c r="J570" s="4" t="s">
        <v>32</v>
      </c>
      <c r="K570" s="4" t="s">
        <v>2455</v>
      </c>
      <c r="L570" s="4" t="str">
        <f t="shared" si="8"/>
        <v>Different owner</v>
      </c>
    </row>
    <row r="571" spans="1:12" ht="15" customHeight="1" x14ac:dyDescent="0.3">
      <c r="A571" s="4" t="s">
        <v>2458</v>
      </c>
      <c r="B571" s="4" t="s">
        <v>2459</v>
      </c>
      <c r="C571" s="4" t="s">
        <v>2460</v>
      </c>
      <c r="D571" s="4" t="s">
        <v>2461</v>
      </c>
      <c r="E571" s="4" t="s">
        <v>172</v>
      </c>
      <c r="F571" s="4" t="s">
        <v>2462</v>
      </c>
      <c r="G571" s="4" t="s">
        <v>361</v>
      </c>
      <c r="H571" s="4" t="s">
        <v>174</v>
      </c>
      <c r="I571" s="4" t="s">
        <v>175</v>
      </c>
      <c r="J571" s="4" t="s">
        <v>176</v>
      </c>
      <c r="K571" s="4" t="s">
        <v>2463</v>
      </c>
      <c r="L571" s="4" t="str">
        <f t="shared" si="8"/>
        <v>Different owner &amp; contact</v>
      </c>
    </row>
    <row r="572" spans="1:12" ht="15" customHeight="1" x14ac:dyDescent="0.3">
      <c r="A572" s="4" t="s">
        <v>2464</v>
      </c>
      <c r="B572" s="4" t="s">
        <v>2465</v>
      </c>
      <c r="C572" s="4" t="s">
        <v>2466</v>
      </c>
      <c r="D572" s="4"/>
      <c r="E572" s="4" t="s">
        <v>56</v>
      </c>
      <c r="F572" s="4" t="s">
        <v>2467</v>
      </c>
      <c r="G572" s="4" t="s">
        <v>521</v>
      </c>
      <c r="H572" s="4" t="s">
        <v>41</v>
      </c>
      <c r="I572" s="4" t="s">
        <v>404</v>
      </c>
      <c r="J572" s="4" t="s">
        <v>32</v>
      </c>
      <c r="K572" s="4"/>
      <c r="L572" s="4" t="str">
        <f t="shared" si="8"/>
        <v>Different owner &amp; contact</v>
      </c>
    </row>
    <row r="573" spans="1:12" ht="15" customHeight="1" x14ac:dyDescent="0.3">
      <c r="A573" s="4" t="s">
        <v>2468</v>
      </c>
      <c r="B573" s="4" t="s">
        <v>2469</v>
      </c>
      <c r="C573" s="4"/>
      <c r="D573" s="4" t="s">
        <v>2470</v>
      </c>
      <c r="E573" s="4" t="s">
        <v>91</v>
      </c>
      <c r="F573" s="4" t="s">
        <v>2471</v>
      </c>
      <c r="G573" s="4" t="s">
        <v>361</v>
      </c>
      <c r="H573" s="4" t="s">
        <v>50</v>
      </c>
      <c r="I573" s="4" t="s">
        <v>1982</v>
      </c>
      <c r="J573" s="4" t="s">
        <v>32</v>
      </c>
      <c r="K573" s="4"/>
      <c r="L573" s="4" t="str">
        <f t="shared" si="8"/>
        <v>Different owner</v>
      </c>
    </row>
    <row r="574" spans="1:12" ht="15" customHeight="1" x14ac:dyDescent="0.3">
      <c r="A574" s="4" t="s">
        <v>2472</v>
      </c>
      <c r="B574" s="4" t="s">
        <v>2473</v>
      </c>
      <c r="C574" s="4" t="s">
        <v>2474</v>
      </c>
      <c r="D574" s="4" t="s">
        <v>2475</v>
      </c>
      <c r="E574" s="4" t="s">
        <v>106</v>
      </c>
      <c r="F574" s="4" t="s">
        <v>2476</v>
      </c>
      <c r="G574" s="4" t="s">
        <v>40</v>
      </c>
      <c r="H574" s="4" t="s">
        <v>41</v>
      </c>
      <c r="I574" s="4" t="s">
        <v>69</v>
      </c>
      <c r="J574" s="4" t="s">
        <v>106</v>
      </c>
      <c r="K574" s="4" t="s">
        <v>2477</v>
      </c>
      <c r="L574" s="4" t="str">
        <f t="shared" si="8"/>
        <v>Match</v>
      </c>
    </row>
    <row r="575" spans="1:12" ht="15" customHeight="1" x14ac:dyDescent="0.3">
      <c r="A575" s="4" t="s">
        <v>2478</v>
      </c>
      <c r="B575" s="4" t="s">
        <v>2479</v>
      </c>
      <c r="C575" s="4"/>
      <c r="D575" s="4" t="s">
        <v>2480</v>
      </c>
      <c r="E575" s="4" t="s">
        <v>56</v>
      </c>
      <c r="F575" s="4" t="s">
        <v>2481</v>
      </c>
      <c r="G575" s="4" t="s">
        <v>577</v>
      </c>
      <c r="H575" s="4" t="s">
        <v>174</v>
      </c>
      <c r="I575" s="4" t="s">
        <v>1101</v>
      </c>
      <c r="J575" s="4" t="s">
        <v>60</v>
      </c>
      <c r="K575" s="4" t="s">
        <v>2482</v>
      </c>
      <c r="L575" s="4" t="str">
        <f t="shared" si="8"/>
        <v>Different owner &amp; contact</v>
      </c>
    </row>
    <row r="576" spans="1:12" ht="15" customHeight="1" x14ac:dyDescent="0.3">
      <c r="A576" s="4" t="s">
        <v>2483</v>
      </c>
      <c r="B576" s="4" t="s">
        <v>2484</v>
      </c>
      <c r="C576" s="4" t="s">
        <v>2485</v>
      </c>
      <c r="D576" s="4" t="s">
        <v>2486</v>
      </c>
      <c r="E576" s="4" t="s">
        <v>91</v>
      </c>
      <c r="F576" s="4" t="s">
        <v>2487</v>
      </c>
      <c r="G576" s="4" t="s">
        <v>84</v>
      </c>
      <c r="H576" s="4" t="s">
        <v>68</v>
      </c>
      <c r="I576" s="4" t="s">
        <v>228</v>
      </c>
      <c r="J576" s="4" t="s">
        <v>102</v>
      </c>
      <c r="K576" s="4" t="s">
        <v>2488</v>
      </c>
      <c r="L576" s="4" t="str">
        <f t="shared" si="8"/>
        <v>Different owner</v>
      </c>
    </row>
    <row r="577" spans="1:12" ht="15" customHeight="1" x14ac:dyDescent="0.3">
      <c r="A577" s="4" t="s">
        <v>2489</v>
      </c>
      <c r="B577" s="4" t="s">
        <v>2490</v>
      </c>
      <c r="C577" s="4" t="s">
        <v>2491</v>
      </c>
      <c r="D577" s="4" t="s">
        <v>2492</v>
      </c>
      <c r="E577" s="4" t="s">
        <v>27</v>
      </c>
      <c r="F577" s="4" t="s">
        <v>2493</v>
      </c>
      <c r="G577" s="4" t="s">
        <v>58</v>
      </c>
      <c r="H577" s="4" t="s">
        <v>41</v>
      </c>
      <c r="I577" s="4" t="s">
        <v>299</v>
      </c>
      <c r="J577" s="4" t="s">
        <v>52</v>
      </c>
      <c r="K577" s="4" t="s">
        <v>2494</v>
      </c>
      <c r="L577" s="4" t="str">
        <f t="shared" si="8"/>
        <v>Different owner &amp; contact</v>
      </c>
    </row>
    <row r="578" spans="1:12" ht="15" customHeight="1" x14ac:dyDescent="0.3">
      <c r="A578" s="4" t="s">
        <v>2495</v>
      </c>
      <c r="B578" s="4" t="s">
        <v>2496</v>
      </c>
      <c r="C578" s="4" t="s">
        <v>2497</v>
      </c>
      <c r="D578" s="4"/>
      <c r="E578" s="4" t="s">
        <v>56</v>
      </c>
      <c r="F578" s="4" t="s">
        <v>2498</v>
      </c>
      <c r="G578" s="4" t="s">
        <v>40</v>
      </c>
      <c r="H578" s="4" t="s">
        <v>68</v>
      </c>
      <c r="I578" s="4" t="s">
        <v>85</v>
      </c>
      <c r="J578" s="4" t="s">
        <v>60</v>
      </c>
      <c r="K578" s="4" t="s">
        <v>1860</v>
      </c>
      <c r="L578" s="4" t="str">
        <f t="shared" ref="L578:L641" si="9">IF(AND(TRIM(LOWER(E578))=TRIM(LOWER(J578)),TRIM(LOWER(C578))=TRIM(LOWER(K578))),"Match",IF(AND(NOT(TRIM(LOWER(E578))=TRIM(LOWER(J578))),TRIM(LOWER(C578))=TRIM(LOWER(K578))),"Different owner",IF(AND(TRIM(LOWER(E578))=TRIM(LOWER(J578)),NOT(TRIM(LOWER(C578))=TRIM(LOWER(K578)))),"Different contact","Different owner &amp; contact")))</f>
        <v>Different owner &amp; contact</v>
      </c>
    </row>
    <row r="579" spans="1:12" ht="15" customHeight="1" x14ac:dyDescent="0.3">
      <c r="A579" s="4" t="s">
        <v>2499</v>
      </c>
      <c r="B579" s="4" t="s">
        <v>2500</v>
      </c>
      <c r="C579" s="4" t="s">
        <v>2501</v>
      </c>
      <c r="D579" s="4" t="s">
        <v>2502</v>
      </c>
      <c r="E579" s="4" t="s">
        <v>91</v>
      </c>
      <c r="F579" s="4" t="s">
        <v>2503</v>
      </c>
      <c r="G579" s="4" t="s">
        <v>361</v>
      </c>
      <c r="H579" s="4" t="s">
        <v>41</v>
      </c>
      <c r="I579" s="4" t="s">
        <v>41</v>
      </c>
      <c r="J579" s="4" t="s">
        <v>32</v>
      </c>
      <c r="K579" s="4"/>
      <c r="L579" s="4" t="str">
        <f t="shared" si="9"/>
        <v>Different owner &amp; contact</v>
      </c>
    </row>
    <row r="580" spans="1:12" ht="15" customHeight="1" x14ac:dyDescent="0.3">
      <c r="A580" s="4" t="s">
        <v>2504</v>
      </c>
      <c r="B580" s="4" t="s">
        <v>2500</v>
      </c>
      <c r="C580" s="4"/>
      <c r="D580" s="4" t="s">
        <v>2505</v>
      </c>
      <c r="E580" s="4" t="s">
        <v>91</v>
      </c>
      <c r="F580" s="4" t="s">
        <v>2503</v>
      </c>
      <c r="G580" s="4" t="s">
        <v>361</v>
      </c>
      <c r="H580" s="4" t="s">
        <v>41</v>
      </c>
      <c r="I580" s="4" t="s">
        <v>41</v>
      </c>
      <c r="J580" s="4" t="s">
        <v>32</v>
      </c>
      <c r="K580" s="4"/>
      <c r="L580" s="4" t="str">
        <f t="shared" si="9"/>
        <v>Different owner</v>
      </c>
    </row>
    <row r="581" spans="1:12" ht="15" customHeight="1" x14ac:dyDescent="0.3">
      <c r="A581" s="4" t="s">
        <v>2506</v>
      </c>
      <c r="B581" s="4" t="s">
        <v>2507</v>
      </c>
      <c r="C581" s="4"/>
      <c r="D581" s="4" t="s">
        <v>2508</v>
      </c>
      <c r="E581" s="4" t="s">
        <v>91</v>
      </c>
      <c r="F581" s="4" t="s">
        <v>2509</v>
      </c>
      <c r="G581" s="4" t="s">
        <v>577</v>
      </c>
      <c r="H581" s="4" t="s">
        <v>30</v>
      </c>
      <c r="I581" s="4" t="s">
        <v>299</v>
      </c>
      <c r="J581" s="4" t="s">
        <v>94</v>
      </c>
      <c r="K581" s="4" t="s">
        <v>2510</v>
      </c>
      <c r="L581" s="4" t="str">
        <f t="shared" si="9"/>
        <v>Different owner &amp; contact</v>
      </c>
    </row>
    <row r="582" spans="1:12" ht="15" customHeight="1" x14ac:dyDescent="0.3">
      <c r="A582" s="4" t="s">
        <v>2511</v>
      </c>
      <c r="B582" s="4" t="s">
        <v>2512</v>
      </c>
      <c r="C582" s="4" t="s">
        <v>2513</v>
      </c>
      <c r="D582" s="4"/>
      <c r="E582" s="4" t="s">
        <v>27</v>
      </c>
      <c r="F582" s="4" t="s">
        <v>2514</v>
      </c>
      <c r="G582" s="4" t="s">
        <v>100</v>
      </c>
      <c r="H582" s="4" t="s">
        <v>41</v>
      </c>
      <c r="I582" s="4" t="s">
        <v>93</v>
      </c>
      <c r="J582" s="4" t="s">
        <v>52</v>
      </c>
      <c r="K582" s="4" t="s">
        <v>2515</v>
      </c>
      <c r="L582" s="4" t="str">
        <f t="shared" si="9"/>
        <v>Different owner &amp; contact</v>
      </c>
    </row>
    <row r="583" spans="1:12" ht="15" customHeight="1" x14ac:dyDescent="0.3">
      <c r="A583" s="4" t="s">
        <v>2516</v>
      </c>
      <c r="B583" s="4" t="s">
        <v>2512</v>
      </c>
      <c r="C583" s="4" t="s">
        <v>2517</v>
      </c>
      <c r="D583" s="4" t="s">
        <v>2518</v>
      </c>
      <c r="E583" s="4" t="s">
        <v>27</v>
      </c>
      <c r="F583" s="4" t="s">
        <v>2514</v>
      </c>
      <c r="G583" s="4" t="s">
        <v>100</v>
      </c>
      <c r="H583" s="4" t="s">
        <v>41</v>
      </c>
      <c r="I583" s="4" t="s">
        <v>93</v>
      </c>
      <c r="J583" s="4" t="s">
        <v>52</v>
      </c>
      <c r="K583" s="4" t="s">
        <v>2515</v>
      </c>
      <c r="L583" s="4" t="str">
        <f t="shared" si="9"/>
        <v>Different owner &amp; contact</v>
      </c>
    </row>
    <row r="584" spans="1:12" ht="15" customHeight="1" x14ac:dyDescent="0.3">
      <c r="A584" s="4" t="s">
        <v>2519</v>
      </c>
      <c r="B584" s="4" t="s">
        <v>2520</v>
      </c>
      <c r="C584" s="4" t="s">
        <v>2521</v>
      </c>
      <c r="D584" s="4" t="s">
        <v>2522</v>
      </c>
      <c r="E584" s="4" t="s">
        <v>91</v>
      </c>
      <c r="F584" s="4" t="s">
        <v>2523</v>
      </c>
      <c r="G584" s="4" t="s">
        <v>84</v>
      </c>
      <c r="H584" s="4" t="s">
        <v>68</v>
      </c>
      <c r="I584" s="4" t="s">
        <v>1982</v>
      </c>
      <c r="J584" s="4" t="s">
        <v>102</v>
      </c>
      <c r="K584" s="4" t="s">
        <v>2521</v>
      </c>
      <c r="L584" s="4" t="str">
        <f t="shared" si="9"/>
        <v>Different owner</v>
      </c>
    </row>
    <row r="585" spans="1:12" ht="15" customHeight="1" x14ac:dyDescent="0.3">
      <c r="A585" s="4" t="s">
        <v>2524</v>
      </c>
      <c r="B585" s="4" t="s">
        <v>2525</v>
      </c>
      <c r="C585" s="4" t="s">
        <v>2526</v>
      </c>
      <c r="D585" s="4" t="s">
        <v>2527</v>
      </c>
      <c r="E585" s="4" t="s">
        <v>106</v>
      </c>
      <c r="F585" s="4" t="s">
        <v>2528</v>
      </c>
      <c r="G585" s="4" t="s">
        <v>84</v>
      </c>
      <c r="H585" s="4" t="s">
        <v>68</v>
      </c>
      <c r="I585" s="4" t="s">
        <v>538</v>
      </c>
      <c r="J585" s="4" t="s">
        <v>106</v>
      </c>
      <c r="K585" s="4" t="s">
        <v>2529</v>
      </c>
      <c r="L585" s="4" t="str">
        <f t="shared" si="9"/>
        <v>Different contact</v>
      </c>
    </row>
    <row r="586" spans="1:12" ht="15" customHeight="1" x14ac:dyDescent="0.3">
      <c r="A586" s="4" t="s">
        <v>2530</v>
      </c>
      <c r="B586" s="4" t="s">
        <v>2531</v>
      </c>
      <c r="C586" s="4" t="s">
        <v>2532</v>
      </c>
      <c r="D586" s="4"/>
      <c r="E586" s="4" t="s">
        <v>343</v>
      </c>
      <c r="F586" s="4" t="s">
        <v>2533</v>
      </c>
      <c r="G586" s="4" t="s">
        <v>58</v>
      </c>
      <c r="H586" s="4" t="s">
        <v>41</v>
      </c>
      <c r="I586" s="4" t="s">
        <v>85</v>
      </c>
      <c r="J586" s="4" t="s">
        <v>102</v>
      </c>
      <c r="K586" s="4" t="s">
        <v>2534</v>
      </c>
      <c r="L586" s="4" t="str">
        <f t="shared" si="9"/>
        <v>Different owner &amp; contact</v>
      </c>
    </row>
    <row r="587" spans="1:12" ht="15" customHeight="1" x14ac:dyDescent="0.3">
      <c r="A587" s="4" t="s">
        <v>2535</v>
      </c>
      <c r="B587" s="4" t="s">
        <v>2536</v>
      </c>
      <c r="C587" s="4" t="s">
        <v>2537</v>
      </c>
      <c r="D587" s="4" t="s">
        <v>2538</v>
      </c>
      <c r="E587" s="4" t="s">
        <v>91</v>
      </c>
      <c r="F587" s="4" t="s">
        <v>2539</v>
      </c>
      <c r="G587" s="4" t="s">
        <v>49</v>
      </c>
      <c r="H587" s="4" t="s">
        <v>41</v>
      </c>
      <c r="I587" s="4" t="s">
        <v>85</v>
      </c>
      <c r="J587" s="4" t="s">
        <v>94</v>
      </c>
      <c r="K587" s="4" t="s">
        <v>2540</v>
      </c>
      <c r="L587" s="4" t="str">
        <f t="shared" si="9"/>
        <v>Different owner &amp; contact</v>
      </c>
    </row>
    <row r="588" spans="1:12" ht="15" customHeight="1" x14ac:dyDescent="0.3">
      <c r="A588" s="4" t="s">
        <v>2541</v>
      </c>
      <c r="B588" s="4" t="s">
        <v>2542</v>
      </c>
      <c r="C588" s="4" t="s">
        <v>2543</v>
      </c>
      <c r="D588" s="4"/>
      <c r="E588" s="4" t="s">
        <v>343</v>
      </c>
      <c r="F588" s="4" t="s">
        <v>2544</v>
      </c>
      <c r="G588" s="4" t="s">
        <v>58</v>
      </c>
      <c r="H588" s="4" t="s">
        <v>30</v>
      </c>
      <c r="I588" s="4" t="s">
        <v>125</v>
      </c>
      <c r="J588" s="4" t="s">
        <v>34</v>
      </c>
      <c r="K588" s="4" t="s">
        <v>2543</v>
      </c>
      <c r="L588" s="4" t="str">
        <f t="shared" si="9"/>
        <v>Different owner</v>
      </c>
    </row>
    <row r="589" spans="1:12" ht="15" customHeight="1" x14ac:dyDescent="0.3">
      <c r="A589" s="4" t="s">
        <v>2542</v>
      </c>
      <c r="B589" s="4" t="s">
        <v>2542</v>
      </c>
      <c r="C589" s="4"/>
      <c r="D589" s="4"/>
      <c r="E589" s="4" t="s">
        <v>34</v>
      </c>
      <c r="F589" s="4" t="s">
        <v>2544</v>
      </c>
      <c r="G589" s="4" t="s">
        <v>58</v>
      </c>
      <c r="H589" s="4" t="s">
        <v>30</v>
      </c>
      <c r="I589" s="4" t="s">
        <v>125</v>
      </c>
      <c r="J589" s="4" t="s">
        <v>34</v>
      </c>
      <c r="K589" s="4" t="s">
        <v>2543</v>
      </c>
      <c r="L589" s="4" t="str">
        <f t="shared" si="9"/>
        <v>Different contact</v>
      </c>
    </row>
    <row r="590" spans="1:12" ht="15" customHeight="1" x14ac:dyDescent="0.3">
      <c r="A590" s="4" t="s">
        <v>2545</v>
      </c>
      <c r="B590" s="4" t="s">
        <v>2546</v>
      </c>
      <c r="C590" s="4" t="s">
        <v>2547</v>
      </c>
      <c r="D590" s="4"/>
      <c r="E590" s="4" t="s">
        <v>66</v>
      </c>
      <c r="F590" s="4" t="s">
        <v>2548</v>
      </c>
      <c r="G590" s="4" t="s">
        <v>49</v>
      </c>
      <c r="H590" s="4" t="s">
        <v>41</v>
      </c>
      <c r="I590" s="4" t="s">
        <v>404</v>
      </c>
      <c r="J590" s="4" t="s">
        <v>66</v>
      </c>
      <c r="K590" s="4" t="s">
        <v>2547</v>
      </c>
      <c r="L590" s="4" t="str">
        <f t="shared" si="9"/>
        <v>Match</v>
      </c>
    </row>
    <row r="591" spans="1:12" ht="15" customHeight="1" x14ac:dyDescent="0.3">
      <c r="A591" s="4" t="s">
        <v>2549</v>
      </c>
      <c r="B591" s="4" t="s">
        <v>2550</v>
      </c>
      <c r="C591" s="4" t="s">
        <v>2551</v>
      </c>
      <c r="D591" s="4" t="s">
        <v>2552</v>
      </c>
      <c r="E591" s="4" t="s">
        <v>66</v>
      </c>
      <c r="F591" s="4" t="s">
        <v>2553</v>
      </c>
      <c r="G591" s="4" t="s">
        <v>130</v>
      </c>
      <c r="H591" s="4" t="s">
        <v>68</v>
      </c>
      <c r="I591" s="4" t="s">
        <v>2554</v>
      </c>
      <c r="J591" s="4" t="s">
        <v>66</v>
      </c>
      <c r="K591" s="4" t="s">
        <v>2555</v>
      </c>
      <c r="L591" s="4" t="str">
        <f t="shared" si="9"/>
        <v>Different contact</v>
      </c>
    </row>
    <row r="592" spans="1:12" ht="15" customHeight="1" x14ac:dyDescent="0.3">
      <c r="A592" s="4" t="s">
        <v>2556</v>
      </c>
      <c r="B592" s="4" t="s">
        <v>2557</v>
      </c>
      <c r="C592" s="4" t="s">
        <v>2558</v>
      </c>
      <c r="D592" s="4" t="s">
        <v>2559</v>
      </c>
      <c r="E592" s="4" t="s">
        <v>52</v>
      </c>
      <c r="F592" s="4" t="s">
        <v>2560</v>
      </c>
      <c r="G592" s="4" t="s">
        <v>84</v>
      </c>
      <c r="H592" s="4" t="s">
        <v>68</v>
      </c>
      <c r="I592" s="4" t="s">
        <v>2227</v>
      </c>
      <c r="J592" s="4" t="s">
        <v>34</v>
      </c>
      <c r="K592" s="4" t="s">
        <v>2561</v>
      </c>
      <c r="L592" s="4" t="str">
        <f t="shared" si="9"/>
        <v>Different owner &amp; contact</v>
      </c>
    </row>
    <row r="593" spans="1:12" ht="15" customHeight="1" x14ac:dyDescent="0.3">
      <c r="A593" s="4" t="s">
        <v>2562</v>
      </c>
      <c r="B593" s="4" t="s">
        <v>2557</v>
      </c>
      <c r="C593" s="4" t="s">
        <v>2561</v>
      </c>
      <c r="D593" s="4"/>
      <c r="E593" s="4" t="s">
        <v>52</v>
      </c>
      <c r="F593" s="4" t="s">
        <v>2560</v>
      </c>
      <c r="G593" s="4" t="s">
        <v>84</v>
      </c>
      <c r="H593" s="4" t="s">
        <v>68</v>
      </c>
      <c r="I593" s="4" t="s">
        <v>2227</v>
      </c>
      <c r="J593" s="4" t="s">
        <v>34</v>
      </c>
      <c r="K593" s="4" t="s">
        <v>2561</v>
      </c>
      <c r="L593" s="4" t="str">
        <f t="shared" si="9"/>
        <v>Different owner</v>
      </c>
    </row>
    <row r="594" spans="1:12" ht="15" customHeight="1" x14ac:dyDescent="0.3">
      <c r="A594" s="4" t="s">
        <v>2563</v>
      </c>
      <c r="B594" s="4" t="s">
        <v>2564</v>
      </c>
      <c r="C594" s="4" t="s">
        <v>2565</v>
      </c>
      <c r="D594" s="4" t="s">
        <v>2566</v>
      </c>
      <c r="E594" s="4" t="s">
        <v>66</v>
      </c>
      <c r="F594" s="4" t="s">
        <v>2567</v>
      </c>
      <c r="G594" s="4" t="s">
        <v>49</v>
      </c>
      <c r="H594" s="4" t="s">
        <v>116</v>
      </c>
      <c r="I594" s="4" t="s">
        <v>672</v>
      </c>
      <c r="J594" s="4" t="s">
        <v>66</v>
      </c>
      <c r="K594" s="4" t="s">
        <v>2565</v>
      </c>
      <c r="L594" s="4" t="str">
        <f t="shared" si="9"/>
        <v>Match</v>
      </c>
    </row>
    <row r="595" spans="1:12" ht="15" customHeight="1" x14ac:dyDescent="0.3">
      <c r="A595" s="4" t="s">
        <v>2568</v>
      </c>
      <c r="B595" s="4" t="s">
        <v>2569</v>
      </c>
      <c r="C595" s="4" t="s">
        <v>2570</v>
      </c>
      <c r="D595" s="4"/>
      <c r="E595" s="4" t="s">
        <v>27</v>
      </c>
      <c r="F595" s="4" t="s">
        <v>2571</v>
      </c>
      <c r="G595" s="4" t="s">
        <v>163</v>
      </c>
      <c r="H595" s="4" t="s">
        <v>68</v>
      </c>
      <c r="I595" s="4" t="s">
        <v>264</v>
      </c>
      <c r="J595" s="4" t="s">
        <v>52</v>
      </c>
      <c r="K595" s="4" t="s">
        <v>2570</v>
      </c>
      <c r="L595" s="4" t="str">
        <f t="shared" si="9"/>
        <v>Different owner</v>
      </c>
    </row>
    <row r="596" spans="1:12" ht="15" customHeight="1" x14ac:dyDescent="0.3">
      <c r="A596" s="4" t="s">
        <v>2572</v>
      </c>
      <c r="B596" s="4" t="s">
        <v>2569</v>
      </c>
      <c r="C596" s="4" t="s">
        <v>2573</v>
      </c>
      <c r="D596" s="4" t="s">
        <v>2574</v>
      </c>
      <c r="E596" s="4" t="s">
        <v>27</v>
      </c>
      <c r="F596" s="4" t="s">
        <v>2571</v>
      </c>
      <c r="G596" s="4" t="s">
        <v>163</v>
      </c>
      <c r="H596" s="4" t="s">
        <v>68</v>
      </c>
      <c r="I596" s="4" t="s">
        <v>264</v>
      </c>
      <c r="J596" s="4" t="s">
        <v>52</v>
      </c>
      <c r="K596" s="4" t="s">
        <v>2570</v>
      </c>
      <c r="L596" s="4" t="str">
        <f t="shared" si="9"/>
        <v>Different owner &amp; contact</v>
      </c>
    </row>
    <row r="597" spans="1:12" ht="15" customHeight="1" x14ac:dyDescent="0.3">
      <c r="A597" s="4" t="s">
        <v>2575</v>
      </c>
      <c r="B597" s="4" t="s">
        <v>2569</v>
      </c>
      <c r="C597" s="4" t="s">
        <v>2576</v>
      </c>
      <c r="D597" s="4" t="s">
        <v>2577</v>
      </c>
      <c r="E597" s="4" t="s">
        <v>27</v>
      </c>
      <c r="F597" s="4" t="s">
        <v>2571</v>
      </c>
      <c r="G597" s="4" t="s">
        <v>163</v>
      </c>
      <c r="H597" s="4" t="s">
        <v>68</v>
      </c>
      <c r="I597" s="4" t="s">
        <v>264</v>
      </c>
      <c r="J597" s="4" t="s">
        <v>52</v>
      </c>
      <c r="K597" s="4" t="s">
        <v>2570</v>
      </c>
      <c r="L597" s="4" t="str">
        <f t="shared" si="9"/>
        <v>Different owner &amp; contact</v>
      </c>
    </row>
    <row r="598" spans="1:12" ht="15" customHeight="1" x14ac:dyDescent="0.3">
      <c r="A598" s="4" t="s">
        <v>2578</v>
      </c>
      <c r="B598" s="4" t="s">
        <v>2579</v>
      </c>
      <c r="C598" s="4" t="s">
        <v>2580</v>
      </c>
      <c r="D598" s="4"/>
      <c r="E598" s="4" t="s">
        <v>56</v>
      </c>
      <c r="F598" s="4" t="s">
        <v>2581</v>
      </c>
      <c r="G598" s="4" t="s">
        <v>124</v>
      </c>
      <c r="H598" s="4" t="s">
        <v>41</v>
      </c>
      <c r="I598" s="4" t="s">
        <v>823</v>
      </c>
      <c r="J598" s="4" t="s">
        <v>32</v>
      </c>
      <c r="K598" s="4" t="s">
        <v>2582</v>
      </c>
      <c r="L598" s="4" t="str">
        <f t="shared" si="9"/>
        <v>Different owner &amp; contact</v>
      </c>
    </row>
    <row r="599" spans="1:12" ht="15" customHeight="1" x14ac:dyDescent="0.3">
      <c r="A599" s="4" t="s">
        <v>2583</v>
      </c>
      <c r="B599" s="4" t="s">
        <v>2584</v>
      </c>
      <c r="C599" s="4" t="s">
        <v>2585</v>
      </c>
      <c r="D599" s="4"/>
      <c r="E599" s="4" t="s">
        <v>56</v>
      </c>
      <c r="F599" s="4" t="s">
        <v>2586</v>
      </c>
      <c r="G599" s="4" t="s">
        <v>124</v>
      </c>
      <c r="H599" s="4" t="s">
        <v>41</v>
      </c>
      <c r="I599" s="4" t="s">
        <v>131</v>
      </c>
      <c r="J599" s="4" t="s">
        <v>32</v>
      </c>
      <c r="K599" s="4" t="s">
        <v>2585</v>
      </c>
      <c r="L599" s="4" t="str">
        <f t="shared" si="9"/>
        <v>Different owner</v>
      </c>
    </row>
    <row r="600" spans="1:12" ht="15" customHeight="1" x14ac:dyDescent="0.3">
      <c r="A600" s="4" t="s">
        <v>2587</v>
      </c>
      <c r="B600" s="4" t="s">
        <v>2588</v>
      </c>
      <c r="C600" s="4" t="s">
        <v>2589</v>
      </c>
      <c r="D600" s="4"/>
      <c r="E600" s="4" t="s">
        <v>56</v>
      </c>
      <c r="F600" s="4" t="s">
        <v>2590</v>
      </c>
      <c r="G600" s="4" t="s">
        <v>84</v>
      </c>
      <c r="H600" s="4" t="s">
        <v>68</v>
      </c>
      <c r="I600" s="4" t="s">
        <v>93</v>
      </c>
      <c r="J600" s="4" t="s">
        <v>32</v>
      </c>
      <c r="K600" s="4" t="s">
        <v>2589</v>
      </c>
      <c r="L600" s="4" t="str">
        <f t="shared" si="9"/>
        <v>Different owner</v>
      </c>
    </row>
    <row r="601" spans="1:12" ht="15" customHeight="1" x14ac:dyDescent="0.3">
      <c r="A601" s="4" t="s">
        <v>2591</v>
      </c>
      <c r="B601" s="4" t="s">
        <v>2592</v>
      </c>
      <c r="C601" s="4" t="s">
        <v>2593</v>
      </c>
      <c r="D601" s="4" t="s">
        <v>2594</v>
      </c>
      <c r="E601" s="4" t="s">
        <v>27</v>
      </c>
      <c r="F601" s="4" t="s">
        <v>2595</v>
      </c>
      <c r="G601" s="4" t="s">
        <v>138</v>
      </c>
      <c r="H601" s="4" t="s">
        <v>68</v>
      </c>
      <c r="I601" s="4" t="s">
        <v>299</v>
      </c>
      <c r="J601" s="4" t="s">
        <v>52</v>
      </c>
      <c r="K601" s="4" t="s">
        <v>2593</v>
      </c>
      <c r="L601" s="4" t="str">
        <f t="shared" si="9"/>
        <v>Different owner</v>
      </c>
    </row>
    <row r="602" spans="1:12" ht="15" customHeight="1" x14ac:dyDescent="0.3">
      <c r="A602" s="4" t="s">
        <v>2596</v>
      </c>
      <c r="B602" s="4" t="s">
        <v>2597</v>
      </c>
      <c r="C602" s="4" t="s">
        <v>2598</v>
      </c>
      <c r="D602" s="4" t="s">
        <v>2599</v>
      </c>
      <c r="E602" s="4" t="s">
        <v>91</v>
      </c>
      <c r="F602" s="4" t="s">
        <v>2600</v>
      </c>
      <c r="G602" s="4" t="s">
        <v>58</v>
      </c>
      <c r="H602" s="4" t="s">
        <v>41</v>
      </c>
      <c r="I602" s="4" t="s">
        <v>41</v>
      </c>
      <c r="J602" s="4" t="s">
        <v>94</v>
      </c>
      <c r="K602" s="4" t="s">
        <v>2598</v>
      </c>
      <c r="L602" s="4" t="str">
        <f t="shared" si="9"/>
        <v>Different owner</v>
      </c>
    </row>
    <row r="603" spans="1:12" ht="15" customHeight="1" x14ac:dyDescent="0.3">
      <c r="A603" s="4" t="s">
        <v>2601</v>
      </c>
      <c r="B603" s="4" t="s">
        <v>2597</v>
      </c>
      <c r="C603" s="4" t="s">
        <v>2602</v>
      </c>
      <c r="D603" s="4"/>
      <c r="E603" s="4" t="s">
        <v>91</v>
      </c>
      <c r="F603" s="4" t="s">
        <v>2600</v>
      </c>
      <c r="G603" s="4" t="s">
        <v>58</v>
      </c>
      <c r="H603" s="4" t="s">
        <v>41</v>
      </c>
      <c r="I603" s="4" t="s">
        <v>41</v>
      </c>
      <c r="J603" s="4" t="s">
        <v>94</v>
      </c>
      <c r="K603" s="4" t="s">
        <v>2598</v>
      </c>
      <c r="L603" s="4" t="str">
        <f t="shared" si="9"/>
        <v>Different owner &amp; contact</v>
      </c>
    </row>
    <row r="604" spans="1:12" ht="15" customHeight="1" x14ac:dyDescent="0.3">
      <c r="A604" s="4" t="s">
        <v>2603</v>
      </c>
      <c r="B604" s="4" t="s">
        <v>2604</v>
      </c>
      <c r="C604" s="4" t="s">
        <v>405</v>
      </c>
      <c r="D604" s="4" t="s">
        <v>2605</v>
      </c>
      <c r="E604" s="4" t="s">
        <v>91</v>
      </c>
      <c r="F604" s="4" t="s">
        <v>2606</v>
      </c>
      <c r="G604" s="4" t="s">
        <v>58</v>
      </c>
      <c r="H604" s="4" t="s">
        <v>41</v>
      </c>
      <c r="I604" s="4" t="s">
        <v>42</v>
      </c>
      <c r="J604" s="4" t="s">
        <v>94</v>
      </c>
      <c r="K604" s="4" t="s">
        <v>2607</v>
      </c>
      <c r="L604" s="4" t="str">
        <f t="shared" si="9"/>
        <v>Different owner &amp; contact</v>
      </c>
    </row>
    <row r="605" spans="1:12" ht="15" customHeight="1" x14ac:dyDescent="0.3">
      <c r="A605" s="4" t="s">
        <v>2608</v>
      </c>
      <c r="B605" s="4" t="s">
        <v>2609</v>
      </c>
      <c r="C605" s="4" t="s">
        <v>2610</v>
      </c>
      <c r="D605" s="4"/>
      <c r="E605" s="4" t="s">
        <v>56</v>
      </c>
      <c r="F605" s="4" t="s">
        <v>2611</v>
      </c>
      <c r="G605" s="4" t="s">
        <v>29</v>
      </c>
      <c r="H605" s="4" t="s">
        <v>41</v>
      </c>
      <c r="I605" s="4" t="s">
        <v>42</v>
      </c>
      <c r="J605" s="4" t="s">
        <v>102</v>
      </c>
      <c r="K605" s="4" t="s">
        <v>2612</v>
      </c>
      <c r="L605" s="4" t="str">
        <f t="shared" si="9"/>
        <v>Different owner &amp; contact</v>
      </c>
    </row>
    <row r="606" spans="1:12" ht="15" customHeight="1" x14ac:dyDescent="0.3">
      <c r="A606" s="4" t="s">
        <v>2613</v>
      </c>
      <c r="B606" s="4" t="s">
        <v>2614</v>
      </c>
      <c r="C606" s="4" t="s">
        <v>2615</v>
      </c>
      <c r="D606" s="4"/>
      <c r="E606" s="4" t="s">
        <v>343</v>
      </c>
      <c r="F606" s="4" t="s">
        <v>2616</v>
      </c>
      <c r="G606" s="4" t="s">
        <v>58</v>
      </c>
      <c r="H606" s="4" t="s">
        <v>41</v>
      </c>
      <c r="I606" s="4" t="s">
        <v>823</v>
      </c>
      <c r="J606" s="4" t="s">
        <v>34</v>
      </c>
      <c r="K606" s="4" t="s">
        <v>2615</v>
      </c>
      <c r="L606" s="4" t="str">
        <f t="shared" si="9"/>
        <v>Different owner</v>
      </c>
    </row>
    <row r="607" spans="1:12" ht="15" customHeight="1" x14ac:dyDescent="0.3">
      <c r="A607" s="4" t="s">
        <v>2617</v>
      </c>
      <c r="B607" s="4" t="s">
        <v>2618</v>
      </c>
      <c r="C607" s="4" t="s">
        <v>2619</v>
      </c>
      <c r="D607" s="4"/>
      <c r="E607" s="4" t="s">
        <v>56</v>
      </c>
      <c r="F607" s="4" t="s">
        <v>2620</v>
      </c>
      <c r="G607" s="4" t="s">
        <v>1321</v>
      </c>
      <c r="H607" s="4" t="s">
        <v>68</v>
      </c>
      <c r="I607" s="4" t="s">
        <v>944</v>
      </c>
      <c r="J607" s="4" t="s">
        <v>34</v>
      </c>
      <c r="K607" s="4" t="s">
        <v>2621</v>
      </c>
      <c r="L607" s="4" t="str">
        <f t="shared" si="9"/>
        <v>Different owner &amp; contact</v>
      </c>
    </row>
    <row r="608" spans="1:12" ht="15" customHeight="1" x14ac:dyDescent="0.3">
      <c r="A608" s="4" t="s">
        <v>2622</v>
      </c>
      <c r="B608" s="4" t="s">
        <v>2623</v>
      </c>
      <c r="C608" s="4" t="s">
        <v>2624</v>
      </c>
      <c r="D608" s="4"/>
      <c r="E608" s="4" t="s">
        <v>343</v>
      </c>
      <c r="F608" s="4" t="s">
        <v>2625</v>
      </c>
      <c r="G608" s="4" t="s">
        <v>58</v>
      </c>
      <c r="H608" s="4" t="s">
        <v>116</v>
      </c>
      <c r="I608" s="4" t="s">
        <v>2626</v>
      </c>
      <c r="J608" s="4" t="s">
        <v>114</v>
      </c>
      <c r="K608" s="4" t="s">
        <v>2624</v>
      </c>
      <c r="L608" s="4" t="str">
        <f t="shared" si="9"/>
        <v>Different owner</v>
      </c>
    </row>
    <row r="609" spans="1:12" ht="15" customHeight="1" x14ac:dyDescent="0.3">
      <c r="A609" s="4" t="s">
        <v>2627</v>
      </c>
      <c r="B609" s="4" t="s">
        <v>2623</v>
      </c>
      <c r="C609" s="4" t="s">
        <v>2628</v>
      </c>
      <c r="D609" s="4"/>
      <c r="E609" s="4" t="s">
        <v>56</v>
      </c>
      <c r="F609" s="4" t="s">
        <v>2625</v>
      </c>
      <c r="G609" s="4" t="s">
        <v>58</v>
      </c>
      <c r="H609" s="4" t="s">
        <v>116</v>
      </c>
      <c r="I609" s="4" t="s">
        <v>2626</v>
      </c>
      <c r="J609" s="4" t="s">
        <v>114</v>
      </c>
      <c r="K609" s="4" t="s">
        <v>2624</v>
      </c>
      <c r="L609" s="4" t="str">
        <f t="shared" si="9"/>
        <v>Different owner &amp; contact</v>
      </c>
    </row>
    <row r="610" spans="1:12" ht="15" customHeight="1" x14ac:dyDescent="0.3">
      <c r="A610" s="4" t="s">
        <v>2629</v>
      </c>
      <c r="B610" s="4" t="s">
        <v>2623</v>
      </c>
      <c r="C610" s="4" t="s">
        <v>2630</v>
      </c>
      <c r="D610" s="4"/>
      <c r="E610" s="4" t="s">
        <v>56</v>
      </c>
      <c r="F610" s="4" t="s">
        <v>2625</v>
      </c>
      <c r="G610" s="4" t="s">
        <v>58</v>
      </c>
      <c r="H610" s="4" t="s">
        <v>116</v>
      </c>
      <c r="I610" s="4" t="s">
        <v>2626</v>
      </c>
      <c r="J610" s="4" t="s">
        <v>114</v>
      </c>
      <c r="K610" s="4" t="s">
        <v>2624</v>
      </c>
      <c r="L610" s="4" t="str">
        <f t="shared" si="9"/>
        <v>Different owner &amp; contact</v>
      </c>
    </row>
    <row r="611" spans="1:12" ht="15" customHeight="1" x14ac:dyDescent="0.3">
      <c r="A611" s="4" t="s">
        <v>2631</v>
      </c>
      <c r="B611" s="4" t="s">
        <v>2632</v>
      </c>
      <c r="C611" s="4" t="s">
        <v>2633</v>
      </c>
      <c r="D611" s="4" t="s">
        <v>2634</v>
      </c>
      <c r="E611" s="4" t="s">
        <v>56</v>
      </c>
      <c r="F611" s="4" t="s">
        <v>2635</v>
      </c>
      <c r="G611" s="4" t="s">
        <v>58</v>
      </c>
      <c r="H611" s="4" t="s">
        <v>116</v>
      </c>
      <c r="I611" s="4" t="s">
        <v>2626</v>
      </c>
      <c r="J611" s="4" t="s">
        <v>114</v>
      </c>
      <c r="K611" s="4" t="s">
        <v>2636</v>
      </c>
      <c r="L611" s="4" t="str">
        <f t="shared" si="9"/>
        <v>Different owner &amp; contact</v>
      </c>
    </row>
    <row r="612" spans="1:12" ht="15" customHeight="1" x14ac:dyDescent="0.3">
      <c r="A612" s="4" t="s">
        <v>2622</v>
      </c>
      <c r="B612" s="4" t="s">
        <v>2632</v>
      </c>
      <c r="C612" s="4" t="s">
        <v>2636</v>
      </c>
      <c r="D612" s="4"/>
      <c r="E612" s="4" t="s">
        <v>343</v>
      </c>
      <c r="F612" s="4" t="s">
        <v>2635</v>
      </c>
      <c r="G612" s="4" t="s">
        <v>58</v>
      </c>
      <c r="H612" s="4" t="s">
        <v>116</v>
      </c>
      <c r="I612" s="4" t="s">
        <v>2626</v>
      </c>
      <c r="J612" s="4" t="s">
        <v>114</v>
      </c>
      <c r="K612" s="4" t="s">
        <v>2636</v>
      </c>
      <c r="L612" s="4" t="str">
        <f t="shared" si="9"/>
        <v>Different owner</v>
      </c>
    </row>
    <row r="613" spans="1:12" ht="15" customHeight="1" x14ac:dyDescent="0.3">
      <c r="A613" s="4" t="s">
        <v>2637</v>
      </c>
      <c r="B613" s="4" t="s">
        <v>2638</v>
      </c>
      <c r="C613" s="4" t="s">
        <v>2639</v>
      </c>
      <c r="D613" s="4"/>
      <c r="E613" s="4" t="s">
        <v>343</v>
      </c>
      <c r="F613" s="4" t="s">
        <v>2640</v>
      </c>
      <c r="G613" s="4" t="s">
        <v>361</v>
      </c>
      <c r="H613" s="4" t="s">
        <v>1270</v>
      </c>
      <c r="I613" s="4" t="s">
        <v>672</v>
      </c>
      <c r="J613" s="4" t="s">
        <v>114</v>
      </c>
      <c r="K613" s="4" t="s">
        <v>2639</v>
      </c>
      <c r="L613" s="4" t="str">
        <f t="shared" si="9"/>
        <v>Different owner</v>
      </c>
    </row>
    <row r="614" spans="1:12" ht="15" customHeight="1" x14ac:dyDescent="0.3">
      <c r="A614" s="4" t="s">
        <v>2641</v>
      </c>
      <c r="B614" s="4" t="s">
        <v>2642</v>
      </c>
      <c r="C614" s="4" t="s">
        <v>2643</v>
      </c>
      <c r="D614" s="4"/>
      <c r="E614" s="4" t="s">
        <v>52</v>
      </c>
      <c r="F614" s="4" t="s">
        <v>2644</v>
      </c>
      <c r="G614" s="4" t="s">
        <v>58</v>
      </c>
      <c r="H614" s="4" t="s">
        <v>30</v>
      </c>
      <c r="I614" s="4" t="s">
        <v>125</v>
      </c>
      <c r="J614" s="4" t="s">
        <v>52</v>
      </c>
      <c r="K614" s="4" t="s">
        <v>2645</v>
      </c>
      <c r="L614" s="4" t="str">
        <f t="shared" si="9"/>
        <v>Different contact</v>
      </c>
    </row>
    <row r="615" spans="1:12" ht="15" customHeight="1" x14ac:dyDescent="0.3">
      <c r="A615" s="4" t="s">
        <v>2646</v>
      </c>
      <c r="B615" s="4" t="s">
        <v>2642</v>
      </c>
      <c r="C615" s="4" t="s">
        <v>2647</v>
      </c>
      <c r="D615" s="4"/>
      <c r="E615" s="4" t="s">
        <v>52</v>
      </c>
      <c r="F615" s="4" t="s">
        <v>2644</v>
      </c>
      <c r="G615" s="4" t="s">
        <v>58</v>
      </c>
      <c r="H615" s="4" t="s">
        <v>30</v>
      </c>
      <c r="I615" s="4" t="s">
        <v>125</v>
      </c>
      <c r="J615" s="4" t="s">
        <v>52</v>
      </c>
      <c r="K615" s="4" t="s">
        <v>2645</v>
      </c>
      <c r="L615" s="4" t="str">
        <f t="shared" si="9"/>
        <v>Different contact</v>
      </c>
    </row>
    <row r="616" spans="1:12" ht="15" customHeight="1" x14ac:dyDescent="0.3">
      <c r="A616" s="4" t="s">
        <v>2648</v>
      </c>
      <c r="B616" s="4" t="s">
        <v>2649</v>
      </c>
      <c r="C616" s="4" t="s">
        <v>2650</v>
      </c>
      <c r="D616" s="4" t="s">
        <v>2651</v>
      </c>
      <c r="E616" s="4" t="s">
        <v>106</v>
      </c>
      <c r="F616" s="4" t="s">
        <v>2652</v>
      </c>
      <c r="G616" s="4" t="s">
        <v>40</v>
      </c>
      <c r="H616" s="4" t="s">
        <v>41</v>
      </c>
      <c r="I616" s="4" t="s">
        <v>101</v>
      </c>
      <c r="J616" s="4" t="s">
        <v>106</v>
      </c>
      <c r="K616" s="4" t="s">
        <v>1333</v>
      </c>
      <c r="L616" s="4" t="str">
        <f t="shared" si="9"/>
        <v>Different contact</v>
      </c>
    </row>
    <row r="617" spans="1:12" ht="15" customHeight="1" x14ac:dyDescent="0.3">
      <c r="A617" s="4" t="s">
        <v>2653</v>
      </c>
      <c r="B617" s="4" t="s">
        <v>2649</v>
      </c>
      <c r="C617" s="4"/>
      <c r="D617" s="4"/>
      <c r="E617" s="4" t="s">
        <v>385</v>
      </c>
      <c r="F617" s="4" t="s">
        <v>2652</v>
      </c>
      <c r="G617" s="4" t="s">
        <v>40</v>
      </c>
      <c r="H617" s="4" t="s">
        <v>41</v>
      </c>
      <c r="I617" s="4" t="s">
        <v>101</v>
      </c>
      <c r="J617" s="4" t="s">
        <v>106</v>
      </c>
      <c r="K617" s="4" t="s">
        <v>1333</v>
      </c>
      <c r="L617" s="4" t="str">
        <f t="shared" si="9"/>
        <v>Different owner &amp; contact</v>
      </c>
    </row>
    <row r="618" spans="1:12" ht="15" customHeight="1" x14ac:dyDescent="0.3">
      <c r="A618" s="4" t="s">
        <v>2654</v>
      </c>
      <c r="B618" s="4" t="s">
        <v>2655</v>
      </c>
      <c r="C618" s="4" t="s">
        <v>2656</v>
      </c>
      <c r="D618" s="4" t="s">
        <v>2657</v>
      </c>
      <c r="E618" s="4" t="s">
        <v>106</v>
      </c>
      <c r="F618" s="4" t="s">
        <v>2658</v>
      </c>
      <c r="G618" s="4" t="s">
        <v>130</v>
      </c>
      <c r="H618" s="4" t="s">
        <v>41</v>
      </c>
      <c r="I618" s="4" t="s">
        <v>299</v>
      </c>
      <c r="J618" s="4" t="s">
        <v>106</v>
      </c>
      <c r="K618" s="4" t="s">
        <v>2659</v>
      </c>
      <c r="L618" s="4" t="str">
        <f t="shared" si="9"/>
        <v>Different contact</v>
      </c>
    </row>
    <row r="619" spans="1:12" ht="15" customHeight="1" x14ac:dyDescent="0.3">
      <c r="A619" s="4" t="s">
        <v>2660</v>
      </c>
      <c r="B619" s="4" t="s">
        <v>2661</v>
      </c>
      <c r="C619" s="4"/>
      <c r="D619" s="4" t="s">
        <v>2662</v>
      </c>
      <c r="E619" s="4" t="s">
        <v>172</v>
      </c>
      <c r="F619" s="4" t="s">
        <v>2663</v>
      </c>
      <c r="G619" s="4" t="s">
        <v>40</v>
      </c>
      <c r="H619" s="4" t="s">
        <v>174</v>
      </c>
      <c r="I619" s="4" t="s">
        <v>175</v>
      </c>
      <c r="J619" s="4" t="s">
        <v>176</v>
      </c>
      <c r="K619" s="4" t="s">
        <v>2664</v>
      </c>
      <c r="L619" s="4" t="str">
        <f t="shared" si="9"/>
        <v>Different owner &amp; contact</v>
      </c>
    </row>
    <row r="620" spans="1:12" ht="15" customHeight="1" x14ac:dyDescent="0.3">
      <c r="A620" s="4" t="s">
        <v>2665</v>
      </c>
      <c r="B620" s="4" t="s">
        <v>2661</v>
      </c>
      <c r="C620" s="4" t="s">
        <v>2666</v>
      </c>
      <c r="D620" s="4" t="s">
        <v>2662</v>
      </c>
      <c r="E620" s="4" t="s">
        <v>172</v>
      </c>
      <c r="F620" s="4" t="s">
        <v>2663</v>
      </c>
      <c r="G620" s="4" t="s">
        <v>40</v>
      </c>
      <c r="H620" s="4" t="s">
        <v>174</v>
      </c>
      <c r="I620" s="4" t="s">
        <v>175</v>
      </c>
      <c r="J620" s="4" t="s">
        <v>176</v>
      </c>
      <c r="K620" s="4" t="s">
        <v>2664</v>
      </c>
      <c r="L620" s="4" t="str">
        <f t="shared" si="9"/>
        <v>Different owner &amp; contact</v>
      </c>
    </row>
    <row r="621" spans="1:12" ht="15" customHeight="1" x14ac:dyDescent="0.3">
      <c r="A621" s="4" t="s">
        <v>2667</v>
      </c>
      <c r="B621" s="4" t="s">
        <v>2661</v>
      </c>
      <c r="C621" s="4" t="s">
        <v>2668</v>
      </c>
      <c r="D621" s="4" t="s">
        <v>2669</v>
      </c>
      <c r="E621" s="4" t="s">
        <v>172</v>
      </c>
      <c r="F621" s="4" t="s">
        <v>2663</v>
      </c>
      <c r="G621" s="4" t="s">
        <v>40</v>
      </c>
      <c r="H621" s="4" t="s">
        <v>174</v>
      </c>
      <c r="I621" s="4" t="s">
        <v>175</v>
      </c>
      <c r="J621" s="4" t="s">
        <v>176</v>
      </c>
      <c r="K621" s="4" t="s">
        <v>2664</v>
      </c>
      <c r="L621" s="4" t="str">
        <f t="shared" si="9"/>
        <v>Different owner &amp; contact</v>
      </c>
    </row>
    <row r="622" spans="1:12" ht="15" customHeight="1" x14ac:dyDescent="0.3">
      <c r="A622" s="4" t="s">
        <v>2670</v>
      </c>
      <c r="B622" s="4" t="s">
        <v>2671</v>
      </c>
      <c r="C622" s="4" t="s">
        <v>2672</v>
      </c>
      <c r="D622" s="4"/>
      <c r="E622" s="4" t="s">
        <v>343</v>
      </c>
      <c r="F622" s="4" t="s">
        <v>2673</v>
      </c>
      <c r="G622" s="4" t="s">
        <v>58</v>
      </c>
      <c r="H622" s="4" t="s">
        <v>41</v>
      </c>
      <c r="I622" s="4" t="s">
        <v>69</v>
      </c>
      <c r="J622" s="4" t="s">
        <v>32</v>
      </c>
      <c r="K622" s="4" t="s">
        <v>2672</v>
      </c>
      <c r="L622" s="4" t="str">
        <f t="shared" si="9"/>
        <v>Different owner</v>
      </c>
    </row>
    <row r="623" spans="1:12" ht="15" customHeight="1" x14ac:dyDescent="0.3">
      <c r="A623" s="4" t="s">
        <v>2674</v>
      </c>
      <c r="B623" s="4" t="s">
        <v>2671</v>
      </c>
      <c r="C623" s="4" t="s">
        <v>2675</v>
      </c>
      <c r="D623" s="4" t="s">
        <v>2676</v>
      </c>
      <c r="E623" s="4" t="s">
        <v>66</v>
      </c>
      <c r="F623" s="4" t="s">
        <v>2673</v>
      </c>
      <c r="G623" s="4" t="s">
        <v>58</v>
      </c>
      <c r="H623" s="4" t="s">
        <v>41</v>
      </c>
      <c r="I623" s="4" t="s">
        <v>69</v>
      </c>
      <c r="J623" s="4" t="s">
        <v>32</v>
      </c>
      <c r="K623" s="4" t="s">
        <v>2672</v>
      </c>
      <c r="L623" s="4" t="str">
        <f t="shared" si="9"/>
        <v>Different owner &amp; contact</v>
      </c>
    </row>
    <row r="624" spans="1:12" ht="15" customHeight="1" x14ac:dyDescent="0.3">
      <c r="A624" s="4" t="s">
        <v>2677</v>
      </c>
      <c r="B624" s="4" t="s">
        <v>2678</v>
      </c>
      <c r="C624" s="4" t="s">
        <v>2679</v>
      </c>
      <c r="D624" s="4" t="s">
        <v>2680</v>
      </c>
      <c r="E624" s="4" t="s">
        <v>27</v>
      </c>
      <c r="F624" s="4" t="s">
        <v>2681</v>
      </c>
      <c r="G624" s="4" t="s">
        <v>84</v>
      </c>
      <c r="H624" s="4" t="s">
        <v>68</v>
      </c>
      <c r="I624" s="4" t="s">
        <v>299</v>
      </c>
      <c r="J624" s="4" t="s">
        <v>34</v>
      </c>
      <c r="K624" s="4" t="s">
        <v>2682</v>
      </c>
      <c r="L624" s="4" t="str">
        <f t="shared" si="9"/>
        <v>Different owner &amp; contact</v>
      </c>
    </row>
    <row r="625" spans="1:12" ht="15" customHeight="1" x14ac:dyDescent="0.3">
      <c r="A625" s="4" t="s">
        <v>2683</v>
      </c>
      <c r="B625" s="4" t="s">
        <v>2684</v>
      </c>
      <c r="C625" s="4" t="s">
        <v>2685</v>
      </c>
      <c r="D625" s="4"/>
      <c r="E625" s="4" t="s">
        <v>91</v>
      </c>
      <c r="F625" s="4" t="s">
        <v>2686</v>
      </c>
      <c r="G625" s="4" t="s">
        <v>138</v>
      </c>
      <c r="H625" s="4" t="s">
        <v>41</v>
      </c>
      <c r="I625" s="4" t="s">
        <v>883</v>
      </c>
      <c r="J625" s="4" t="s">
        <v>32</v>
      </c>
      <c r="K625" s="4" t="s">
        <v>2685</v>
      </c>
      <c r="L625" s="4" t="str">
        <f t="shared" si="9"/>
        <v>Different owner</v>
      </c>
    </row>
    <row r="626" spans="1:12" ht="15" customHeight="1" x14ac:dyDescent="0.3">
      <c r="A626" s="4" t="s">
        <v>2687</v>
      </c>
      <c r="B626" s="4" t="s">
        <v>2688</v>
      </c>
      <c r="C626" s="4" t="s">
        <v>2689</v>
      </c>
      <c r="D626" s="4" t="s">
        <v>2690</v>
      </c>
      <c r="E626" s="4" t="s">
        <v>27</v>
      </c>
      <c r="F626" s="4" t="s">
        <v>2691</v>
      </c>
      <c r="G626" s="4" t="s">
        <v>58</v>
      </c>
      <c r="H626" s="4" t="s">
        <v>68</v>
      </c>
      <c r="I626" s="4" t="s">
        <v>93</v>
      </c>
      <c r="J626" s="4" t="s">
        <v>52</v>
      </c>
      <c r="K626" s="4" t="s">
        <v>2692</v>
      </c>
      <c r="L626" s="4" t="str">
        <f t="shared" si="9"/>
        <v>Different owner &amp; contact</v>
      </c>
    </row>
    <row r="627" spans="1:12" ht="15" customHeight="1" x14ac:dyDescent="0.3">
      <c r="A627" s="4" t="s">
        <v>2693</v>
      </c>
      <c r="B627" s="4" t="s">
        <v>2694</v>
      </c>
      <c r="C627" s="4" t="s">
        <v>2695</v>
      </c>
      <c r="D627" s="4" t="s">
        <v>2696</v>
      </c>
      <c r="E627" s="4" t="s">
        <v>27</v>
      </c>
      <c r="F627" s="4" t="s">
        <v>2697</v>
      </c>
      <c r="G627" s="4" t="s">
        <v>124</v>
      </c>
      <c r="H627" s="4" t="s">
        <v>30</v>
      </c>
      <c r="I627" s="4" t="s">
        <v>125</v>
      </c>
      <c r="J627" s="4" t="s">
        <v>52</v>
      </c>
      <c r="K627" s="4" t="s">
        <v>2698</v>
      </c>
      <c r="L627" s="4" t="str">
        <f t="shared" si="9"/>
        <v>Different owner &amp; contact</v>
      </c>
    </row>
    <row r="628" spans="1:12" ht="15" customHeight="1" x14ac:dyDescent="0.3">
      <c r="A628" s="4" t="s">
        <v>2699</v>
      </c>
      <c r="B628" s="4" t="s">
        <v>2694</v>
      </c>
      <c r="C628" s="4" t="s">
        <v>2700</v>
      </c>
      <c r="D628" s="4"/>
      <c r="E628" s="4" t="s">
        <v>27</v>
      </c>
      <c r="F628" s="4" t="s">
        <v>2697</v>
      </c>
      <c r="G628" s="4" t="s">
        <v>124</v>
      </c>
      <c r="H628" s="4" t="s">
        <v>30</v>
      </c>
      <c r="I628" s="4" t="s">
        <v>125</v>
      </c>
      <c r="J628" s="4" t="s">
        <v>52</v>
      </c>
      <c r="K628" s="4" t="s">
        <v>2698</v>
      </c>
      <c r="L628" s="4" t="str">
        <f t="shared" si="9"/>
        <v>Different owner &amp; contact</v>
      </c>
    </row>
    <row r="629" spans="1:12" ht="15" customHeight="1" x14ac:dyDescent="0.3">
      <c r="A629" s="4" t="s">
        <v>2701</v>
      </c>
      <c r="B629" s="4" t="s">
        <v>2702</v>
      </c>
      <c r="C629" s="4" t="s">
        <v>2703</v>
      </c>
      <c r="D629" s="4" t="s">
        <v>2704</v>
      </c>
      <c r="E629" s="4" t="s">
        <v>106</v>
      </c>
      <c r="F629" s="4" t="s">
        <v>2705</v>
      </c>
      <c r="G629" s="4" t="s">
        <v>124</v>
      </c>
      <c r="H629" s="4" t="s">
        <v>68</v>
      </c>
      <c r="I629" s="4" t="s">
        <v>1107</v>
      </c>
      <c r="J629" s="4" t="s">
        <v>106</v>
      </c>
      <c r="K629" s="4" t="s">
        <v>2706</v>
      </c>
      <c r="L629" s="4" t="str">
        <f t="shared" si="9"/>
        <v>Different contact</v>
      </c>
    </row>
    <row r="630" spans="1:12" ht="15" customHeight="1" x14ac:dyDescent="0.3">
      <c r="A630" s="4" t="s">
        <v>2707</v>
      </c>
      <c r="B630" s="4" t="s">
        <v>2708</v>
      </c>
      <c r="C630" s="4" t="s">
        <v>2709</v>
      </c>
      <c r="D630" s="4" t="s">
        <v>2710</v>
      </c>
      <c r="E630" s="4" t="s">
        <v>91</v>
      </c>
      <c r="F630" s="4" t="s">
        <v>2711</v>
      </c>
      <c r="G630" s="4" t="s">
        <v>49</v>
      </c>
      <c r="H630" s="4" t="s">
        <v>30</v>
      </c>
      <c r="I630" s="4" t="s">
        <v>125</v>
      </c>
      <c r="J630" s="4" t="s">
        <v>94</v>
      </c>
      <c r="K630" s="4" t="s">
        <v>2712</v>
      </c>
      <c r="L630" s="4" t="str">
        <f t="shared" si="9"/>
        <v>Different owner &amp; contact</v>
      </c>
    </row>
    <row r="631" spans="1:12" ht="15" customHeight="1" x14ac:dyDescent="0.3">
      <c r="A631" s="4" t="s">
        <v>1203</v>
      </c>
      <c r="B631" s="4" t="s">
        <v>2708</v>
      </c>
      <c r="C631" s="4"/>
      <c r="D631" s="4" t="s">
        <v>2710</v>
      </c>
      <c r="E631" s="4" t="s">
        <v>385</v>
      </c>
      <c r="F631" s="4" t="s">
        <v>2711</v>
      </c>
      <c r="G631" s="4" t="s">
        <v>49</v>
      </c>
      <c r="H631" s="4" t="s">
        <v>30</v>
      </c>
      <c r="I631" s="4" t="s">
        <v>125</v>
      </c>
      <c r="J631" s="4" t="s">
        <v>94</v>
      </c>
      <c r="K631" s="4" t="s">
        <v>2712</v>
      </c>
      <c r="L631" s="4" t="str">
        <f t="shared" si="9"/>
        <v>Different owner &amp; contact</v>
      </c>
    </row>
    <row r="632" spans="1:12" ht="15" customHeight="1" x14ac:dyDescent="0.3">
      <c r="A632" s="4" t="s">
        <v>2713</v>
      </c>
      <c r="B632" s="4" t="s">
        <v>2714</v>
      </c>
      <c r="C632" s="4" t="s">
        <v>2715</v>
      </c>
      <c r="D632" s="4" t="s">
        <v>2716</v>
      </c>
      <c r="E632" s="4" t="s">
        <v>66</v>
      </c>
      <c r="F632" s="4" t="s">
        <v>2717</v>
      </c>
      <c r="G632" s="4" t="s">
        <v>130</v>
      </c>
      <c r="H632" s="4" t="s">
        <v>41</v>
      </c>
      <c r="I632" s="4" t="s">
        <v>228</v>
      </c>
      <c r="J632" s="4" t="s">
        <v>32</v>
      </c>
      <c r="K632" s="4" t="s">
        <v>2718</v>
      </c>
      <c r="L632" s="4" t="str">
        <f t="shared" si="9"/>
        <v>Different owner &amp; contact</v>
      </c>
    </row>
    <row r="633" spans="1:12" ht="15" customHeight="1" x14ac:dyDescent="0.3">
      <c r="A633" s="4" t="s">
        <v>2719</v>
      </c>
      <c r="B633" s="4" t="s">
        <v>2714</v>
      </c>
      <c r="C633" s="4" t="s">
        <v>2720</v>
      </c>
      <c r="D633" s="4" t="s">
        <v>2721</v>
      </c>
      <c r="E633" s="4" t="s">
        <v>66</v>
      </c>
      <c r="F633" s="4" t="s">
        <v>2717</v>
      </c>
      <c r="G633" s="4" t="s">
        <v>130</v>
      </c>
      <c r="H633" s="4" t="s">
        <v>41</v>
      </c>
      <c r="I633" s="4" t="s">
        <v>228</v>
      </c>
      <c r="J633" s="4" t="s">
        <v>32</v>
      </c>
      <c r="K633" s="4" t="s">
        <v>2718</v>
      </c>
      <c r="L633" s="4" t="str">
        <f t="shared" si="9"/>
        <v>Different owner &amp; contact</v>
      </c>
    </row>
    <row r="634" spans="1:12" ht="15" customHeight="1" x14ac:dyDescent="0.3">
      <c r="A634" s="4" t="s">
        <v>2722</v>
      </c>
      <c r="B634" s="4" t="s">
        <v>2714</v>
      </c>
      <c r="C634" s="4" t="s">
        <v>2723</v>
      </c>
      <c r="D634" s="4"/>
      <c r="E634" s="4" t="s">
        <v>66</v>
      </c>
      <c r="F634" s="4" t="s">
        <v>2717</v>
      </c>
      <c r="G634" s="4" t="s">
        <v>130</v>
      </c>
      <c r="H634" s="4" t="s">
        <v>41</v>
      </c>
      <c r="I634" s="4" t="s">
        <v>228</v>
      </c>
      <c r="J634" s="4" t="s">
        <v>32</v>
      </c>
      <c r="K634" s="4" t="s">
        <v>2718</v>
      </c>
      <c r="L634" s="4" t="str">
        <f t="shared" si="9"/>
        <v>Different owner &amp; contact</v>
      </c>
    </row>
    <row r="635" spans="1:12" ht="15" customHeight="1" x14ac:dyDescent="0.3">
      <c r="A635" s="4" t="s">
        <v>2724</v>
      </c>
      <c r="B635" s="4" t="s">
        <v>2725</v>
      </c>
      <c r="C635" s="4" t="s">
        <v>2726</v>
      </c>
      <c r="D635" s="4" t="s">
        <v>2727</v>
      </c>
      <c r="E635" s="4" t="s">
        <v>172</v>
      </c>
      <c r="F635" s="4" t="s">
        <v>2728</v>
      </c>
      <c r="G635" s="4" t="s">
        <v>130</v>
      </c>
      <c r="H635" s="4" t="s">
        <v>174</v>
      </c>
      <c r="I635" s="4" t="s">
        <v>175</v>
      </c>
      <c r="J635" s="4" t="s">
        <v>176</v>
      </c>
      <c r="K635" s="4" t="s">
        <v>2729</v>
      </c>
      <c r="L635" s="4" t="str">
        <f t="shared" si="9"/>
        <v>Different owner &amp; contact</v>
      </c>
    </row>
    <row r="636" spans="1:12" ht="15" customHeight="1" x14ac:dyDescent="0.3">
      <c r="A636" s="4" t="s">
        <v>2730</v>
      </c>
      <c r="B636" s="4" t="s">
        <v>2725</v>
      </c>
      <c r="C636" s="4" t="s">
        <v>2731</v>
      </c>
      <c r="D636" s="4" t="s">
        <v>2727</v>
      </c>
      <c r="E636" s="4" t="s">
        <v>172</v>
      </c>
      <c r="F636" s="4" t="s">
        <v>2728</v>
      </c>
      <c r="G636" s="4" t="s">
        <v>130</v>
      </c>
      <c r="H636" s="4" t="s">
        <v>174</v>
      </c>
      <c r="I636" s="4" t="s">
        <v>175</v>
      </c>
      <c r="J636" s="4" t="s">
        <v>176</v>
      </c>
      <c r="K636" s="4" t="s">
        <v>2729</v>
      </c>
      <c r="L636" s="4" t="str">
        <f t="shared" si="9"/>
        <v>Different owner &amp; contact</v>
      </c>
    </row>
    <row r="637" spans="1:12" ht="15" customHeight="1" x14ac:dyDescent="0.3">
      <c r="A637" s="4" t="s">
        <v>2732</v>
      </c>
      <c r="B637" s="4" t="s">
        <v>2733</v>
      </c>
      <c r="C637" s="4" t="s">
        <v>2734</v>
      </c>
      <c r="D637" s="4" t="s">
        <v>1365</v>
      </c>
      <c r="E637" s="4" t="s">
        <v>52</v>
      </c>
      <c r="F637" s="4" t="s">
        <v>2735</v>
      </c>
      <c r="G637" s="4" t="s">
        <v>29</v>
      </c>
      <c r="H637" s="4" t="s">
        <v>68</v>
      </c>
      <c r="I637" s="4" t="s">
        <v>2736</v>
      </c>
      <c r="J637" s="4" t="s">
        <v>32</v>
      </c>
      <c r="K637" s="4" t="s">
        <v>2737</v>
      </c>
      <c r="L637" s="4" t="str">
        <f t="shared" si="9"/>
        <v>Different owner &amp; contact</v>
      </c>
    </row>
    <row r="638" spans="1:12" ht="15" customHeight="1" x14ac:dyDescent="0.3">
      <c r="A638" s="4" t="s">
        <v>2738</v>
      </c>
      <c r="B638" s="4" t="s">
        <v>2733</v>
      </c>
      <c r="C638" s="4" t="s">
        <v>2739</v>
      </c>
      <c r="D638" s="4"/>
      <c r="E638" s="4" t="s">
        <v>52</v>
      </c>
      <c r="F638" s="4" t="s">
        <v>2735</v>
      </c>
      <c r="G638" s="4" t="s">
        <v>29</v>
      </c>
      <c r="H638" s="4" t="s">
        <v>68</v>
      </c>
      <c r="I638" s="4" t="s">
        <v>2736</v>
      </c>
      <c r="J638" s="4" t="s">
        <v>32</v>
      </c>
      <c r="K638" s="4" t="s">
        <v>2737</v>
      </c>
      <c r="L638" s="4" t="str">
        <f t="shared" si="9"/>
        <v>Different owner &amp; contact</v>
      </c>
    </row>
    <row r="639" spans="1:12" ht="15" customHeight="1" x14ac:dyDescent="0.3">
      <c r="A639" s="4" t="s">
        <v>2740</v>
      </c>
      <c r="B639" s="4" t="s">
        <v>2741</v>
      </c>
      <c r="C639" s="4" t="s">
        <v>2742</v>
      </c>
      <c r="D639" s="4"/>
      <c r="E639" s="4" t="s">
        <v>91</v>
      </c>
      <c r="F639" s="4" t="s">
        <v>2743</v>
      </c>
      <c r="G639" s="4" t="s">
        <v>84</v>
      </c>
      <c r="H639" s="4" t="s">
        <v>68</v>
      </c>
      <c r="I639" s="4" t="s">
        <v>299</v>
      </c>
      <c r="J639" s="4" t="s">
        <v>32</v>
      </c>
      <c r="K639" s="4" t="s">
        <v>2742</v>
      </c>
      <c r="L639" s="4" t="str">
        <f t="shared" si="9"/>
        <v>Different owner</v>
      </c>
    </row>
    <row r="640" spans="1:12" ht="15" customHeight="1" x14ac:dyDescent="0.3">
      <c r="A640" s="4" t="s">
        <v>2744</v>
      </c>
      <c r="B640" s="4" t="s">
        <v>2741</v>
      </c>
      <c r="C640" s="4"/>
      <c r="D640" s="4" t="s">
        <v>2745</v>
      </c>
      <c r="E640" s="4" t="s">
        <v>385</v>
      </c>
      <c r="F640" s="4" t="s">
        <v>2743</v>
      </c>
      <c r="G640" s="4" t="s">
        <v>84</v>
      </c>
      <c r="H640" s="4" t="s">
        <v>68</v>
      </c>
      <c r="I640" s="4" t="s">
        <v>299</v>
      </c>
      <c r="J640" s="4" t="s">
        <v>32</v>
      </c>
      <c r="K640" s="4" t="s">
        <v>2742</v>
      </c>
      <c r="L640" s="4" t="str">
        <f t="shared" si="9"/>
        <v>Different owner &amp; contact</v>
      </c>
    </row>
    <row r="641" spans="1:12" ht="15" customHeight="1" x14ac:dyDescent="0.3">
      <c r="A641" s="4" t="s">
        <v>2746</v>
      </c>
      <c r="B641" s="4" t="s">
        <v>2741</v>
      </c>
      <c r="C641" s="4" t="s">
        <v>2747</v>
      </c>
      <c r="D641" s="4" t="s">
        <v>2748</v>
      </c>
      <c r="E641" s="4" t="s">
        <v>91</v>
      </c>
      <c r="F641" s="4" t="s">
        <v>2743</v>
      </c>
      <c r="G641" s="4" t="s">
        <v>84</v>
      </c>
      <c r="H641" s="4" t="s">
        <v>68</v>
      </c>
      <c r="I641" s="4" t="s">
        <v>299</v>
      </c>
      <c r="J641" s="4" t="s">
        <v>32</v>
      </c>
      <c r="K641" s="4" t="s">
        <v>2742</v>
      </c>
      <c r="L641" s="4" t="str">
        <f t="shared" si="9"/>
        <v>Different owner &amp; contact</v>
      </c>
    </row>
    <row r="642" spans="1:12" ht="15" customHeight="1" x14ac:dyDescent="0.3">
      <c r="A642" s="4" t="s">
        <v>2749</v>
      </c>
      <c r="B642" s="4" t="s">
        <v>2750</v>
      </c>
      <c r="C642" s="4"/>
      <c r="D642" s="4" t="s">
        <v>2751</v>
      </c>
      <c r="E642" s="4" t="s">
        <v>34</v>
      </c>
      <c r="F642" s="4" t="s">
        <v>2752</v>
      </c>
      <c r="G642" s="4" t="s">
        <v>40</v>
      </c>
      <c r="H642" s="4" t="s">
        <v>68</v>
      </c>
      <c r="I642" s="4" t="s">
        <v>101</v>
      </c>
      <c r="J642" s="4" t="s">
        <v>34</v>
      </c>
      <c r="K642" s="4" t="s">
        <v>2753</v>
      </c>
      <c r="L642" s="4" t="str">
        <f t="shared" ref="L642:L705" si="10">IF(AND(TRIM(LOWER(E642))=TRIM(LOWER(J642)),TRIM(LOWER(C642))=TRIM(LOWER(K642))),"Match",IF(AND(NOT(TRIM(LOWER(E642))=TRIM(LOWER(J642))),TRIM(LOWER(C642))=TRIM(LOWER(K642))),"Different owner",IF(AND(TRIM(LOWER(E642))=TRIM(LOWER(J642)),NOT(TRIM(LOWER(C642))=TRIM(LOWER(K642)))),"Different contact","Different owner &amp; contact")))</f>
        <v>Different contact</v>
      </c>
    </row>
    <row r="643" spans="1:12" ht="15" customHeight="1" x14ac:dyDescent="0.3">
      <c r="A643" s="4" t="s">
        <v>2754</v>
      </c>
      <c r="B643" s="4" t="s">
        <v>2755</v>
      </c>
      <c r="C643" s="4" t="s">
        <v>2756</v>
      </c>
      <c r="D643" s="4" t="s">
        <v>2757</v>
      </c>
      <c r="E643" s="4" t="s">
        <v>91</v>
      </c>
      <c r="F643" s="4" t="s">
        <v>2758</v>
      </c>
      <c r="G643" s="4" t="s">
        <v>58</v>
      </c>
      <c r="H643" s="4" t="s">
        <v>41</v>
      </c>
      <c r="I643" s="4" t="s">
        <v>734</v>
      </c>
      <c r="J643" s="4" t="s">
        <v>94</v>
      </c>
      <c r="K643" s="4" t="s">
        <v>2759</v>
      </c>
      <c r="L643" s="4" t="str">
        <f t="shared" si="10"/>
        <v>Different owner &amp; contact</v>
      </c>
    </row>
    <row r="644" spans="1:12" ht="15" customHeight="1" x14ac:dyDescent="0.3">
      <c r="A644" s="4" t="s">
        <v>2760</v>
      </c>
      <c r="B644" s="4" t="s">
        <v>2755</v>
      </c>
      <c r="C644" s="4"/>
      <c r="D644" s="4"/>
      <c r="E644" s="4" t="s">
        <v>385</v>
      </c>
      <c r="F644" s="4" t="s">
        <v>2758</v>
      </c>
      <c r="G644" s="4" t="s">
        <v>58</v>
      </c>
      <c r="H644" s="4" t="s">
        <v>41</v>
      </c>
      <c r="I644" s="4" t="s">
        <v>734</v>
      </c>
      <c r="J644" s="4" t="s">
        <v>94</v>
      </c>
      <c r="K644" s="4" t="s">
        <v>2759</v>
      </c>
      <c r="L644" s="4" t="str">
        <f t="shared" si="10"/>
        <v>Different owner &amp; contact</v>
      </c>
    </row>
    <row r="645" spans="1:12" ht="15" customHeight="1" x14ac:dyDescent="0.3">
      <c r="A645" s="4" t="s">
        <v>2761</v>
      </c>
      <c r="B645" s="4" t="s">
        <v>2762</v>
      </c>
      <c r="C645" s="4" t="s">
        <v>2763</v>
      </c>
      <c r="D645" s="4" t="s">
        <v>2764</v>
      </c>
      <c r="E645" s="4" t="s">
        <v>27</v>
      </c>
      <c r="F645" s="4" t="s">
        <v>2765</v>
      </c>
      <c r="G645" s="4" t="s">
        <v>84</v>
      </c>
      <c r="H645" s="4" t="s">
        <v>41</v>
      </c>
      <c r="I645" s="4" t="s">
        <v>509</v>
      </c>
      <c r="J645" s="4" t="s">
        <v>60</v>
      </c>
      <c r="K645" s="4"/>
      <c r="L645" s="4" t="str">
        <f t="shared" si="10"/>
        <v>Different owner &amp; contact</v>
      </c>
    </row>
    <row r="646" spans="1:12" ht="15" customHeight="1" x14ac:dyDescent="0.3">
      <c r="A646" s="4" t="s">
        <v>2766</v>
      </c>
      <c r="B646" s="4" t="s">
        <v>2767</v>
      </c>
      <c r="C646" s="4" t="s">
        <v>2768</v>
      </c>
      <c r="D646" s="4" t="s">
        <v>2769</v>
      </c>
      <c r="E646" s="4" t="s">
        <v>27</v>
      </c>
      <c r="F646" s="4" t="s">
        <v>2770</v>
      </c>
      <c r="G646" s="4" t="s">
        <v>58</v>
      </c>
      <c r="H646" s="4" t="s">
        <v>41</v>
      </c>
      <c r="I646" s="4" t="s">
        <v>2771</v>
      </c>
      <c r="J646" s="4" t="s">
        <v>394</v>
      </c>
      <c r="K646" s="4" t="s">
        <v>2772</v>
      </c>
      <c r="L646" s="4" t="str">
        <f t="shared" si="10"/>
        <v>Different owner &amp; contact</v>
      </c>
    </row>
    <row r="647" spans="1:12" ht="15" customHeight="1" x14ac:dyDescent="0.3">
      <c r="A647" s="4" t="s">
        <v>2773</v>
      </c>
      <c r="B647" s="4" t="s">
        <v>2767</v>
      </c>
      <c r="C647" s="4" t="s">
        <v>2772</v>
      </c>
      <c r="D647" s="4" t="s">
        <v>2774</v>
      </c>
      <c r="E647" s="4" t="s">
        <v>27</v>
      </c>
      <c r="F647" s="4" t="s">
        <v>2770</v>
      </c>
      <c r="G647" s="4" t="s">
        <v>58</v>
      </c>
      <c r="H647" s="4" t="s">
        <v>41</v>
      </c>
      <c r="I647" s="4" t="s">
        <v>2771</v>
      </c>
      <c r="J647" s="4" t="s">
        <v>394</v>
      </c>
      <c r="K647" s="4" t="s">
        <v>2772</v>
      </c>
      <c r="L647" s="4" t="str">
        <f t="shared" si="10"/>
        <v>Different owner</v>
      </c>
    </row>
    <row r="648" spans="1:12" ht="15" customHeight="1" x14ac:dyDescent="0.3">
      <c r="A648" s="4" t="s">
        <v>2775</v>
      </c>
      <c r="B648" s="4" t="s">
        <v>2776</v>
      </c>
      <c r="C648" s="4" t="s">
        <v>2777</v>
      </c>
      <c r="D648" s="4"/>
      <c r="E648" s="4" t="s">
        <v>56</v>
      </c>
      <c r="F648" s="4" t="s">
        <v>2778</v>
      </c>
      <c r="G648" s="4" t="s">
        <v>138</v>
      </c>
      <c r="H648" s="4" t="s">
        <v>68</v>
      </c>
      <c r="I648" s="4" t="s">
        <v>175</v>
      </c>
      <c r="J648" s="4" t="s">
        <v>32</v>
      </c>
      <c r="K648" s="4" t="s">
        <v>2777</v>
      </c>
      <c r="L648" s="4" t="str">
        <f t="shared" si="10"/>
        <v>Different owner</v>
      </c>
    </row>
    <row r="649" spans="1:12" ht="15" customHeight="1" x14ac:dyDescent="0.3">
      <c r="A649" s="4" t="s">
        <v>2779</v>
      </c>
      <c r="B649" s="4" t="s">
        <v>2780</v>
      </c>
      <c r="C649" s="4" t="s">
        <v>2781</v>
      </c>
      <c r="D649" s="4" t="s">
        <v>2782</v>
      </c>
      <c r="E649" s="4" t="s">
        <v>172</v>
      </c>
      <c r="F649" s="4" t="s">
        <v>2783</v>
      </c>
      <c r="G649" s="4" t="s">
        <v>49</v>
      </c>
      <c r="H649" s="4" t="s">
        <v>174</v>
      </c>
      <c r="I649" s="4" t="s">
        <v>175</v>
      </c>
      <c r="J649" s="4" t="s">
        <v>176</v>
      </c>
      <c r="K649" s="4" t="s">
        <v>2781</v>
      </c>
      <c r="L649" s="4" t="str">
        <f t="shared" si="10"/>
        <v>Different owner</v>
      </c>
    </row>
    <row r="650" spans="1:12" ht="15" customHeight="1" x14ac:dyDescent="0.3">
      <c r="A650" s="4" t="s">
        <v>2784</v>
      </c>
      <c r="B650" s="4" t="s">
        <v>2780</v>
      </c>
      <c r="C650" s="4" t="s">
        <v>2785</v>
      </c>
      <c r="D650" s="4" t="s">
        <v>2786</v>
      </c>
      <c r="E650" s="4" t="s">
        <v>172</v>
      </c>
      <c r="F650" s="4" t="s">
        <v>2783</v>
      </c>
      <c r="G650" s="4" t="s">
        <v>49</v>
      </c>
      <c r="H650" s="4" t="s">
        <v>174</v>
      </c>
      <c r="I650" s="4" t="s">
        <v>175</v>
      </c>
      <c r="J650" s="4" t="s">
        <v>176</v>
      </c>
      <c r="K650" s="4" t="s">
        <v>2781</v>
      </c>
      <c r="L650" s="4" t="str">
        <f t="shared" si="10"/>
        <v>Different owner &amp; contact</v>
      </c>
    </row>
    <row r="651" spans="1:12" ht="15" customHeight="1" x14ac:dyDescent="0.3">
      <c r="A651" s="4" t="s">
        <v>2787</v>
      </c>
      <c r="B651" s="4" t="s">
        <v>2780</v>
      </c>
      <c r="C651" s="4" t="s">
        <v>2788</v>
      </c>
      <c r="D651" s="4" t="s">
        <v>2789</v>
      </c>
      <c r="E651" s="4" t="s">
        <v>172</v>
      </c>
      <c r="F651" s="4" t="s">
        <v>2783</v>
      </c>
      <c r="G651" s="4" t="s">
        <v>49</v>
      </c>
      <c r="H651" s="4" t="s">
        <v>174</v>
      </c>
      <c r="I651" s="4" t="s">
        <v>175</v>
      </c>
      <c r="J651" s="4" t="s">
        <v>176</v>
      </c>
      <c r="K651" s="4" t="s">
        <v>2781</v>
      </c>
      <c r="L651" s="4" t="str">
        <f t="shared" si="10"/>
        <v>Different owner &amp; contact</v>
      </c>
    </row>
    <row r="652" spans="1:12" ht="15" customHeight="1" x14ac:dyDescent="0.3">
      <c r="A652" s="4" t="s">
        <v>2790</v>
      </c>
      <c r="B652" s="4" t="s">
        <v>2791</v>
      </c>
      <c r="C652" s="4"/>
      <c r="D652" s="4"/>
      <c r="E652" s="4" t="s">
        <v>34</v>
      </c>
      <c r="F652" s="4" t="s">
        <v>2792</v>
      </c>
      <c r="G652" s="4" t="s">
        <v>361</v>
      </c>
      <c r="H652" s="4" t="s">
        <v>41</v>
      </c>
      <c r="I652" s="4" t="s">
        <v>42</v>
      </c>
      <c r="J652" s="4" t="s">
        <v>34</v>
      </c>
      <c r="K652" s="4" t="s">
        <v>2793</v>
      </c>
      <c r="L652" s="4" t="str">
        <f t="shared" si="10"/>
        <v>Different contact</v>
      </c>
    </row>
    <row r="653" spans="1:12" ht="15" customHeight="1" x14ac:dyDescent="0.3">
      <c r="A653" s="4" t="s">
        <v>2794</v>
      </c>
      <c r="B653" s="4" t="s">
        <v>2791</v>
      </c>
      <c r="C653" s="4" t="s">
        <v>2793</v>
      </c>
      <c r="D653" s="4"/>
      <c r="E653" s="4" t="s">
        <v>343</v>
      </c>
      <c r="F653" s="4" t="s">
        <v>2792</v>
      </c>
      <c r="G653" s="4" t="s">
        <v>361</v>
      </c>
      <c r="H653" s="4" t="s">
        <v>41</v>
      </c>
      <c r="I653" s="4" t="s">
        <v>42</v>
      </c>
      <c r="J653" s="4" t="s">
        <v>34</v>
      </c>
      <c r="K653" s="4" t="s">
        <v>2793</v>
      </c>
      <c r="L653" s="4" t="str">
        <f t="shared" si="10"/>
        <v>Different owner</v>
      </c>
    </row>
    <row r="654" spans="1:12" ht="15" customHeight="1" x14ac:dyDescent="0.3">
      <c r="A654" s="4" t="s">
        <v>2795</v>
      </c>
      <c r="B654" s="4" t="s">
        <v>2791</v>
      </c>
      <c r="C654" s="4" t="s">
        <v>2796</v>
      </c>
      <c r="D654" s="4"/>
      <c r="E654" s="4" t="s">
        <v>56</v>
      </c>
      <c r="F654" s="4" t="s">
        <v>2792</v>
      </c>
      <c r="G654" s="4" t="s">
        <v>361</v>
      </c>
      <c r="H654" s="4" t="s">
        <v>41</v>
      </c>
      <c r="I654" s="4" t="s">
        <v>42</v>
      </c>
      <c r="J654" s="4" t="s">
        <v>34</v>
      </c>
      <c r="K654" s="4" t="s">
        <v>2793</v>
      </c>
      <c r="L654" s="4" t="str">
        <f t="shared" si="10"/>
        <v>Different owner &amp; contact</v>
      </c>
    </row>
    <row r="655" spans="1:12" ht="15" customHeight="1" x14ac:dyDescent="0.3">
      <c r="A655" s="4" t="s">
        <v>2797</v>
      </c>
      <c r="B655" s="4" t="s">
        <v>2798</v>
      </c>
      <c r="C655" s="4" t="s">
        <v>2799</v>
      </c>
      <c r="D655" s="4" t="s">
        <v>2800</v>
      </c>
      <c r="E655" s="4" t="s">
        <v>172</v>
      </c>
      <c r="F655" s="4" t="s">
        <v>2801</v>
      </c>
      <c r="G655" s="4" t="s">
        <v>138</v>
      </c>
      <c r="H655" s="4" t="s">
        <v>2380</v>
      </c>
      <c r="I655" s="4" t="s">
        <v>2380</v>
      </c>
      <c r="J655" s="4" t="s">
        <v>176</v>
      </c>
      <c r="K655" s="4" t="s">
        <v>2802</v>
      </c>
      <c r="L655" s="4" t="str">
        <f t="shared" si="10"/>
        <v>Different owner &amp; contact</v>
      </c>
    </row>
    <row r="656" spans="1:12" ht="15" customHeight="1" x14ac:dyDescent="0.3">
      <c r="A656" s="4" t="s">
        <v>2803</v>
      </c>
      <c r="B656" s="4" t="s">
        <v>2798</v>
      </c>
      <c r="C656" s="4"/>
      <c r="D656" s="4" t="s">
        <v>2800</v>
      </c>
      <c r="E656" s="4" t="s">
        <v>172</v>
      </c>
      <c r="F656" s="4" t="s">
        <v>2801</v>
      </c>
      <c r="G656" s="4" t="s">
        <v>138</v>
      </c>
      <c r="H656" s="4" t="s">
        <v>2380</v>
      </c>
      <c r="I656" s="4" t="s">
        <v>2380</v>
      </c>
      <c r="J656" s="4" t="s">
        <v>176</v>
      </c>
      <c r="K656" s="4" t="s">
        <v>2802</v>
      </c>
      <c r="L656" s="4" t="str">
        <f t="shared" si="10"/>
        <v>Different owner &amp; contact</v>
      </c>
    </row>
    <row r="657" spans="1:12" ht="15" customHeight="1" x14ac:dyDescent="0.3">
      <c r="A657" s="4" t="s">
        <v>2804</v>
      </c>
      <c r="B657" s="4" t="s">
        <v>2805</v>
      </c>
      <c r="C657" s="4" t="s">
        <v>2806</v>
      </c>
      <c r="D657" s="4" t="s">
        <v>2807</v>
      </c>
      <c r="E657" s="4" t="s">
        <v>91</v>
      </c>
      <c r="F657" s="4" t="s">
        <v>2808</v>
      </c>
      <c r="G657" s="4" t="s">
        <v>58</v>
      </c>
      <c r="H657" s="4" t="s">
        <v>68</v>
      </c>
      <c r="I657" s="4" t="s">
        <v>299</v>
      </c>
      <c r="J657" s="4" t="s">
        <v>32</v>
      </c>
      <c r="K657" s="4" t="s">
        <v>2809</v>
      </c>
      <c r="L657" s="4" t="str">
        <f t="shared" si="10"/>
        <v>Different owner &amp; contact</v>
      </c>
    </row>
    <row r="658" spans="1:12" ht="15" customHeight="1" x14ac:dyDescent="0.3">
      <c r="A658" s="4" t="s">
        <v>785</v>
      </c>
      <c r="B658" s="4" t="s">
        <v>2810</v>
      </c>
      <c r="C658" s="4"/>
      <c r="D658" s="4" t="s">
        <v>2811</v>
      </c>
      <c r="E658" s="4" t="s">
        <v>385</v>
      </c>
      <c r="F658" s="4" t="s">
        <v>2812</v>
      </c>
      <c r="G658" s="4" t="s">
        <v>124</v>
      </c>
      <c r="H658" s="4" t="s">
        <v>41</v>
      </c>
      <c r="I658" s="4" t="s">
        <v>538</v>
      </c>
      <c r="J658" s="4" t="s">
        <v>52</v>
      </c>
      <c r="K658" s="4" t="s">
        <v>2813</v>
      </c>
      <c r="L658" s="4" t="str">
        <f t="shared" si="10"/>
        <v>Different owner &amp; contact</v>
      </c>
    </row>
    <row r="659" spans="1:12" ht="15" customHeight="1" x14ac:dyDescent="0.3">
      <c r="A659" s="4" t="s">
        <v>2814</v>
      </c>
      <c r="B659" s="4" t="s">
        <v>2810</v>
      </c>
      <c r="C659" s="4" t="s">
        <v>2815</v>
      </c>
      <c r="D659" s="4" t="s">
        <v>2816</v>
      </c>
      <c r="E659" s="4" t="s">
        <v>52</v>
      </c>
      <c r="F659" s="4" t="s">
        <v>2812</v>
      </c>
      <c r="G659" s="4" t="s">
        <v>124</v>
      </c>
      <c r="H659" s="4" t="s">
        <v>41</v>
      </c>
      <c r="I659" s="4" t="s">
        <v>538</v>
      </c>
      <c r="J659" s="4" t="s">
        <v>52</v>
      </c>
      <c r="K659" s="4" t="s">
        <v>2813</v>
      </c>
      <c r="L659" s="4" t="str">
        <f t="shared" si="10"/>
        <v>Different contact</v>
      </c>
    </row>
    <row r="660" spans="1:12" ht="15" customHeight="1" x14ac:dyDescent="0.3">
      <c r="A660" s="4" t="s">
        <v>2817</v>
      </c>
      <c r="B660" s="4" t="s">
        <v>2810</v>
      </c>
      <c r="C660" s="4" t="s">
        <v>2813</v>
      </c>
      <c r="D660" s="4" t="s">
        <v>2818</v>
      </c>
      <c r="E660" s="4" t="s">
        <v>52</v>
      </c>
      <c r="F660" s="4" t="s">
        <v>2812</v>
      </c>
      <c r="G660" s="4" t="s">
        <v>124</v>
      </c>
      <c r="H660" s="4" t="s">
        <v>41</v>
      </c>
      <c r="I660" s="4" t="s">
        <v>538</v>
      </c>
      <c r="J660" s="4" t="s">
        <v>52</v>
      </c>
      <c r="K660" s="4" t="s">
        <v>2813</v>
      </c>
      <c r="L660" s="4" t="str">
        <f t="shared" si="10"/>
        <v>Match</v>
      </c>
    </row>
    <row r="661" spans="1:12" ht="15" customHeight="1" x14ac:dyDescent="0.3">
      <c r="A661" s="4" t="s">
        <v>2819</v>
      </c>
      <c r="B661" s="4" t="s">
        <v>2820</v>
      </c>
      <c r="C661" s="4" t="s">
        <v>2821</v>
      </c>
      <c r="D661" s="4" t="s">
        <v>2822</v>
      </c>
      <c r="E661" s="4" t="s">
        <v>27</v>
      </c>
      <c r="F661" s="4" t="s">
        <v>2823</v>
      </c>
      <c r="G661" s="4" t="s">
        <v>58</v>
      </c>
      <c r="H661" s="4" t="s">
        <v>41</v>
      </c>
      <c r="I661" s="4" t="s">
        <v>228</v>
      </c>
      <c r="J661" s="4" t="s">
        <v>394</v>
      </c>
      <c r="K661" s="4" t="s">
        <v>2821</v>
      </c>
      <c r="L661" s="4" t="str">
        <f t="shared" si="10"/>
        <v>Different owner</v>
      </c>
    </row>
    <row r="662" spans="1:12" ht="15" customHeight="1" x14ac:dyDescent="0.3">
      <c r="A662" s="4" t="s">
        <v>2819</v>
      </c>
      <c r="B662" s="4" t="s">
        <v>2820</v>
      </c>
      <c r="C662" s="4"/>
      <c r="D662" s="4" t="s">
        <v>2824</v>
      </c>
      <c r="E662" s="4" t="s">
        <v>27</v>
      </c>
      <c r="F662" s="4" t="s">
        <v>2823</v>
      </c>
      <c r="G662" s="4" t="s">
        <v>58</v>
      </c>
      <c r="H662" s="4" t="s">
        <v>41</v>
      </c>
      <c r="I662" s="4" t="s">
        <v>228</v>
      </c>
      <c r="J662" s="4" t="s">
        <v>394</v>
      </c>
      <c r="K662" s="4" t="s">
        <v>2821</v>
      </c>
      <c r="L662" s="4" t="str">
        <f t="shared" si="10"/>
        <v>Different owner &amp; contact</v>
      </c>
    </row>
    <row r="663" spans="1:12" ht="15" customHeight="1" x14ac:dyDescent="0.3">
      <c r="A663" s="4" t="s">
        <v>2825</v>
      </c>
      <c r="B663" s="4" t="s">
        <v>2820</v>
      </c>
      <c r="C663" s="4" t="s">
        <v>2826</v>
      </c>
      <c r="D663" s="4" t="s">
        <v>2827</v>
      </c>
      <c r="E663" s="4" t="s">
        <v>27</v>
      </c>
      <c r="F663" s="4" t="s">
        <v>2823</v>
      </c>
      <c r="G663" s="4" t="s">
        <v>58</v>
      </c>
      <c r="H663" s="4" t="s">
        <v>41</v>
      </c>
      <c r="I663" s="4" t="s">
        <v>228</v>
      </c>
      <c r="J663" s="4" t="s">
        <v>394</v>
      </c>
      <c r="K663" s="4" t="s">
        <v>2821</v>
      </c>
      <c r="L663" s="4" t="str">
        <f t="shared" si="10"/>
        <v>Different owner &amp; contact</v>
      </c>
    </row>
    <row r="664" spans="1:12" ht="15" customHeight="1" x14ac:dyDescent="0.3">
      <c r="A664" s="4" t="s">
        <v>2828</v>
      </c>
      <c r="B664" s="4" t="s">
        <v>2820</v>
      </c>
      <c r="C664" s="4" t="s">
        <v>2829</v>
      </c>
      <c r="D664" s="4" t="s">
        <v>2830</v>
      </c>
      <c r="E664" s="4" t="s">
        <v>27</v>
      </c>
      <c r="F664" s="4" t="s">
        <v>2823</v>
      </c>
      <c r="G664" s="4" t="s">
        <v>58</v>
      </c>
      <c r="H664" s="4" t="s">
        <v>41</v>
      </c>
      <c r="I664" s="4" t="s">
        <v>228</v>
      </c>
      <c r="J664" s="4" t="s">
        <v>394</v>
      </c>
      <c r="K664" s="4" t="s">
        <v>2821</v>
      </c>
      <c r="L664" s="4" t="str">
        <f t="shared" si="10"/>
        <v>Different owner &amp; contact</v>
      </c>
    </row>
    <row r="665" spans="1:12" ht="15" customHeight="1" x14ac:dyDescent="0.3">
      <c r="A665" s="4" t="s">
        <v>2831</v>
      </c>
      <c r="B665" s="4" t="s">
        <v>2832</v>
      </c>
      <c r="C665" s="4" t="s">
        <v>2833</v>
      </c>
      <c r="D665" s="4" t="s">
        <v>2834</v>
      </c>
      <c r="E665" s="4" t="s">
        <v>91</v>
      </c>
      <c r="F665" s="4" t="s">
        <v>2835</v>
      </c>
      <c r="G665" s="4" t="s">
        <v>29</v>
      </c>
      <c r="H665" s="4" t="s">
        <v>41</v>
      </c>
      <c r="I665" s="4" t="s">
        <v>101</v>
      </c>
      <c r="J665" s="4" t="s">
        <v>32</v>
      </c>
      <c r="K665" s="4" t="s">
        <v>2833</v>
      </c>
      <c r="L665" s="4" t="str">
        <f t="shared" si="10"/>
        <v>Different owner</v>
      </c>
    </row>
    <row r="666" spans="1:12" ht="15" customHeight="1" x14ac:dyDescent="0.3">
      <c r="A666" s="4" t="s">
        <v>2836</v>
      </c>
      <c r="B666" s="4" t="s">
        <v>2837</v>
      </c>
      <c r="C666" s="4"/>
      <c r="D666" s="4" t="s">
        <v>2838</v>
      </c>
      <c r="E666" s="4" t="s">
        <v>34</v>
      </c>
      <c r="F666" s="4" t="s">
        <v>2839</v>
      </c>
      <c r="G666" s="4" t="s">
        <v>49</v>
      </c>
      <c r="H666" s="4" t="s">
        <v>68</v>
      </c>
      <c r="I666" s="4" t="s">
        <v>538</v>
      </c>
      <c r="J666" s="4" t="s">
        <v>34</v>
      </c>
      <c r="K666" s="4" t="s">
        <v>2840</v>
      </c>
      <c r="L666" s="4" t="str">
        <f t="shared" si="10"/>
        <v>Different contact</v>
      </c>
    </row>
    <row r="667" spans="1:12" ht="15" customHeight="1" x14ac:dyDescent="0.3">
      <c r="A667" s="4" t="s">
        <v>2841</v>
      </c>
      <c r="B667" s="4" t="s">
        <v>2837</v>
      </c>
      <c r="C667" s="4" t="s">
        <v>2842</v>
      </c>
      <c r="D667" s="4" t="s">
        <v>2843</v>
      </c>
      <c r="E667" s="4" t="s">
        <v>66</v>
      </c>
      <c r="F667" s="4" t="s">
        <v>2839</v>
      </c>
      <c r="G667" s="4" t="s">
        <v>49</v>
      </c>
      <c r="H667" s="4" t="s">
        <v>68</v>
      </c>
      <c r="I667" s="4" t="s">
        <v>538</v>
      </c>
      <c r="J667" s="4" t="s">
        <v>34</v>
      </c>
      <c r="K667" s="4" t="s">
        <v>2840</v>
      </c>
      <c r="L667" s="4" t="str">
        <f t="shared" si="10"/>
        <v>Different owner &amp; contact</v>
      </c>
    </row>
    <row r="668" spans="1:12" ht="15" customHeight="1" x14ac:dyDescent="0.3">
      <c r="A668" s="4" t="s">
        <v>2844</v>
      </c>
      <c r="B668" s="4" t="s">
        <v>2837</v>
      </c>
      <c r="C668" s="4" t="s">
        <v>2845</v>
      </c>
      <c r="D668" s="4" t="s">
        <v>2846</v>
      </c>
      <c r="E668" s="4" t="s">
        <v>66</v>
      </c>
      <c r="F668" s="4" t="s">
        <v>2839</v>
      </c>
      <c r="G668" s="4" t="s">
        <v>49</v>
      </c>
      <c r="H668" s="4" t="s">
        <v>68</v>
      </c>
      <c r="I668" s="4" t="s">
        <v>538</v>
      </c>
      <c r="J668" s="4" t="s">
        <v>34</v>
      </c>
      <c r="K668" s="4" t="s">
        <v>2840</v>
      </c>
      <c r="L668" s="4" t="str">
        <f t="shared" si="10"/>
        <v>Different owner &amp; contact</v>
      </c>
    </row>
    <row r="669" spans="1:12" ht="15" customHeight="1" x14ac:dyDescent="0.3">
      <c r="A669" s="4" t="s">
        <v>2847</v>
      </c>
      <c r="B669" s="4" t="s">
        <v>2848</v>
      </c>
      <c r="C669" s="4" t="s">
        <v>2849</v>
      </c>
      <c r="D669" s="4"/>
      <c r="E669" s="4" t="s">
        <v>66</v>
      </c>
      <c r="F669" s="4" t="s">
        <v>2850</v>
      </c>
      <c r="G669" s="4" t="s">
        <v>124</v>
      </c>
      <c r="H669" s="4" t="s">
        <v>68</v>
      </c>
      <c r="I669" s="4" t="s">
        <v>299</v>
      </c>
      <c r="J669" s="4" t="s">
        <v>66</v>
      </c>
      <c r="K669" s="4" t="s">
        <v>2849</v>
      </c>
      <c r="L669" s="4" t="str">
        <f t="shared" si="10"/>
        <v>Match</v>
      </c>
    </row>
    <row r="670" spans="1:12" ht="15" customHeight="1" x14ac:dyDescent="0.3">
      <c r="A670" s="4" t="s">
        <v>2851</v>
      </c>
      <c r="B670" s="4" t="s">
        <v>2852</v>
      </c>
      <c r="C670" s="4" t="s">
        <v>2853</v>
      </c>
      <c r="D670" s="4"/>
      <c r="E670" s="4" t="s">
        <v>56</v>
      </c>
      <c r="F670" s="4" t="s">
        <v>2854</v>
      </c>
      <c r="G670" s="4" t="s">
        <v>29</v>
      </c>
      <c r="H670" s="4" t="s">
        <v>41</v>
      </c>
      <c r="I670" s="4" t="s">
        <v>101</v>
      </c>
      <c r="J670" s="4" t="s">
        <v>102</v>
      </c>
      <c r="K670" s="4" t="s">
        <v>2855</v>
      </c>
      <c r="L670" s="4" t="str">
        <f t="shared" si="10"/>
        <v>Different owner &amp; contact</v>
      </c>
    </row>
    <row r="671" spans="1:12" ht="15" customHeight="1" x14ac:dyDescent="0.3">
      <c r="A671" s="4" t="s">
        <v>2856</v>
      </c>
      <c r="B671" s="4" t="s">
        <v>2857</v>
      </c>
      <c r="C671" s="4" t="s">
        <v>2858</v>
      </c>
      <c r="D671" s="4"/>
      <c r="E671" s="4" t="s">
        <v>91</v>
      </c>
      <c r="F671" s="4" t="s">
        <v>2859</v>
      </c>
      <c r="G671" s="4" t="s">
        <v>163</v>
      </c>
      <c r="H671" s="4" t="s">
        <v>41</v>
      </c>
      <c r="I671" s="4" t="s">
        <v>164</v>
      </c>
      <c r="J671" s="4" t="s">
        <v>94</v>
      </c>
      <c r="K671" s="4" t="s">
        <v>2860</v>
      </c>
      <c r="L671" s="4" t="str">
        <f t="shared" si="10"/>
        <v>Different owner &amp; contact</v>
      </c>
    </row>
    <row r="672" spans="1:12" ht="15" customHeight="1" x14ac:dyDescent="0.3">
      <c r="A672" s="4" t="s">
        <v>2861</v>
      </c>
      <c r="B672" s="4" t="s">
        <v>2862</v>
      </c>
      <c r="C672" s="4" t="s">
        <v>2863</v>
      </c>
      <c r="D672" s="4" t="s">
        <v>2864</v>
      </c>
      <c r="E672" s="4" t="s">
        <v>91</v>
      </c>
      <c r="F672" s="4" t="s">
        <v>2865</v>
      </c>
      <c r="G672" s="4" t="s">
        <v>138</v>
      </c>
      <c r="H672" s="4" t="s">
        <v>41</v>
      </c>
      <c r="I672" s="4" t="s">
        <v>131</v>
      </c>
      <c r="J672" s="4" t="s">
        <v>94</v>
      </c>
      <c r="K672" s="4" t="s">
        <v>2863</v>
      </c>
      <c r="L672" s="4" t="str">
        <f t="shared" si="10"/>
        <v>Different owner</v>
      </c>
    </row>
    <row r="673" spans="1:12" ht="15" customHeight="1" x14ac:dyDescent="0.3">
      <c r="A673" s="4" t="s">
        <v>2866</v>
      </c>
      <c r="B673" s="4" t="s">
        <v>2867</v>
      </c>
      <c r="C673" s="4" t="s">
        <v>2868</v>
      </c>
      <c r="D673" s="4" t="s">
        <v>2869</v>
      </c>
      <c r="E673" s="4" t="s">
        <v>52</v>
      </c>
      <c r="F673" s="4" t="s">
        <v>2870</v>
      </c>
      <c r="G673" s="4" t="s">
        <v>138</v>
      </c>
      <c r="H673" s="4" t="s">
        <v>116</v>
      </c>
      <c r="I673" s="4" t="s">
        <v>672</v>
      </c>
      <c r="J673" s="4" t="s">
        <v>102</v>
      </c>
      <c r="K673" s="4" t="s">
        <v>2871</v>
      </c>
      <c r="L673" s="4" t="str">
        <f t="shared" si="10"/>
        <v>Different owner &amp; contact</v>
      </c>
    </row>
    <row r="674" spans="1:12" ht="15" customHeight="1" x14ac:dyDescent="0.3">
      <c r="A674" s="4" t="s">
        <v>2872</v>
      </c>
      <c r="B674" s="4" t="s">
        <v>2873</v>
      </c>
      <c r="C674" s="4" t="s">
        <v>2874</v>
      </c>
      <c r="D674" s="4" t="s">
        <v>2875</v>
      </c>
      <c r="E674" s="4" t="s">
        <v>172</v>
      </c>
      <c r="F674" s="4" t="s">
        <v>2876</v>
      </c>
      <c r="G674" s="4" t="s">
        <v>58</v>
      </c>
      <c r="H674" s="4" t="s">
        <v>174</v>
      </c>
      <c r="I674" s="4" t="s">
        <v>863</v>
      </c>
      <c r="J674" s="4" t="s">
        <v>176</v>
      </c>
      <c r="K674" s="4" t="s">
        <v>2877</v>
      </c>
      <c r="L674" s="4" t="str">
        <f t="shared" si="10"/>
        <v>Different owner &amp; contact</v>
      </c>
    </row>
    <row r="675" spans="1:12" ht="15" customHeight="1" x14ac:dyDescent="0.3">
      <c r="A675" s="4" t="s">
        <v>2878</v>
      </c>
      <c r="B675" s="4" t="s">
        <v>2879</v>
      </c>
      <c r="C675" s="4" t="s">
        <v>2880</v>
      </c>
      <c r="D675" s="4" t="s">
        <v>2881</v>
      </c>
      <c r="E675" s="4" t="s">
        <v>27</v>
      </c>
      <c r="F675" s="4" t="s">
        <v>2882</v>
      </c>
      <c r="G675" s="4" t="s">
        <v>58</v>
      </c>
      <c r="H675" s="4" t="s">
        <v>68</v>
      </c>
      <c r="I675" s="4" t="s">
        <v>93</v>
      </c>
      <c r="J675" s="4" t="s">
        <v>394</v>
      </c>
      <c r="K675" s="4" t="s">
        <v>2883</v>
      </c>
      <c r="L675" s="4" t="str">
        <f t="shared" si="10"/>
        <v>Different owner &amp; contact</v>
      </c>
    </row>
    <row r="676" spans="1:12" ht="15" customHeight="1" x14ac:dyDescent="0.3">
      <c r="A676" s="4" t="s">
        <v>2884</v>
      </c>
      <c r="B676" s="4" t="s">
        <v>2879</v>
      </c>
      <c r="C676" s="4" t="s">
        <v>2885</v>
      </c>
      <c r="D676" s="4" t="s">
        <v>2881</v>
      </c>
      <c r="E676" s="4" t="s">
        <v>27</v>
      </c>
      <c r="F676" s="4" t="s">
        <v>2882</v>
      </c>
      <c r="G676" s="4" t="s">
        <v>58</v>
      </c>
      <c r="H676" s="4" t="s">
        <v>68</v>
      </c>
      <c r="I676" s="4" t="s">
        <v>93</v>
      </c>
      <c r="J676" s="4" t="s">
        <v>394</v>
      </c>
      <c r="K676" s="4" t="s">
        <v>2883</v>
      </c>
      <c r="L676" s="4" t="str">
        <f t="shared" si="10"/>
        <v>Different owner &amp; contact</v>
      </c>
    </row>
    <row r="677" spans="1:12" ht="15" customHeight="1" x14ac:dyDescent="0.3">
      <c r="A677" s="4" t="s">
        <v>2886</v>
      </c>
      <c r="B677" s="4" t="s">
        <v>2879</v>
      </c>
      <c r="C677" s="4" t="s">
        <v>2887</v>
      </c>
      <c r="D677" s="4" t="s">
        <v>2888</v>
      </c>
      <c r="E677" s="4" t="s">
        <v>27</v>
      </c>
      <c r="F677" s="4" t="s">
        <v>2882</v>
      </c>
      <c r="G677" s="4" t="s">
        <v>58</v>
      </c>
      <c r="H677" s="4" t="s">
        <v>68</v>
      </c>
      <c r="I677" s="4" t="s">
        <v>93</v>
      </c>
      <c r="J677" s="4" t="s">
        <v>394</v>
      </c>
      <c r="K677" s="4" t="s">
        <v>2883</v>
      </c>
      <c r="L677" s="4" t="str">
        <f t="shared" si="10"/>
        <v>Different owner &amp; contact</v>
      </c>
    </row>
    <row r="678" spans="1:12" ht="15" customHeight="1" x14ac:dyDescent="0.3">
      <c r="A678" s="4" t="s">
        <v>2889</v>
      </c>
      <c r="B678" s="4" t="s">
        <v>2879</v>
      </c>
      <c r="C678" s="4" t="s">
        <v>2890</v>
      </c>
      <c r="D678" s="4" t="s">
        <v>2891</v>
      </c>
      <c r="E678" s="4" t="s">
        <v>27</v>
      </c>
      <c r="F678" s="4" t="s">
        <v>2882</v>
      </c>
      <c r="G678" s="4" t="s">
        <v>58</v>
      </c>
      <c r="H678" s="4" t="s">
        <v>68</v>
      </c>
      <c r="I678" s="4" t="s">
        <v>93</v>
      </c>
      <c r="J678" s="4" t="s">
        <v>394</v>
      </c>
      <c r="K678" s="4" t="s">
        <v>2883</v>
      </c>
      <c r="L678" s="4" t="str">
        <f t="shared" si="10"/>
        <v>Different owner &amp; contact</v>
      </c>
    </row>
    <row r="679" spans="1:12" ht="15" customHeight="1" x14ac:dyDescent="0.3">
      <c r="A679" s="4" t="s">
        <v>2892</v>
      </c>
      <c r="B679" s="4" t="s">
        <v>2879</v>
      </c>
      <c r="C679" s="4" t="s">
        <v>2893</v>
      </c>
      <c r="D679" s="4"/>
      <c r="E679" s="4" t="s">
        <v>343</v>
      </c>
      <c r="F679" s="4" t="s">
        <v>2882</v>
      </c>
      <c r="G679" s="4" t="s">
        <v>58</v>
      </c>
      <c r="H679" s="4" t="s">
        <v>68</v>
      </c>
      <c r="I679" s="4" t="s">
        <v>93</v>
      </c>
      <c r="J679" s="4" t="s">
        <v>394</v>
      </c>
      <c r="K679" s="4" t="s">
        <v>2883</v>
      </c>
      <c r="L679" s="4" t="str">
        <f t="shared" si="10"/>
        <v>Different owner &amp; contact</v>
      </c>
    </row>
    <row r="680" spans="1:12" ht="15" customHeight="1" x14ac:dyDescent="0.3">
      <c r="A680" s="4" t="s">
        <v>2894</v>
      </c>
      <c r="B680" s="4" t="s">
        <v>2879</v>
      </c>
      <c r="C680" s="4" t="s">
        <v>2895</v>
      </c>
      <c r="D680" s="4" t="s">
        <v>2896</v>
      </c>
      <c r="E680" s="4" t="s">
        <v>27</v>
      </c>
      <c r="F680" s="4" t="s">
        <v>2882</v>
      </c>
      <c r="G680" s="4" t="s">
        <v>58</v>
      </c>
      <c r="H680" s="4" t="s">
        <v>68</v>
      </c>
      <c r="I680" s="4" t="s">
        <v>93</v>
      </c>
      <c r="J680" s="4" t="s">
        <v>394</v>
      </c>
      <c r="K680" s="4" t="s">
        <v>2883</v>
      </c>
      <c r="L680" s="4" t="str">
        <f t="shared" si="10"/>
        <v>Different owner &amp; contact</v>
      </c>
    </row>
    <row r="681" spans="1:12" ht="15" customHeight="1" x14ac:dyDescent="0.3">
      <c r="A681" s="4" t="s">
        <v>2897</v>
      </c>
      <c r="B681" s="4" t="s">
        <v>2879</v>
      </c>
      <c r="C681" s="4"/>
      <c r="D681" s="4" t="s">
        <v>2898</v>
      </c>
      <c r="E681" s="4" t="s">
        <v>385</v>
      </c>
      <c r="F681" s="4" t="s">
        <v>2882</v>
      </c>
      <c r="G681" s="4" t="s">
        <v>58</v>
      </c>
      <c r="H681" s="4" t="s">
        <v>68</v>
      </c>
      <c r="I681" s="4" t="s">
        <v>93</v>
      </c>
      <c r="J681" s="4" t="s">
        <v>394</v>
      </c>
      <c r="K681" s="4" t="s">
        <v>2883</v>
      </c>
      <c r="L681" s="4" t="str">
        <f t="shared" si="10"/>
        <v>Different owner &amp; contact</v>
      </c>
    </row>
    <row r="682" spans="1:12" ht="15" customHeight="1" x14ac:dyDescent="0.3">
      <c r="A682" s="4" t="s">
        <v>2899</v>
      </c>
      <c r="B682" s="4" t="s">
        <v>2900</v>
      </c>
      <c r="C682" s="4" t="s">
        <v>2901</v>
      </c>
      <c r="D682" s="4"/>
      <c r="E682" s="4" t="s">
        <v>343</v>
      </c>
      <c r="F682" s="4" t="s">
        <v>2902</v>
      </c>
      <c r="G682" s="4" t="s">
        <v>58</v>
      </c>
      <c r="H682" s="4" t="s">
        <v>41</v>
      </c>
      <c r="I682" s="4" t="s">
        <v>131</v>
      </c>
      <c r="J682" s="4" t="s">
        <v>34</v>
      </c>
      <c r="K682" s="4" t="s">
        <v>2903</v>
      </c>
      <c r="L682" s="4" t="str">
        <f t="shared" si="10"/>
        <v>Different owner &amp; contact</v>
      </c>
    </row>
    <row r="683" spans="1:12" ht="15" customHeight="1" x14ac:dyDescent="0.3">
      <c r="A683" s="4" t="s">
        <v>2904</v>
      </c>
      <c r="B683" s="4" t="s">
        <v>2900</v>
      </c>
      <c r="C683" s="4" t="s">
        <v>2905</v>
      </c>
      <c r="D683" s="4"/>
      <c r="E683" s="4" t="s">
        <v>56</v>
      </c>
      <c r="F683" s="4" t="s">
        <v>2902</v>
      </c>
      <c r="G683" s="4" t="s">
        <v>58</v>
      </c>
      <c r="H683" s="4" t="s">
        <v>41</v>
      </c>
      <c r="I683" s="4" t="s">
        <v>131</v>
      </c>
      <c r="J683" s="4" t="s">
        <v>34</v>
      </c>
      <c r="K683" s="4" t="s">
        <v>2903</v>
      </c>
      <c r="L683" s="4" t="str">
        <f t="shared" si="10"/>
        <v>Different owner &amp; contact</v>
      </c>
    </row>
    <row r="684" spans="1:12" ht="15" customHeight="1" x14ac:dyDescent="0.3">
      <c r="A684" s="4" t="s">
        <v>2906</v>
      </c>
      <c r="B684" s="4" t="s">
        <v>2907</v>
      </c>
      <c r="C684" s="4" t="s">
        <v>2908</v>
      </c>
      <c r="D684" s="4"/>
      <c r="E684" s="4" t="s">
        <v>56</v>
      </c>
      <c r="F684" s="4" t="s">
        <v>2909</v>
      </c>
      <c r="G684" s="4" t="s">
        <v>130</v>
      </c>
      <c r="H684" s="4" t="s">
        <v>68</v>
      </c>
      <c r="I684" s="4" t="s">
        <v>933</v>
      </c>
      <c r="J684" s="4" t="s">
        <v>32</v>
      </c>
      <c r="K684" s="4" t="s">
        <v>2910</v>
      </c>
      <c r="L684" s="4" t="str">
        <f t="shared" si="10"/>
        <v>Different owner &amp; contact</v>
      </c>
    </row>
    <row r="685" spans="1:12" ht="15" customHeight="1" x14ac:dyDescent="0.3">
      <c r="A685" s="4" t="s">
        <v>2911</v>
      </c>
      <c r="B685" s="4" t="s">
        <v>2912</v>
      </c>
      <c r="C685" s="4" t="s">
        <v>2913</v>
      </c>
      <c r="D685" s="4" t="s">
        <v>2914</v>
      </c>
      <c r="E685" s="4" t="s">
        <v>91</v>
      </c>
      <c r="F685" s="4" t="s">
        <v>2915</v>
      </c>
      <c r="G685" s="4" t="s">
        <v>49</v>
      </c>
      <c r="H685" s="4" t="s">
        <v>41</v>
      </c>
      <c r="I685" s="4" t="s">
        <v>228</v>
      </c>
      <c r="J685" s="4" t="s">
        <v>102</v>
      </c>
      <c r="K685" s="4" t="s">
        <v>2916</v>
      </c>
      <c r="L685" s="4" t="str">
        <f t="shared" si="10"/>
        <v>Different owner &amp; contact</v>
      </c>
    </row>
    <row r="686" spans="1:12" ht="15" customHeight="1" x14ac:dyDescent="0.3">
      <c r="A686" s="4" t="s">
        <v>2917</v>
      </c>
      <c r="B686" s="4" t="s">
        <v>2918</v>
      </c>
      <c r="C686" s="4" t="s">
        <v>2919</v>
      </c>
      <c r="D686" s="4" t="s">
        <v>2920</v>
      </c>
      <c r="E686" s="4" t="s">
        <v>56</v>
      </c>
      <c r="F686" s="4" t="s">
        <v>2921</v>
      </c>
      <c r="G686" s="4" t="s">
        <v>361</v>
      </c>
      <c r="H686" s="4" t="s">
        <v>41</v>
      </c>
      <c r="I686" s="4" t="s">
        <v>299</v>
      </c>
      <c r="J686" s="4" t="s">
        <v>32</v>
      </c>
      <c r="K686" s="4" t="s">
        <v>2922</v>
      </c>
      <c r="L686" s="4" t="str">
        <f t="shared" si="10"/>
        <v>Different owner &amp; contact</v>
      </c>
    </row>
    <row r="687" spans="1:12" ht="15" customHeight="1" x14ac:dyDescent="0.3">
      <c r="A687" s="4" t="s">
        <v>2923</v>
      </c>
      <c r="B687" s="4" t="s">
        <v>2924</v>
      </c>
      <c r="C687" s="4" t="s">
        <v>2925</v>
      </c>
      <c r="D687" s="4" t="s">
        <v>2926</v>
      </c>
      <c r="E687" s="4" t="s">
        <v>91</v>
      </c>
      <c r="F687" s="4" t="s">
        <v>2927</v>
      </c>
      <c r="G687" s="4" t="s">
        <v>84</v>
      </c>
      <c r="H687" s="4" t="s">
        <v>68</v>
      </c>
      <c r="I687" s="4" t="s">
        <v>93</v>
      </c>
      <c r="J687" s="4" t="s">
        <v>94</v>
      </c>
      <c r="K687" s="4" t="s">
        <v>2928</v>
      </c>
      <c r="L687" s="4" t="str">
        <f t="shared" si="10"/>
        <v>Different owner &amp; contact</v>
      </c>
    </row>
    <row r="688" spans="1:12" ht="15" customHeight="1" x14ac:dyDescent="0.3">
      <c r="A688" s="4" t="s">
        <v>2929</v>
      </c>
      <c r="B688" s="4" t="s">
        <v>2930</v>
      </c>
      <c r="C688" s="4" t="s">
        <v>2931</v>
      </c>
      <c r="D688" s="4"/>
      <c r="E688" s="4" t="s">
        <v>106</v>
      </c>
      <c r="F688" s="4" t="s">
        <v>2932</v>
      </c>
      <c r="G688" s="4" t="s">
        <v>29</v>
      </c>
      <c r="H688" s="4" t="s">
        <v>41</v>
      </c>
      <c r="I688" s="4" t="s">
        <v>101</v>
      </c>
      <c r="J688" s="4" t="s">
        <v>106</v>
      </c>
      <c r="K688" s="4" t="s">
        <v>2933</v>
      </c>
      <c r="L688" s="4" t="str">
        <f t="shared" si="10"/>
        <v>Different contact</v>
      </c>
    </row>
    <row r="689" spans="1:12" ht="15" customHeight="1" x14ac:dyDescent="0.3">
      <c r="A689" s="4" t="s">
        <v>2934</v>
      </c>
      <c r="B689" s="4" t="s">
        <v>2930</v>
      </c>
      <c r="C689" s="4" t="s">
        <v>2935</v>
      </c>
      <c r="D689" s="4" t="s">
        <v>2936</v>
      </c>
      <c r="E689" s="4" t="s">
        <v>106</v>
      </c>
      <c r="F689" s="4" t="s">
        <v>2932</v>
      </c>
      <c r="G689" s="4" t="s">
        <v>29</v>
      </c>
      <c r="H689" s="4" t="s">
        <v>41</v>
      </c>
      <c r="I689" s="4" t="s">
        <v>101</v>
      </c>
      <c r="J689" s="4" t="s">
        <v>106</v>
      </c>
      <c r="K689" s="4" t="s">
        <v>2933</v>
      </c>
      <c r="L689" s="4" t="str">
        <f t="shared" si="10"/>
        <v>Different contact</v>
      </c>
    </row>
    <row r="690" spans="1:12" ht="15" customHeight="1" x14ac:dyDescent="0.3">
      <c r="A690" s="4" t="s">
        <v>2937</v>
      </c>
      <c r="B690" s="4" t="s">
        <v>2938</v>
      </c>
      <c r="C690" s="4" t="s">
        <v>2939</v>
      </c>
      <c r="D690" s="4" t="s">
        <v>2940</v>
      </c>
      <c r="E690" s="4" t="s">
        <v>66</v>
      </c>
      <c r="F690" s="4" t="s">
        <v>2941</v>
      </c>
      <c r="G690" s="4" t="s">
        <v>58</v>
      </c>
      <c r="H690" s="4" t="s">
        <v>41</v>
      </c>
      <c r="I690" s="4" t="s">
        <v>101</v>
      </c>
      <c r="J690" s="4" t="s">
        <v>32</v>
      </c>
      <c r="K690" s="4" t="s">
        <v>2942</v>
      </c>
      <c r="L690" s="4" t="str">
        <f t="shared" si="10"/>
        <v>Different owner &amp; contact</v>
      </c>
    </row>
    <row r="691" spans="1:12" ht="15" customHeight="1" x14ac:dyDescent="0.3">
      <c r="A691" s="4" t="s">
        <v>2937</v>
      </c>
      <c r="B691" s="4" t="s">
        <v>2938</v>
      </c>
      <c r="C691" s="4" t="s">
        <v>2943</v>
      </c>
      <c r="D691" s="4"/>
      <c r="E691" s="4" t="s">
        <v>343</v>
      </c>
      <c r="F691" s="4" t="s">
        <v>2941</v>
      </c>
      <c r="G691" s="4" t="s">
        <v>58</v>
      </c>
      <c r="H691" s="4" t="s">
        <v>41</v>
      </c>
      <c r="I691" s="4" t="s">
        <v>101</v>
      </c>
      <c r="J691" s="4" t="s">
        <v>32</v>
      </c>
      <c r="K691" s="4" t="s">
        <v>2942</v>
      </c>
      <c r="L691" s="4" t="str">
        <f t="shared" si="10"/>
        <v>Different owner &amp; contact</v>
      </c>
    </row>
    <row r="692" spans="1:12" ht="15" customHeight="1" x14ac:dyDescent="0.3">
      <c r="A692" s="4" t="s">
        <v>2944</v>
      </c>
      <c r="B692" s="4" t="s">
        <v>2945</v>
      </c>
      <c r="C692" s="4" t="s">
        <v>2946</v>
      </c>
      <c r="D692" s="4" t="s">
        <v>2947</v>
      </c>
      <c r="E692" s="4" t="s">
        <v>66</v>
      </c>
      <c r="F692" s="4" t="s">
        <v>2948</v>
      </c>
      <c r="G692" s="4" t="s">
        <v>58</v>
      </c>
      <c r="H692" s="4" t="s">
        <v>41</v>
      </c>
      <c r="I692" s="4" t="s">
        <v>101</v>
      </c>
      <c r="J692" s="4" t="s">
        <v>32</v>
      </c>
      <c r="K692" s="4" t="s">
        <v>2949</v>
      </c>
      <c r="L692" s="4" t="str">
        <f t="shared" si="10"/>
        <v>Different owner &amp; contact</v>
      </c>
    </row>
    <row r="693" spans="1:12" ht="15" customHeight="1" x14ac:dyDescent="0.3">
      <c r="A693" s="4" t="s">
        <v>2950</v>
      </c>
      <c r="B693" s="4" t="s">
        <v>2945</v>
      </c>
      <c r="C693" s="4" t="s">
        <v>2951</v>
      </c>
      <c r="D693" s="4" t="s">
        <v>2947</v>
      </c>
      <c r="E693" s="4" t="s">
        <v>66</v>
      </c>
      <c r="F693" s="4" t="s">
        <v>2948</v>
      </c>
      <c r="G693" s="4" t="s">
        <v>58</v>
      </c>
      <c r="H693" s="4" t="s">
        <v>41</v>
      </c>
      <c r="I693" s="4" t="s">
        <v>101</v>
      </c>
      <c r="J693" s="4" t="s">
        <v>32</v>
      </c>
      <c r="K693" s="4" t="s">
        <v>2949</v>
      </c>
      <c r="L693" s="4" t="str">
        <f t="shared" si="10"/>
        <v>Different owner &amp; contact</v>
      </c>
    </row>
    <row r="694" spans="1:12" ht="15" customHeight="1" x14ac:dyDescent="0.3">
      <c r="A694" s="4" t="s">
        <v>2952</v>
      </c>
      <c r="B694" s="4" t="s">
        <v>2945</v>
      </c>
      <c r="C694" s="4"/>
      <c r="D694" s="4" t="s">
        <v>2953</v>
      </c>
      <c r="E694" s="4" t="s">
        <v>385</v>
      </c>
      <c r="F694" s="4" t="s">
        <v>2948</v>
      </c>
      <c r="G694" s="4" t="s">
        <v>58</v>
      </c>
      <c r="H694" s="4" t="s">
        <v>41</v>
      </c>
      <c r="I694" s="4" t="s">
        <v>101</v>
      </c>
      <c r="J694" s="4" t="s">
        <v>32</v>
      </c>
      <c r="K694" s="4" t="s">
        <v>2949</v>
      </c>
      <c r="L694" s="4" t="str">
        <f t="shared" si="10"/>
        <v>Different owner &amp; contact</v>
      </c>
    </row>
    <row r="695" spans="1:12" ht="15" customHeight="1" x14ac:dyDescent="0.3">
      <c r="A695" s="4" t="s">
        <v>2937</v>
      </c>
      <c r="B695" s="4" t="s">
        <v>2945</v>
      </c>
      <c r="C695" s="4" t="s">
        <v>2954</v>
      </c>
      <c r="D695" s="4"/>
      <c r="E695" s="4" t="s">
        <v>343</v>
      </c>
      <c r="F695" s="4" t="s">
        <v>2948</v>
      </c>
      <c r="G695" s="4" t="s">
        <v>58</v>
      </c>
      <c r="H695" s="4" t="s">
        <v>41</v>
      </c>
      <c r="I695" s="4" t="s">
        <v>101</v>
      </c>
      <c r="J695" s="4" t="s">
        <v>32</v>
      </c>
      <c r="K695" s="4" t="s">
        <v>2949</v>
      </c>
      <c r="L695" s="4" t="str">
        <f t="shared" si="10"/>
        <v>Different owner &amp; contact</v>
      </c>
    </row>
    <row r="696" spans="1:12" ht="15" customHeight="1" x14ac:dyDescent="0.3">
      <c r="A696" s="4" t="s">
        <v>2955</v>
      </c>
      <c r="B696" s="4" t="s">
        <v>2945</v>
      </c>
      <c r="C696" s="4" t="s">
        <v>2956</v>
      </c>
      <c r="D696" s="4" t="s">
        <v>2957</v>
      </c>
      <c r="E696" s="4" t="s">
        <v>66</v>
      </c>
      <c r="F696" s="4" t="s">
        <v>2948</v>
      </c>
      <c r="G696" s="4" t="s">
        <v>58</v>
      </c>
      <c r="H696" s="4" t="s">
        <v>41</v>
      </c>
      <c r="I696" s="4" t="s">
        <v>101</v>
      </c>
      <c r="J696" s="4" t="s">
        <v>32</v>
      </c>
      <c r="K696" s="4" t="s">
        <v>2949</v>
      </c>
      <c r="L696" s="4" t="str">
        <f t="shared" si="10"/>
        <v>Different owner &amp; contact</v>
      </c>
    </row>
    <row r="697" spans="1:12" ht="15" customHeight="1" x14ac:dyDescent="0.3">
      <c r="A697" s="4" t="s">
        <v>2958</v>
      </c>
      <c r="B697" s="4" t="s">
        <v>2959</v>
      </c>
      <c r="C697" s="4" t="s">
        <v>2960</v>
      </c>
      <c r="D697" s="4" t="s">
        <v>2961</v>
      </c>
      <c r="E697" s="4" t="s">
        <v>91</v>
      </c>
      <c r="F697" s="4" t="s">
        <v>2962</v>
      </c>
      <c r="G697" s="4" t="s">
        <v>124</v>
      </c>
      <c r="H697" s="4" t="s">
        <v>41</v>
      </c>
      <c r="I697" s="4" t="s">
        <v>42</v>
      </c>
      <c r="J697" s="4" t="s">
        <v>32</v>
      </c>
      <c r="K697" s="4" t="s">
        <v>2960</v>
      </c>
      <c r="L697" s="4" t="str">
        <f t="shared" si="10"/>
        <v>Different owner</v>
      </c>
    </row>
    <row r="698" spans="1:12" ht="15" customHeight="1" x14ac:dyDescent="0.3">
      <c r="A698" s="4" t="s">
        <v>2963</v>
      </c>
      <c r="B698" s="4" t="s">
        <v>2964</v>
      </c>
      <c r="C698" s="4" t="s">
        <v>2965</v>
      </c>
      <c r="D698" s="4" t="s">
        <v>2966</v>
      </c>
      <c r="E698" s="4" t="s">
        <v>106</v>
      </c>
      <c r="F698" s="4" t="s">
        <v>2967</v>
      </c>
      <c r="G698" s="4" t="s">
        <v>124</v>
      </c>
      <c r="H698" s="4" t="s">
        <v>68</v>
      </c>
      <c r="I698" s="4" t="s">
        <v>1604</v>
      </c>
      <c r="J698" s="4" t="s">
        <v>106</v>
      </c>
      <c r="K698" s="4" t="s">
        <v>2968</v>
      </c>
      <c r="L698" s="4" t="str">
        <f t="shared" si="10"/>
        <v>Different contact</v>
      </c>
    </row>
    <row r="699" spans="1:12" ht="15" customHeight="1" x14ac:dyDescent="0.3">
      <c r="A699" s="4" t="s">
        <v>2969</v>
      </c>
      <c r="B699" s="4" t="s">
        <v>2970</v>
      </c>
      <c r="C699" s="4" t="s">
        <v>2971</v>
      </c>
      <c r="D699" s="4" t="s">
        <v>2972</v>
      </c>
      <c r="E699" s="4" t="s">
        <v>56</v>
      </c>
      <c r="F699" s="4" t="s">
        <v>2973</v>
      </c>
      <c r="G699" s="4" t="s">
        <v>84</v>
      </c>
      <c r="H699" s="4" t="s">
        <v>116</v>
      </c>
      <c r="I699" s="4" t="s">
        <v>2227</v>
      </c>
      <c r="J699" s="4" t="s">
        <v>32</v>
      </c>
      <c r="K699" s="4" t="s">
        <v>2974</v>
      </c>
      <c r="L699" s="4" t="str">
        <f t="shared" si="10"/>
        <v>Different owner &amp; contact</v>
      </c>
    </row>
    <row r="700" spans="1:12" ht="15" customHeight="1" x14ac:dyDescent="0.3">
      <c r="A700" s="4" t="s">
        <v>2975</v>
      </c>
      <c r="B700" s="4" t="s">
        <v>2976</v>
      </c>
      <c r="C700" s="4" t="s">
        <v>2977</v>
      </c>
      <c r="D700" s="4"/>
      <c r="E700" s="4" t="s">
        <v>47</v>
      </c>
      <c r="F700" s="4" t="s">
        <v>2978</v>
      </c>
      <c r="G700" s="4" t="s">
        <v>577</v>
      </c>
      <c r="H700" s="4" t="s">
        <v>30</v>
      </c>
      <c r="I700" s="4" t="s">
        <v>125</v>
      </c>
      <c r="J700" s="4" t="s">
        <v>32</v>
      </c>
      <c r="K700" s="4" t="s">
        <v>2977</v>
      </c>
      <c r="L700" s="4" t="str">
        <f t="shared" si="10"/>
        <v>Different owner</v>
      </c>
    </row>
    <row r="701" spans="1:12" ht="15" customHeight="1" x14ac:dyDescent="0.3">
      <c r="A701" s="4" t="s">
        <v>2979</v>
      </c>
      <c r="B701" s="4" t="s">
        <v>2980</v>
      </c>
      <c r="C701" s="4" t="s">
        <v>2981</v>
      </c>
      <c r="D701" s="4" t="s">
        <v>2982</v>
      </c>
      <c r="E701" s="4" t="s">
        <v>106</v>
      </c>
      <c r="F701" s="4" t="s">
        <v>2983</v>
      </c>
      <c r="G701" s="4" t="s">
        <v>124</v>
      </c>
      <c r="H701" s="4" t="s">
        <v>68</v>
      </c>
      <c r="I701" s="4" t="s">
        <v>432</v>
      </c>
      <c r="J701" s="4" t="s">
        <v>106</v>
      </c>
      <c r="K701" s="4" t="s">
        <v>2984</v>
      </c>
      <c r="L701" s="4" t="str">
        <f t="shared" si="10"/>
        <v>Different contact</v>
      </c>
    </row>
    <row r="702" spans="1:12" ht="15" customHeight="1" x14ac:dyDescent="0.3">
      <c r="A702" s="4" t="s">
        <v>2985</v>
      </c>
      <c r="B702" s="4" t="s">
        <v>2986</v>
      </c>
      <c r="C702" s="4" t="s">
        <v>2987</v>
      </c>
      <c r="D702" s="4" t="s">
        <v>2988</v>
      </c>
      <c r="E702" s="4" t="s">
        <v>27</v>
      </c>
      <c r="F702" s="4" t="s">
        <v>2989</v>
      </c>
      <c r="G702" s="4" t="s">
        <v>49</v>
      </c>
      <c r="H702" s="4" t="s">
        <v>68</v>
      </c>
      <c r="I702" s="4" t="s">
        <v>714</v>
      </c>
      <c r="J702" s="4" t="s">
        <v>34</v>
      </c>
      <c r="K702" s="4" t="s">
        <v>2990</v>
      </c>
      <c r="L702" s="4" t="str">
        <f t="shared" si="10"/>
        <v>Different owner &amp; contact</v>
      </c>
    </row>
    <row r="703" spans="1:12" ht="15" customHeight="1" x14ac:dyDescent="0.3">
      <c r="A703" s="4" t="s">
        <v>2991</v>
      </c>
      <c r="B703" s="4" t="s">
        <v>2986</v>
      </c>
      <c r="C703" s="4"/>
      <c r="D703" s="4"/>
      <c r="E703" s="4" t="s">
        <v>34</v>
      </c>
      <c r="F703" s="4" t="s">
        <v>2989</v>
      </c>
      <c r="G703" s="4" t="s">
        <v>49</v>
      </c>
      <c r="H703" s="4" t="s">
        <v>68</v>
      </c>
      <c r="I703" s="4" t="s">
        <v>714</v>
      </c>
      <c r="J703" s="4" t="s">
        <v>34</v>
      </c>
      <c r="K703" s="4" t="s">
        <v>2990</v>
      </c>
      <c r="L703" s="4" t="str">
        <f t="shared" si="10"/>
        <v>Different contact</v>
      </c>
    </row>
    <row r="704" spans="1:12" ht="15" customHeight="1" x14ac:dyDescent="0.3">
      <c r="A704" s="4" t="s">
        <v>2992</v>
      </c>
      <c r="B704" s="4" t="s">
        <v>2986</v>
      </c>
      <c r="C704" s="4"/>
      <c r="D704" s="4" t="s">
        <v>2988</v>
      </c>
      <c r="E704" s="4" t="s">
        <v>34</v>
      </c>
      <c r="F704" s="4" t="s">
        <v>2989</v>
      </c>
      <c r="G704" s="4" t="s">
        <v>49</v>
      </c>
      <c r="H704" s="4" t="s">
        <v>68</v>
      </c>
      <c r="I704" s="4" t="s">
        <v>714</v>
      </c>
      <c r="J704" s="4" t="s">
        <v>34</v>
      </c>
      <c r="K704" s="4" t="s">
        <v>2990</v>
      </c>
      <c r="L704" s="4" t="str">
        <f t="shared" si="10"/>
        <v>Different contact</v>
      </c>
    </row>
    <row r="705" spans="1:12" ht="15" customHeight="1" x14ac:dyDescent="0.3">
      <c r="A705" s="4" t="s">
        <v>2993</v>
      </c>
      <c r="B705" s="4" t="s">
        <v>2986</v>
      </c>
      <c r="C705" s="4" t="s">
        <v>2994</v>
      </c>
      <c r="D705" s="4" t="s">
        <v>2995</v>
      </c>
      <c r="E705" s="4" t="s">
        <v>47</v>
      </c>
      <c r="F705" s="4" t="s">
        <v>2989</v>
      </c>
      <c r="G705" s="4" t="s">
        <v>49</v>
      </c>
      <c r="H705" s="4" t="s">
        <v>68</v>
      </c>
      <c r="I705" s="4" t="s">
        <v>714</v>
      </c>
      <c r="J705" s="4" t="s">
        <v>34</v>
      </c>
      <c r="K705" s="4" t="s">
        <v>2990</v>
      </c>
      <c r="L705" s="4" t="str">
        <f t="shared" si="10"/>
        <v>Different owner &amp; contact</v>
      </c>
    </row>
    <row r="706" spans="1:12" ht="15" customHeight="1" x14ac:dyDescent="0.3">
      <c r="A706" s="4" t="s">
        <v>2996</v>
      </c>
      <c r="B706" s="4" t="s">
        <v>2986</v>
      </c>
      <c r="C706" s="4"/>
      <c r="D706" s="4"/>
      <c r="E706" s="4" t="s">
        <v>34</v>
      </c>
      <c r="F706" s="4" t="s">
        <v>2989</v>
      </c>
      <c r="G706" s="4" t="s">
        <v>49</v>
      </c>
      <c r="H706" s="4" t="s">
        <v>68</v>
      </c>
      <c r="I706" s="4" t="s">
        <v>714</v>
      </c>
      <c r="J706" s="4" t="s">
        <v>34</v>
      </c>
      <c r="K706" s="4" t="s">
        <v>2990</v>
      </c>
      <c r="L706" s="4" t="str">
        <f t="shared" ref="L706:L769" si="11">IF(AND(TRIM(LOWER(E706))=TRIM(LOWER(J706)),TRIM(LOWER(C706))=TRIM(LOWER(K706))),"Match",IF(AND(NOT(TRIM(LOWER(E706))=TRIM(LOWER(J706))),TRIM(LOWER(C706))=TRIM(LOWER(K706))),"Different owner",IF(AND(TRIM(LOWER(E706))=TRIM(LOWER(J706)),NOT(TRIM(LOWER(C706))=TRIM(LOWER(K706)))),"Different contact","Different owner &amp; contact")))</f>
        <v>Different contact</v>
      </c>
    </row>
    <row r="707" spans="1:12" ht="15" customHeight="1" x14ac:dyDescent="0.3">
      <c r="A707" s="4" t="s">
        <v>2997</v>
      </c>
      <c r="B707" s="4" t="s">
        <v>2998</v>
      </c>
      <c r="C707" s="4" t="s">
        <v>2999</v>
      </c>
      <c r="D707" s="4"/>
      <c r="E707" s="4" t="s">
        <v>91</v>
      </c>
      <c r="F707" s="4" t="s">
        <v>3000</v>
      </c>
      <c r="G707" s="4" t="s">
        <v>361</v>
      </c>
      <c r="H707" s="4" t="s">
        <v>41</v>
      </c>
      <c r="I707" s="4" t="s">
        <v>210</v>
      </c>
      <c r="J707" s="4" t="s">
        <v>94</v>
      </c>
      <c r="K707" s="4" t="s">
        <v>3001</v>
      </c>
      <c r="L707" s="4" t="str">
        <f t="shared" si="11"/>
        <v>Different owner &amp; contact</v>
      </c>
    </row>
    <row r="708" spans="1:12" ht="15" customHeight="1" x14ac:dyDescent="0.3">
      <c r="A708" s="4" t="s">
        <v>3002</v>
      </c>
      <c r="B708" s="4" t="s">
        <v>3003</v>
      </c>
      <c r="C708" s="4" t="s">
        <v>3004</v>
      </c>
      <c r="D708" s="4"/>
      <c r="E708" s="4" t="s">
        <v>91</v>
      </c>
      <c r="F708" s="4" t="s">
        <v>3005</v>
      </c>
      <c r="G708" s="4" t="s">
        <v>49</v>
      </c>
      <c r="H708" s="4" t="s">
        <v>68</v>
      </c>
      <c r="I708" s="4" t="s">
        <v>101</v>
      </c>
      <c r="J708" s="4" t="s">
        <v>32</v>
      </c>
      <c r="K708" s="4" t="s">
        <v>3004</v>
      </c>
      <c r="L708" s="4" t="str">
        <f t="shared" si="11"/>
        <v>Different owner</v>
      </c>
    </row>
    <row r="709" spans="1:12" ht="15" customHeight="1" x14ac:dyDescent="0.3">
      <c r="A709" s="4" t="s">
        <v>3006</v>
      </c>
      <c r="B709" s="4" t="s">
        <v>3007</v>
      </c>
      <c r="C709" s="4" t="s">
        <v>3008</v>
      </c>
      <c r="D709" s="4"/>
      <c r="E709" s="4" t="s">
        <v>343</v>
      </c>
      <c r="F709" s="4" t="s">
        <v>3009</v>
      </c>
      <c r="G709" s="4" t="s">
        <v>361</v>
      </c>
      <c r="H709" s="4" t="s">
        <v>41</v>
      </c>
      <c r="I709" s="4" t="s">
        <v>228</v>
      </c>
      <c r="J709" s="4" t="s">
        <v>66</v>
      </c>
      <c r="K709" s="4" t="s">
        <v>3010</v>
      </c>
      <c r="L709" s="4" t="str">
        <f t="shared" si="11"/>
        <v>Different owner &amp; contact</v>
      </c>
    </row>
    <row r="710" spans="1:12" ht="15" customHeight="1" x14ac:dyDescent="0.3">
      <c r="A710" s="4" t="s">
        <v>3011</v>
      </c>
      <c r="B710" s="4" t="s">
        <v>3012</v>
      </c>
      <c r="C710" s="4" t="s">
        <v>3013</v>
      </c>
      <c r="D710" s="4"/>
      <c r="E710" s="4" t="s">
        <v>91</v>
      </c>
      <c r="F710" s="4" t="s">
        <v>3014</v>
      </c>
      <c r="G710" s="4" t="s">
        <v>49</v>
      </c>
      <c r="H710" s="4" t="s">
        <v>68</v>
      </c>
      <c r="I710" s="4" t="s">
        <v>299</v>
      </c>
      <c r="J710" s="4" t="s">
        <v>94</v>
      </c>
      <c r="K710" s="4" t="s">
        <v>3015</v>
      </c>
      <c r="L710" s="4" t="str">
        <f t="shared" si="11"/>
        <v>Different owner &amp; contact</v>
      </c>
    </row>
    <row r="711" spans="1:12" ht="15" customHeight="1" x14ac:dyDescent="0.3">
      <c r="A711" s="4" t="s">
        <v>3016</v>
      </c>
      <c r="B711" s="4" t="s">
        <v>3017</v>
      </c>
      <c r="C711" s="4" t="s">
        <v>3018</v>
      </c>
      <c r="D711" s="4" t="s">
        <v>3019</v>
      </c>
      <c r="E711" s="4" t="s">
        <v>66</v>
      </c>
      <c r="F711" s="4" t="s">
        <v>3020</v>
      </c>
      <c r="G711" s="4" t="s">
        <v>49</v>
      </c>
      <c r="H711" s="4" t="s">
        <v>41</v>
      </c>
      <c r="I711" s="4" t="s">
        <v>404</v>
      </c>
      <c r="J711" s="4" t="s">
        <v>66</v>
      </c>
      <c r="K711" s="4" t="s">
        <v>3021</v>
      </c>
      <c r="L711" s="4" t="str">
        <f t="shared" si="11"/>
        <v>Different contact</v>
      </c>
    </row>
    <row r="712" spans="1:12" ht="15" customHeight="1" x14ac:dyDescent="0.3">
      <c r="A712" s="4" t="s">
        <v>3022</v>
      </c>
      <c r="B712" s="4" t="s">
        <v>3023</v>
      </c>
      <c r="C712" s="4" t="s">
        <v>3024</v>
      </c>
      <c r="D712" s="4"/>
      <c r="E712" s="4" t="s">
        <v>52</v>
      </c>
      <c r="F712" s="4" t="s">
        <v>3025</v>
      </c>
      <c r="G712" s="4" t="s">
        <v>58</v>
      </c>
      <c r="H712" s="4" t="s">
        <v>68</v>
      </c>
      <c r="I712" s="4" t="s">
        <v>93</v>
      </c>
      <c r="J712" s="4" t="s">
        <v>52</v>
      </c>
      <c r="K712" s="4" t="s">
        <v>3024</v>
      </c>
      <c r="L712" s="4" t="str">
        <f t="shared" si="11"/>
        <v>Match</v>
      </c>
    </row>
    <row r="713" spans="1:12" ht="15" customHeight="1" x14ac:dyDescent="0.3">
      <c r="A713" s="4" t="s">
        <v>3026</v>
      </c>
      <c r="B713" s="4" t="s">
        <v>3023</v>
      </c>
      <c r="C713" s="4" t="s">
        <v>3027</v>
      </c>
      <c r="D713" s="4"/>
      <c r="E713" s="4" t="s">
        <v>52</v>
      </c>
      <c r="F713" s="4" t="s">
        <v>3025</v>
      </c>
      <c r="G713" s="4" t="s">
        <v>58</v>
      </c>
      <c r="H713" s="4" t="s">
        <v>68</v>
      </c>
      <c r="I713" s="4" t="s">
        <v>93</v>
      </c>
      <c r="J713" s="4" t="s">
        <v>52</v>
      </c>
      <c r="K713" s="4" t="s">
        <v>3024</v>
      </c>
      <c r="L713" s="4" t="str">
        <f t="shared" si="11"/>
        <v>Different contact</v>
      </c>
    </row>
    <row r="714" spans="1:12" ht="15" customHeight="1" x14ac:dyDescent="0.3">
      <c r="A714" s="4" t="s">
        <v>3028</v>
      </c>
      <c r="B714" s="4" t="s">
        <v>3029</v>
      </c>
      <c r="C714" s="4" t="s">
        <v>3030</v>
      </c>
      <c r="D714" s="4" t="s">
        <v>3031</v>
      </c>
      <c r="E714" s="4" t="s">
        <v>91</v>
      </c>
      <c r="F714" s="4" t="s">
        <v>3032</v>
      </c>
      <c r="G714" s="4" t="s">
        <v>138</v>
      </c>
      <c r="H714" s="4" t="s">
        <v>68</v>
      </c>
      <c r="I714" s="4" t="s">
        <v>131</v>
      </c>
      <c r="J714" s="4" t="s">
        <v>32</v>
      </c>
      <c r="K714" s="4" t="s">
        <v>3033</v>
      </c>
      <c r="L714" s="4" t="str">
        <f t="shared" si="11"/>
        <v>Different owner &amp; contact</v>
      </c>
    </row>
    <row r="715" spans="1:12" ht="15" customHeight="1" x14ac:dyDescent="0.3">
      <c r="A715" s="4" t="s">
        <v>3034</v>
      </c>
      <c r="B715" s="4" t="s">
        <v>3035</v>
      </c>
      <c r="C715" s="4" t="s">
        <v>3036</v>
      </c>
      <c r="D715" s="4"/>
      <c r="E715" s="4" t="s">
        <v>106</v>
      </c>
      <c r="F715" s="4" t="s">
        <v>3037</v>
      </c>
      <c r="G715" s="4" t="s">
        <v>29</v>
      </c>
      <c r="H715" s="4" t="s">
        <v>68</v>
      </c>
      <c r="I715" s="4" t="s">
        <v>538</v>
      </c>
      <c r="J715" s="4" t="s">
        <v>106</v>
      </c>
      <c r="K715" s="4" t="s">
        <v>3038</v>
      </c>
      <c r="L715" s="4" t="str">
        <f t="shared" si="11"/>
        <v>Different contact</v>
      </c>
    </row>
    <row r="716" spans="1:12" ht="15" customHeight="1" x14ac:dyDescent="0.3">
      <c r="A716" s="4" t="s">
        <v>3039</v>
      </c>
      <c r="B716" s="4" t="s">
        <v>3040</v>
      </c>
      <c r="C716" s="4" t="s">
        <v>3041</v>
      </c>
      <c r="D716" s="4" t="s">
        <v>3042</v>
      </c>
      <c r="E716" s="4" t="s">
        <v>91</v>
      </c>
      <c r="F716" s="4" t="s">
        <v>3043</v>
      </c>
      <c r="G716" s="4" t="s">
        <v>361</v>
      </c>
      <c r="H716" s="4" t="s">
        <v>41</v>
      </c>
      <c r="I716" s="4" t="s">
        <v>42</v>
      </c>
      <c r="J716" s="4" t="s">
        <v>102</v>
      </c>
      <c r="K716" s="4" t="s">
        <v>3041</v>
      </c>
      <c r="L716" s="4" t="str">
        <f t="shared" si="11"/>
        <v>Different owner</v>
      </c>
    </row>
    <row r="717" spans="1:12" ht="15" customHeight="1" x14ac:dyDescent="0.3">
      <c r="A717" s="4" t="s">
        <v>3044</v>
      </c>
      <c r="B717" s="4" t="s">
        <v>3045</v>
      </c>
      <c r="C717" s="4"/>
      <c r="D717" s="4"/>
      <c r="E717" s="4" t="s">
        <v>385</v>
      </c>
      <c r="F717" s="4" t="s">
        <v>3046</v>
      </c>
      <c r="G717" s="4" t="s">
        <v>40</v>
      </c>
      <c r="H717" s="4" t="s">
        <v>41</v>
      </c>
      <c r="I717" s="4" t="s">
        <v>149</v>
      </c>
      <c r="J717" s="4" t="s">
        <v>106</v>
      </c>
      <c r="K717" s="4" t="s">
        <v>1506</v>
      </c>
      <c r="L717" s="4" t="str">
        <f t="shared" si="11"/>
        <v>Different owner &amp; contact</v>
      </c>
    </row>
    <row r="718" spans="1:12" ht="15" customHeight="1" x14ac:dyDescent="0.3">
      <c r="A718" s="4" t="s">
        <v>3047</v>
      </c>
      <c r="B718" s="4" t="s">
        <v>3048</v>
      </c>
      <c r="C718" s="4" t="s">
        <v>3049</v>
      </c>
      <c r="D718" s="4" t="s">
        <v>3050</v>
      </c>
      <c r="E718" s="4" t="s">
        <v>106</v>
      </c>
      <c r="F718" s="4" t="s">
        <v>3051</v>
      </c>
      <c r="G718" s="4" t="s">
        <v>130</v>
      </c>
      <c r="H718" s="4" t="s">
        <v>41</v>
      </c>
      <c r="I718" s="4" t="s">
        <v>42</v>
      </c>
      <c r="J718" s="4" t="s">
        <v>106</v>
      </c>
      <c r="K718" s="4" t="s">
        <v>3052</v>
      </c>
      <c r="L718" s="4" t="str">
        <f t="shared" si="11"/>
        <v>Different contact</v>
      </c>
    </row>
    <row r="719" spans="1:12" ht="15" customHeight="1" x14ac:dyDescent="0.3">
      <c r="A719" s="4" t="s">
        <v>1559</v>
      </c>
      <c r="B719" s="4" t="s">
        <v>3053</v>
      </c>
      <c r="C719" s="4" t="s">
        <v>3054</v>
      </c>
      <c r="D719" s="4" t="s">
        <v>3055</v>
      </c>
      <c r="E719" s="4" t="s">
        <v>27</v>
      </c>
      <c r="F719" s="4" t="s">
        <v>3056</v>
      </c>
      <c r="G719" s="4" t="s">
        <v>130</v>
      </c>
      <c r="H719" s="4" t="s">
        <v>41</v>
      </c>
      <c r="I719" s="4" t="s">
        <v>51</v>
      </c>
      <c r="J719" s="4" t="s">
        <v>52</v>
      </c>
      <c r="K719" s="4" t="s">
        <v>3057</v>
      </c>
      <c r="L719" s="4" t="str">
        <f t="shared" si="11"/>
        <v>Different owner &amp; contact</v>
      </c>
    </row>
    <row r="720" spans="1:12" ht="15" customHeight="1" x14ac:dyDescent="0.3">
      <c r="A720" s="4" t="s">
        <v>3058</v>
      </c>
      <c r="B720" s="4" t="s">
        <v>3053</v>
      </c>
      <c r="C720" s="4" t="s">
        <v>3059</v>
      </c>
      <c r="D720" s="4" t="s">
        <v>3060</v>
      </c>
      <c r="E720" s="4" t="s">
        <v>27</v>
      </c>
      <c r="F720" s="4" t="s">
        <v>3056</v>
      </c>
      <c r="G720" s="4" t="s">
        <v>130</v>
      </c>
      <c r="H720" s="4" t="s">
        <v>41</v>
      </c>
      <c r="I720" s="4" t="s">
        <v>51</v>
      </c>
      <c r="J720" s="4" t="s">
        <v>52</v>
      </c>
      <c r="K720" s="4" t="s">
        <v>3057</v>
      </c>
      <c r="L720" s="4" t="str">
        <f t="shared" si="11"/>
        <v>Different owner &amp; contact</v>
      </c>
    </row>
    <row r="721" spans="1:12" ht="15" customHeight="1" x14ac:dyDescent="0.3">
      <c r="A721" s="4" t="s">
        <v>3061</v>
      </c>
      <c r="B721" s="4" t="s">
        <v>3062</v>
      </c>
      <c r="C721" s="4" t="s">
        <v>3063</v>
      </c>
      <c r="D721" s="4"/>
      <c r="E721" s="4" t="s">
        <v>47</v>
      </c>
      <c r="F721" s="4" t="s">
        <v>3064</v>
      </c>
      <c r="G721" s="4" t="s">
        <v>40</v>
      </c>
      <c r="H721" s="4" t="s">
        <v>30</v>
      </c>
      <c r="I721" s="4" t="s">
        <v>125</v>
      </c>
      <c r="J721" s="4" t="s">
        <v>52</v>
      </c>
      <c r="K721" s="4" t="s">
        <v>3065</v>
      </c>
      <c r="L721" s="4" t="str">
        <f t="shared" si="11"/>
        <v>Different owner &amp; contact</v>
      </c>
    </row>
    <row r="722" spans="1:12" ht="15" customHeight="1" x14ac:dyDescent="0.3">
      <c r="A722" s="4" t="s">
        <v>785</v>
      </c>
      <c r="B722" s="4" t="s">
        <v>3066</v>
      </c>
      <c r="C722" s="4"/>
      <c r="D722" s="4" t="s">
        <v>3067</v>
      </c>
      <c r="E722" s="4" t="s">
        <v>385</v>
      </c>
      <c r="F722" s="4" t="s">
        <v>3068</v>
      </c>
      <c r="G722" s="4" t="s">
        <v>58</v>
      </c>
      <c r="H722" s="4" t="s">
        <v>41</v>
      </c>
      <c r="I722" s="4" t="s">
        <v>101</v>
      </c>
      <c r="J722" s="4" t="s">
        <v>34</v>
      </c>
      <c r="K722" s="4" t="s">
        <v>3069</v>
      </c>
      <c r="L722" s="4" t="str">
        <f t="shared" si="11"/>
        <v>Different owner &amp; contact</v>
      </c>
    </row>
    <row r="723" spans="1:12" ht="15" customHeight="1" x14ac:dyDescent="0.3">
      <c r="A723" s="4" t="s">
        <v>3070</v>
      </c>
      <c r="B723" s="4" t="s">
        <v>3066</v>
      </c>
      <c r="C723" s="4"/>
      <c r="D723" s="4"/>
      <c r="E723" s="4" t="s">
        <v>34</v>
      </c>
      <c r="F723" s="4" t="s">
        <v>3068</v>
      </c>
      <c r="G723" s="4" t="s">
        <v>58</v>
      </c>
      <c r="H723" s="4" t="s">
        <v>41</v>
      </c>
      <c r="I723" s="4" t="s">
        <v>101</v>
      </c>
      <c r="J723" s="4" t="s">
        <v>34</v>
      </c>
      <c r="K723" s="4" t="s">
        <v>3069</v>
      </c>
      <c r="L723" s="4" t="str">
        <f t="shared" si="11"/>
        <v>Different contact</v>
      </c>
    </row>
    <row r="724" spans="1:12" ht="15" customHeight="1" x14ac:dyDescent="0.3">
      <c r="A724" s="4" t="s">
        <v>3071</v>
      </c>
      <c r="B724" s="4" t="s">
        <v>3066</v>
      </c>
      <c r="C724" s="4" t="s">
        <v>3069</v>
      </c>
      <c r="D724" s="4"/>
      <c r="E724" s="4" t="s">
        <v>343</v>
      </c>
      <c r="F724" s="4" t="s">
        <v>3068</v>
      </c>
      <c r="G724" s="4" t="s">
        <v>58</v>
      </c>
      <c r="H724" s="4" t="s">
        <v>41</v>
      </c>
      <c r="I724" s="4" t="s">
        <v>101</v>
      </c>
      <c r="J724" s="4" t="s">
        <v>34</v>
      </c>
      <c r="K724" s="4" t="s">
        <v>3069</v>
      </c>
      <c r="L724" s="4" t="str">
        <f t="shared" si="11"/>
        <v>Different owner</v>
      </c>
    </row>
    <row r="725" spans="1:12" ht="15" customHeight="1" x14ac:dyDescent="0.3">
      <c r="A725" s="4" t="s">
        <v>3071</v>
      </c>
      <c r="B725" s="4" t="s">
        <v>3066</v>
      </c>
      <c r="C725" s="4" t="s">
        <v>3072</v>
      </c>
      <c r="D725" s="4" t="s">
        <v>3073</v>
      </c>
      <c r="E725" s="4" t="s">
        <v>52</v>
      </c>
      <c r="F725" s="4" t="s">
        <v>3068</v>
      </c>
      <c r="G725" s="4" t="s">
        <v>58</v>
      </c>
      <c r="H725" s="4" t="s">
        <v>41</v>
      </c>
      <c r="I725" s="4" t="s">
        <v>101</v>
      </c>
      <c r="J725" s="4" t="s">
        <v>34</v>
      </c>
      <c r="K725" s="4" t="s">
        <v>3069</v>
      </c>
      <c r="L725" s="4" t="str">
        <f t="shared" si="11"/>
        <v>Different owner &amp; contact</v>
      </c>
    </row>
    <row r="726" spans="1:12" ht="15" customHeight="1" x14ac:dyDescent="0.3">
      <c r="A726" s="4" t="s">
        <v>3074</v>
      </c>
      <c r="B726" s="4" t="s">
        <v>3075</v>
      </c>
      <c r="C726" s="4"/>
      <c r="D726" s="4" t="s">
        <v>3076</v>
      </c>
      <c r="E726" s="4" t="s">
        <v>385</v>
      </c>
      <c r="F726" s="4" t="s">
        <v>3077</v>
      </c>
      <c r="G726" s="4" t="s">
        <v>124</v>
      </c>
      <c r="H726" s="4" t="s">
        <v>30</v>
      </c>
      <c r="I726" s="4" t="s">
        <v>125</v>
      </c>
      <c r="J726" s="4" t="s">
        <v>52</v>
      </c>
      <c r="K726" s="4" t="s">
        <v>3078</v>
      </c>
      <c r="L726" s="4" t="str">
        <f t="shared" si="11"/>
        <v>Different owner &amp; contact</v>
      </c>
    </row>
    <row r="727" spans="1:12" ht="15" customHeight="1" x14ac:dyDescent="0.3">
      <c r="A727" s="4" t="s">
        <v>3079</v>
      </c>
      <c r="B727" s="4" t="s">
        <v>3075</v>
      </c>
      <c r="C727" s="4" t="s">
        <v>3080</v>
      </c>
      <c r="D727" s="4"/>
      <c r="E727" s="4" t="s">
        <v>52</v>
      </c>
      <c r="F727" s="4" t="s">
        <v>3077</v>
      </c>
      <c r="G727" s="4" t="s">
        <v>124</v>
      </c>
      <c r="H727" s="4" t="s">
        <v>30</v>
      </c>
      <c r="I727" s="4" t="s">
        <v>125</v>
      </c>
      <c r="J727" s="4" t="s">
        <v>52</v>
      </c>
      <c r="K727" s="4" t="s">
        <v>3078</v>
      </c>
      <c r="L727" s="4" t="str">
        <f t="shared" si="11"/>
        <v>Different contact</v>
      </c>
    </row>
    <row r="728" spans="1:12" ht="15" customHeight="1" x14ac:dyDescent="0.3">
      <c r="A728" s="4" t="s">
        <v>3081</v>
      </c>
      <c r="B728" s="4" t="s">
        <v>3082</v>
      </c>
      <c r="C728" s="4" t="s">
        <v>3083</v>
      </c>
      <c r="D728" s="4" t="s">
        <v>3084</v>
      </c>
      <c r="E728" s="4" t="s">
        <v>56</v>
      </c>
      <c r="F728" s="4" t="s">
        <v>3085</v>
      </c>
      <c r="G728" s="4" t="s">
        <v>58</v>
      </c>
      <c r="H728" s="4" t="s">
        <v>68</v>
      </c>
      <c r="I728" s="4" t="s">
        <v>299</v>
      </c>
      <c r="J728" s="4" t="s">
        <v>34</v>
      </c>
      <c r="K728" s="4" t="s">
        <v>3083</v>
      </c>
      <c r="L728" s="4" t="str">
        <f t="shared" si="11"/>
        <v>Different owner</v>
      </c>
    </row>
    <row r="729" spans="1:12" ht="15" customHeight="1" x14ac:dyDescent="0.3">
      <c r="A729" s="4" t="s">
        <v>3086</v>
      </c>
      <c r="B729" s="4" t="s">
        <v>3087</v>
      </c>
      <c r="C729" s="4" t="s">
        <v>3088</v>
      </c>
      <c r="D729" s="4" t="s">
        <v>3089</v>
      </c>
      <c r="E729" s="4" t="s">
        <v>91</v>
      </c>
      <c r="F729" s="4" t="s">
        <v>3090</v>
      </c>
      <c r="G729" s="4" t="s">
        <v>58</v>
      </c>
      <c r="H729" s="4" t="s">
        <v>30</v>
      </c>
      <c r="I729" s="4" t="s">
        <v>2227</v>
      </c>
      <c r="J729" s="4" t="s">
        <v>32</v>
      </c>
      <c r="K729" s="4" t="s">
        <v>3091</v>
      </c>
      <c r="L729" s="4" t="str">
        <f t="shared" si="11"/>
        <v>Different owner &amp; contact</v>
      </c>
    </row>
    <row r="730" spans="1:12" ht="15" customHeight="1" x14ac:dyDescent="0.3">
      <c r="A730" s="4" t="s">
        <v>3092</v>
      </c>
      <c r="B730" s="4" t="s">
        <v>3093</v>
      </c>
      <c r="C730" s="4" t="s">
        <v>3094</v>
      </c>
      <c r="D730" s="4" t="s">
        <v>3095</v>
      </c>
      <c r="E730" s="4" t="s">
        <v>66</v>
      </c>
      <c r="F730" s="4" t="s">
        <v>3096</v>
      </c>
      <c r="G730" s="4" t="s">
        <v>124</v>
      </c>
      <c r="H730" s="4" t="s">
        <v>68</v>
      </c>
      <c r="I730" s="4" t="s">
        <v>538</v>
      </c>
      <c r="J730" s="4" t="s">
        <v>66</v>
      </c>
      <c r="K730" s="4" t="s">
        <v>3097</v>
      </c>
      <c r="L730" s="4" t="str">
        <f t="shared" si="11"/>
        <v>Different contact</v>
      </c>
    </row>
    <row r="731" spans="1:12" ht="15" customHeight="1" x14ac:dyDescent="0.3">
      <c r="A731" s="4" t="s">
        <v>3098</v>
      </c>
      <c r="B731" s="4" t="s">
        <v>3099</v>
      </c>
      <c r="C731" s="4"/>
      <c r="D731" s="4"/>
      <c r="E731" s="4" t="s">
        <v>34</v>
      </c>
      <c r="F731" s="4" t="s">
        <v>3100</v>
      </c>
      <c r="G731" s="4" t="s">
        <v>361</v>
      </c>
      <c r="H731" s="4" t="s">
        <v>41</v>
      </c>
      <c r="I731" s="4" t="s">
        <v>101</v>
      </c>
      <c r="J731" s="4" t="s">
        <v>34</v>
      </c>
      <c r="K731" s="4" t="s">
        <v>3101</v>
      </c>
      <c r="L731" s="4" t="str">
        <f t="shared" si="11"/>
        <v>Different contact</v>
      </c>
    </row>
    <row r="732" spans="1:12" ht="15" customHeight="1" x14ac:dyDescent="0.3">
      <c r="A732" s="4" t="s">
        <v>3102</v>
      </c>
      <c r="B732" s="4" t="s">
        <v>3099</v>
      </c>
      <c r="C732" s="4" t="s">
        <v>3101</v>
      </c>
      <c r="D732" s="4" t="s">
        <v>3103</v>
      </c>
      <c r="E732" s="4" t="s">
        <v>27</v>
      </c>
      <c r="F732" s="4" t="s">
        <v>3100</v>
      </c>
      <c r="G732" s="4" t="s">
        <v>361</v>
      </c>
      <c r="H732" s="4" t="s">
        <v>41</v>
      </c>
      <c r="I732" s="4" t="s">
        <v>101</v>
      </c>
      <c r="J732" s="4" t="s">
        <v>34</v>
      </c>
      <c r="K732" s="4" t="s">
        <v>3101</v>
      </c>
      <c r="L732" s="4" t="str">
        <f t="shared" si="11"/>
        <v>Different owner</v>
      </c>
    </row>
    <row r="733" spans="1:12" ht="15" customHeight="1" x14ac:dyDescent="0.3">
      <c r="A733" s="4" t="s">
        <v>3104</v>
      </c>
      <c r="B733" s="4" t="s">
        <v>3105</v>
      </c>
      <c r="C733" s="4"/>
      <c r="D733" s="4" t="s">
        <v>3106</v>
      </c>
      <c r="E733" s="4" t="s">
        <v>27</v>
      </c>
      <c r="F733" s="4" t="s">
        <v>3107</v>
      </c>
      <c r="G733" s="4" t="s">
        <v>29</v>
      </c>
      <c r="H733" s="4" t="s">
        <v>41</v>
      </c>
      <c r="I733" s="4" t="s">
        <v>533</v>
      </c>
      <c r="J733" s="4" t="s">
        <v>32</v>
      </c>
      <c r="K733" s="4" t="s">
        <v>3108</v>
      </c>
      <c r="L733" s="4" t="str">
        <f t="shared" si="11"/>
        <v>Different owner &amp; contact</v>
      </c>
    </row>
    <row r="734" spans="1:12" ht="15" customHeight="1" x14ac:dyDescent="0.3">
      <c r="A734" s="4" t="s">
        <v>3109</v>
      </c>
      <c r="B734" s="4" t="s">
        <v>3105</v>
      </c>
      <c r="C734" s="4"/>
      <c r="D734" s="4"/>
      <c r="E734" s="4" t="s">
        <v>34</v>
      </c>
      <c r="F734" s="4" t="s">
        <v>3107</v>
      </c>
      <c r="G734" s="4" t="s">
        <v>29</v>
      </c>
      <c r="H734" s="4" t="s">
        <v>41</v>
      </c>
      <c r="I734" s="4" t="s">
        <v>533</v>
      </c>
      <c r="J734" s="4" t="s">
        <v>32</v>
      </c>
      <c r="K734" s="4" t="s">
        <v>3108</v>
      </c>
      <c r="L734" s="4" t="str">
        <f t="shared" si="11"/>
        <v>Different owner &amp; contact</v>
      </c>
    </row>
    <row r="735" spans="1:12" ht="15" customHeight="1" x14ac:dyDescent="0.3">
      <c r="A735" s="4" t="s">
        <v>3110</v>
      </c>
      <c r="B735" s="4" t="s">
        <v>3111</v>
      </c>
      <c r="C735" s="4" t="s">
        <v>3112</v>
      </c>
      <c r="D735" s="4" t="s">
        <v>3113</v>
      </c>
      <c r="E735" s="4" t="s">
        <v>52</v>
      </c>
      <c r="F735" s="4" t="s">
        <v>3114</v>
      </c>
      <c r="G735" s="4" t="s">
        <v>29</v>
      </c>
      <c r="H735" s="4" t="s">
        <v>41</v>
      </c>
      <c r="I735" s="4" t="s">
        <v>101</v>
      </c>
      <c r="J735" s="4" t="s">
        <v>102</v>
      </c>
      <c r="K735" s="4" t="s">
        <v>3115</v>
      </c>
      <c r="L735" s="4" t="str">
        <f t="shared" si="11"/>
        <v>Different owner &amp; contact</v>
      </c>
    </row>
    <row r="736" spans="1:12" ht="15" customHeight="1" x14ac:dyDescent="0.3">
      <c r="A736" s="4" t="s">
        <v>3116</v>
      </c>
      <c r="B736" s="4" t="s">
        <v>3111</v>
      </c>
      <c r="C736" s="4"/>
      <c r="D736" s="4" t="s">
        <v>3117</v>
      </c>
      <c r="E736" s="4" t="s">
        <v>385</v>
      </c>
      <c r="F736" s="4" t="s">
        <v>3114</v>
      </c>
      <c r="G736" s="4" t="s">
        <v>29</v>
      </c>
      <c r="H736" s="4" t="s">
        <v>41</v>
      </c>
      <c r="I736" s="4" t="s">
        <v>101</v>
      </c>
      <c r="J736" s="4" t="s">
        <v>102</v>
      </c>
      <c r="K736" s="4" t="s">
        <v>3115</v>
      </c>
      <c r="L736" s="4" t="str">
        <f t="shared" si="11"/>
        <v>Different owner &amp; contact</v>
      </c>
    </row>
    <row r="737" spans="1:12" ht="15" customHeight="1" x14ac:dyDescent="0.3">
      <c r="A737" s="4" t="s">
        <v>3118</v>
      </c>
      <c r="B737" s="4" t="s">
        <v>3111</v>
      </c>
      <c r="C737" s="4"/>
      <c r="D737" s="4"/>
      <c r="E737" s="4" t="s">
        <v>34</v>
      </c>
      <c r="F737" s="4" t="s">
        <v>3114</v>
      </c>
      <c r="G737" s="4" t="s">
        <v>29</v>
      </c>
      <c r="H737" s="4" t="s">
        <v>41</v>
      </c>
      <c r="I737" s="4" t="s">
        <v>101</v>
      </c>
      <c r="J737" s="4" t="s">
        <v>102</v>
      </c>
      <c r="K737" s="4" t="s">
        <v>3115</v>
      </c>
      <c r="L737" s="4" t="str">
        <f t="shared" si="11"/>
        <v>Different owner &amp; contact</v>
      </c>
    </row>
    <row r="738" spans="1:12" ht="15" customHeight="1" x14ac:dyDescent="0.3">
      <c r="A738" s="4" t="s">
        <v>3119</v>
      </c>
      <c r="B738" s="4" t="s">
        <v>3120</v>
      </c>
      <c r="C738" s="4" t="s">
        <v>3121</v>
      </c>
      <c r="D738" s="4"/>
      <c r="E738" s="4" t="s">
        <v>56</v>
      </c>
      <c r="F738" s="4" t="s">
        <v>3122</v>
      </c>
      <c r="G738" s="4" t="s">
        <v>84</v>
      </c>
      <c r="H738" s="4" t="s">
        <v>68</v>
      </c>
      <c r="I738" s="4" t="s">
        <v>93</v>
      </c>
      <c r="J738" s="4" t="s">
        <v>32</v>
      </c>
      <c r="K738" s="4" t="s">
        <v>3123</v>
      </c>
      <c r="L738" s="4" t="str">
        <f t="shared" si="11"/>
        <v>Different owner &amp; contact</v>
      </c>
    </row>
    <row r="739" spans="1:12" ht="15" customHeight="1" x14ac:dyDescent="0.3">
      <c r="A739" s="4" t="s">
        <v>3124</v>
      </c>
      <c r="B739" s="4" t="s">
        <v>3125</v>
      </c>
      <c r="C739" s="4" t="s">
        <v>3126</v>
      </c>
      <c r="D739" s="4" t="s">
        <v>3127</v>
      </c>
      <c r="E739" s="4" t="s">
        <v>106</v>
      </c>
      <c r="F739" s="4" t="s">
        <v>3128</v>
      </c>
      <c r="G739" s="4" t="s">
        <v>124</v>
      </c>
      <c r="H739" s="4" t="s">
        <v>41</v>
      </c>
      <c r="I739" s="4" t="s">
        <v>404</v>
      </c>
      <c r="J739" s="4" t="s">
        <v>106</v>
      </c>
      <c r="K739" s="4" t="s">
        <v>3129</v>
      </c>
      <c r="L739" s="4" t="str">
        <f t="shared" si="11"/>
        <v>Different contact</v>
      </c>
    </row>
    <row r="740" spans="1:12" ht="15" customHeight="1" x14ac:dyDescent="0.3">
      <c r="A740" s="4" t="s">
        <v>3130</v>
      </c>
      <c r="B740" s="4" t="s">
        <v>3131</v>
      </c>
      <c r="C740" s="4" t="s">
        <v>3132</v>
      </c>
      <c r="D740" s="4" t="s">
        <v>3133</v>
      </c>
      <c r="E740" s="4" t="s">
        <v>66</v>
      </c>
      <c r="F740" s="4" t="s">
        <v>3134</v>
      </c>
      <c r="G740" s="4" t="s">
        <v>130</v>
      </c>
      <c r="H740" s="4" t="s">
        <v>41</v>
      </c>
      <c r="I740" s="4" t="s">
        <v>638</v>
      </c>
      <c r="J740" s="4" t="s">
        <v>66</v>
      </c>
      <c r="K740" s="4" t="s">
        <v>3135</v>
      </c>
      <c r="L740" s="4" t="str">
        <f t="shared" si="11"/>
        <v>Different contact</v>
      </c>
    </row>
    <row r="741" spans="1:12" ht="15" customHeight="1" x14ac:dyDescent="0.3">
      <c r="A741" s="4" t="s">
        <v>3136</v>
      </c>
      <c r="B741" s="4" t="s">
        <v>3137</v>
      </c>
      <c r="C741" s="4" t="s">
        <v>3138</v>
      </c>
      <c r="D741" s="4" t="s">
        <v>3139</v>
      </c>
      <c r="E741" s="4" t="s">
        <v>91</v>
      </c>
      <c r="F741" s="4" t="s">
        <v>3140</v>
      </c>
      <c r="G741" s="4" t="s">
        <v>49</v>
      </c>
      <c r="H741" s="4" t="s">
        <v>41</v>
      </c>
      <c r="I741" s="4" t="s">
        <v>42</v>
      </c>
      <c r="J741" s="4" t="s">
        <v>32</v>
      </c>
      <c r="K741" s="4" t="s">
        <v>3138</v>
      </c>
      <c r="L741" s="4" t="str">
        <f t="shared" si="11"/>
        <v>Different owner</v>
      </c>
    </row>
    <row r="742" spans="1:12" ht="15" customHeight="1" x14ac:dyDescent="0.3">
      <c r="A742" s="4" t="s">
        <v>3141</v>
      </c>
      <c r="B742" s="4" t="s">
        <v>3142</v>
      </c>
      <c r="C742" s="4" t="s">
        <v>3143</v>
      </c>
      <c r="D742" s="4" t="s">
        <v>3144</v>
      </c>
      <c r="E742" s="4" t="s">
        <v>47</v>
      </c>
      <c r="F742" s="4" t="s">
        <v>3145</v>
      </c>
      <c r="G742" s="4" t="s">
        <v>130</v>
      </c>
      <c r="H742" s="4" t="s">
        <v>41</v>
      </c>
      <c r="I742" s="4" t="s">
        <v>823</v>
      </c>
      <c r="J742" s="4" t="s">
        <v>106</v>
      </c>
      <c r="K742" s="4" t="s">
        <v>3143</v>
      </c>
      <c r="L742" s="4" t="str">
        <f t="shared" si="11"/>
        <v>Different owner</v>
      </c>
    </row>
    <row r="743" spans="1:12" ht="15" customHeight="1" x14ac:dyDescent="0.3">
      <c r="A743" s="4" t="s">
        <v>3146</v>
      </c>
      <c r="B743" s="4" t="s">
        <v>3147</v>
      </c>
      <c r="C743" s="4" t="s">
        <v>3148</v>
      </c>
      <c r="D743" s="4" t="s">
        <v>3149</v>
      </c>
      <c r="E743" s="4" t="s">
        <v>27</v>
      </c>
      <c r="F743" s="4" t="s">
        <v>3150</v>
      </c>
      <c r="G743" s="4" t="s">
        <v>163</v>
      </c>
      <c r="H743" s="4" t="s">
        <v>68</v>
      </c>
      <c r="I743" s="4" t="s">
        <v>93</v>
      </c>
      <c r="J743" s="4" t="s">
        <v>52</v>
      </c>
      <c r="K743" s="4" t="s">
        <v>3151</v>
      </c>
      <c r="L743" s="4" t="str">
        <f t="shared" si="11"/>
        <v>Different owner &amp; contact</v>
      </c>
    </row>
    <row r="744" spans="1:12" ht="15" customHeight="1" x14ac:dyDescent="0.3">
      <c r="A744" s="4" t="s">
        <v>3152</v>
      </c>
      <c r="B744" s="4" t="s">
        <v>3153</v>
      </c>
      <c r="C744" s="4" t="s">
        <v>3154</v>
      </c>
      <c r="D744" s="4"/>
      <c r="E744" s="4" t="s">
        <v>91</v>
      </c>
      <c r="F744" s="4" t="s">
        <v>3155</v>
      </c>
      <c r="G744" s="4" t="s">
        <v>84</v>
      </c>
      <c r="H744" s="4" t="s">
        <v>68</v>
      </c>
      <c r="I744" s="4" t="s">
        <v>538</v>
      </c>
      <c r="J744" s="4" t="s">
        <v>32</v>
      </c>
      <c r="K744" s="4" t="s">
        <v>3154</v>
      </c>
      <c r="L744" s="4" t="str">
        <f t="shared" si="11"/>
        <v>Different owner</v>
      </c>
    </row>
    <row r="745" spans="1:12" ht="15" customHeight="1" x14ac:dyDescent="0.3">
      <c r="A745" s="4" t="s">
        <v>3156</v>
      </c>
      <c r="B745" s="4" t="s">
        <v>3157</v>
      </c>
      <c r="C745" s="4"/>
      <c r="D745" s="4" t="s">
        <v>3158</v>
      </c>
      <c r="E745" s="4" t="s">
        <v>56</v>
      </c>
      <c r="F745" s="4" t="s">
        <v>3159</v>
      </c>
      <c r="G745" s="4" t="s">
        <v>130</v>
      </c>
      <c r="H745" s="4" t="s">
        <v>41</v>
      </c>
      <c r="I745" s="4" t="s">
        <v>823</v>
      </c>
      <c r="J745" s="4" t="s">
        <v>60</v>
      </c>
      <c r="K745" s="4" t="s">
        <v>3160</v>
      </c>
      <c r="L745" s="4" t="str">
        <f t="shared" si="11"/>
        <v>Different owner &amp; contact</v>
      </c>
    </row>
    <row r="746" spans="1:12" ht="15" customHeight="1" x14ac:dyDescent="0.3">
      <c r="A746" s="4" t="s">
        <v>3161</v>
      </c>
      <c r="B746" s="4" t="s">
        <v>3162</v>
      </c>
      <c r="C746" s="4" t="s">
        <v>3163</v>
      </c>
      <c r="D746" s="4"/>
      <c r="E746" s="4" t="s">
        <v>91</v>
      </c>
      <c r="F746" s="4" t="s">
        <v>3164</v>
      </c>
      <c r="G746" s="4" t="s">
        <v>58</v>
      </c>
      <c r="H746" s="4" t="s">
        <v>68</v>
      </c>
      <c r="I746" s="4" t="s">
        <v>404</v>
      </c>
      <c r="J746" s="4" t="s">
        <v>32</v>
      </c>
      <c r="K746" s="4" t="s">
        <v>3163</v>
      </c>
      <c r="L746" s="4" t="str">
        <f t="shared" si="11"/>
        <v>Different owner</v>
      </c>
    </row>
    <row r="747" spans="1:12" ht="15" customHeight="1" x14ac:dyDescent="0.3">
      <c r="A747" s="4" t="s">
        <v>3165</v>
      </c>
      <c r="B747" s="4" t="s">
        <v>3166</v>
      </c>
      <c r="C747" s="4" t="s">
        <v>3167</v>
      </c>
      <c r="D747" s="4"/>
      <c r="E747" s="4" t="s">
        <v>56</v>
      </c>
      <c r="F747" s="4" t="s">
        <v>3168</v>
      </c>
      <c r="G747" s="4" t="s">
        <v>361</v>
      </c>
      <c r="H747" s="4" t="s">
        <v>30</v>
      </c>
      <c r="I747" s="4" t="s">
        <v>299</v>
      </c>
      <c r="J747" s="4" t="s">
        <v>60</v>
      </c>
      <c r="K747" s="4" t="s">
        <v>3169</v>
      </c>
      <c r="L747" s="4" t="str">
        <f t="shared" si="11"/>
        <v>Different owner &amp; contact</v>
      </c>
    </row>
    <row r="748" spans="1:12" ht="15" customHeight="1" x14ac:dyDescent="0.3">
      <c r="A748" s="4" t="s">
        <v>3170</v>
      </c>
      <c r="B748" s="4" t="s">
        <v>3171</v>
      </c>
      <c r="C748" s="4" t="s">
        <v>3172</v>
      </c>
      <c r="D748" s="4"/>
      <c r="E748" s="4" t="s">
        <v>106</v>
      </c>
      <c r="F748" s="4" t="s">
        <v>3173</v>
      </c>
      <c r="G748" s="4" t="s">
        <v>29</v>
      </c>
      <c r="H748" s="4" t="s">
        <v>68</v>
      </c>
      <c r="I748" s="4" t="s">
        <v>538</v>
      </c>
      <c r="J748" s="4" t="s">
        <v>32</v>
      </c>
      <c r="K748" s="4" t="s">
        <v>3174</v>
      </c>
      <c r="L748" s="4" t="str">
        <f t="shared" si="11"/>
        <v>Different owner &amp; contact</v>
      </c>
    </row>
    <row r="749" spans="1:12" ht="15" customHeight="1" x14ac:dyDescent="0.3">
      <c r="A749" s="4" t="s">
        <v>3175</v>
      </c>
      <c r="B749" s="4" t="s">
        <v>3176</v>
      </c>
      <c r="C749" s="4" t="s">
        <v>3177</v>
      </c>
      <c r="D749" s="4"/>
      <c r="E749" s="4" t="s">
        <v>106</v>
      </c>
      <c r="F749" s="4" t="s">
        <v>3178</v>
      </c>
      <c r="G749" s="4" t="s">
        <v>40</v>
      </c>
      <c r="H749" s="4" t="s">
        <v>41</v>
      </c>
      <c r="I749" s="4" t="s">
        <v>944</v>
      </c>
      <c r="J749" s="4" t="s">
        <v>106</v>
      </c>
      <c r="K749" s="4" t="s">
        <v>3177</v>
      </c>
      <c r="L749" s="4" t="str">
        <f t="shared" si="11"/>
        <v>Match</v>
      </c>
    </row>
    <row r="750" spans="1:12" ht="15" customHeight="1" x14ac:dyDescent="0.3">
      <c r="A750" s="4" t="s">
        <v>3179</v>
      </c>
      <c r="B750" s="4" t="s">
        <v>3180</v>
      </c>
      <c r="C750" s="4" t="s">
        <v>3181</v>
      </c>
      <c r="D750" s="4"/>
      <c r="E750" s="4" t="s">
        <v>66</v>
      </c>
      <c r="F750" s="4" t="s">
        <v>3182</v>
      </c>
      <c r="G750" s="4" t="s">
        <v>130</v>
      </c>
      <c r="H750" s="4" t="s">
        <v>41</v>
      </c>
      <c r="I750" s="4" t="s">
        <v>59</v>
      </c>
      <c r="J750" s="4" t="s">
        <v>34</v>
      </c>
      <c r="K750" s="4" t="s">
        <v>3181</v>
      </c>
      <c r="L750" s="4" t="str">
        <f t="shared" si="11"/>
        <v>Different owner</v>
      </c>
    </row>
    <row r="751" spans="1:12" ht="15" customHeight="1" x14ac:dyDescent="0.3">
      <c r="A751" s="4" t="s">
        <v>1402</v>
      </c>
      <c r="B751" s="4" t="s">
        <v>3183</v>
      </c>
      <c r="C751" s="4" t="s">
        <v>3184</v>
      </c>
      <c r="D751" s="4"/>
      <c r="E751" s="4" t="s">
        <v>27</v>
      </c>
      <c r="F751" s="4" t="s">
        <v>3185</v>
      </c>
      <c r="G751" s="4" t="s">
        <v>29</v>
      </c>
      <c r="H751" s="4" t="s">
        <v>68</v>
      </c>
      <c r="I751" s="4" t="s">
        <v>3186</v>
      </c>
      <c r="J751" s="4" t="s">
        <v>32</v>
      </c>
      <c r="K751" s="4" t="s">
        <v>3184</v>
      </c>
      <c r="L751" s="4" t="str">
        <f t="shared" si="11"/>
        <v>Different owner</v>
      </c>
    </row>
    <row r="752" spans="1:12" ht="15" customHeight="1" x14ac:dyDescent="0.3">
      <c r="A752" s="4" t="s">
        <v>3187</v>
      </c>
      <c r="B752" s="4" t="s">
        <v>3188</v>
      </c>
      <c r="C752" s="4"/>
      <c r="D752" s="4"/>
      <c r="E752" s="4" t="s">
        <v>385</v>
      </c>
      <c r="F752" s="4" t="s">
        <v>3189</v>
      </c>
      <c r="G752" s="4" t="s">
        <v>40</v>
      </c>
      <c r="H752" s="4" t="s">
        <v>41</v>
      </c>
      <c r="I752" s="4" t="s">
        <v>108</v>
      </c>
      <c r="J752" s="4" t="s">
        <v>106</v>
      </c>
      <c r="K752" s="4" t="s">
        <v>3190</v>
      </c>
      <c r="L752" s="4" t="str">
        <f t="shared" si="11"/>
        <v>Different owner &amp; contact</v>
      </c>
    </row>
    <row r="753" spans="1:12" ht="15" customHeight="1" x14ac:dyDescent="0.3">
      <c r="A753" s="4" t="s">
        <v>3191</v>
      </c>
      <c r="B753" s="4" t="s">
        <v>3188</v>
      </c>
      <c r="C753" s="4" t="s">
        <v>3192</v>
      </c>
      <c r="D753" s="4"/>
      <c r="E753" s="4" t="s">
        <v>106</v>
      </c>
      <c r="F753" s="4" t="s">
        <v>3189</v>
      </c>
      <c r="G753" s="4" t="s">
        <v>40</v>
      </c>
      <c r="H753" s="4" t="s">
        <v>41</v>
      </c>
      <c r="I753" s="4" t="s">
        <v>108</v>
      </c>
      <c r="J753" s="4" t="s">
        <v>106</v>
      </c>
      <c r="K753" s="4" t="s">
        <v>3190</v>
      </c>
      <c r="L753" s="4" t="str">
        <f t="shared" si="11"/>
        <v>Different contact</v>
      </c>
    </row>
    <row r="754" spans="1:12" ht="15" customHeight="1" x14ac:dyDescent="0.3">
      <c r="A754" s="4" t="s">
        <v>3193</v>
      </c>
      <c r="B754" s="4" t="s">
        <v>3194</v>
      </c>
      <c r="C754" s="4" t="s">
        <v>3195</v>
      </c>
      <c r="D754" s="4"/>
      <c r="E754" s="4" t="s">
        <v>47</v>
      </c>
      <c r="F754" s="4" t="s">
        <v>3196</v>
      </c>
      <c r="G754" s="4" t="s">
        <v>58</v>
      </c>
      <c r="H754" s="4" t="s">
        <v>68</v>
      </c>
      <c r="I754" s="4" t="s">
        <v>69</v>
      </c>
      <c r="J754" s="4" t="s">
        <v>52</v>
      </c>
      <c r="K754" s="4" t="s">
        <v>3195</v>
      </c>
      <c r="L754" s="4" t="str">
        <f t="shared" si="11"/>
        <v>Different owner</v>
      </c>
    </row>
    <row r="755" spans="1:12" ht="15" customHeight="1" x14ac:dyDescent="0.3">
      <c r="A755" s="4" t="s">
        <v>3197</v>
      </c>
      <c r="B755" s="4" t="s">
        <v>3198</v>
      </c>
      <c r="C755" s="4" t="s">
        <v>3199</v>
      </c>
      <c r="D755" s="4" t="s">
        <v>3200</v>
      </c>
      <c r="E755" s="4" t="s">
        <v>91</v>
      </c>
      <c r="F755" s="4" t="s">
        <v>3201</v>
      </c>
      <c r="G755" s="4" t="s">
        <v>84</v>
      </c>
      <c r="H755" s="4" t="s">
        <v>68</v>
      </c>
      <c r="I755" s="4" t="s">
        <v>93</v>
      </c>
      <c r="J755" s="4" t="s">
        <v>94</v>
      </c>
      <c r="K755" s="4" t="s">
        <v>3202</v>
      </c>
      <c r="L755" s="4" t="str">
        <f t="shared" si="11"/>
        <v>Different owner &amp; contact</v>
      </c>
    </row>
    <row r="756" spans="1:12" ht="15" customHeight="1" x14ac:dyDescent="0.3">
      <c r="A756" s="4" t="s">
        <v>3203</v>
      </c>
      <c r="B756" s="4" t="s">
        <v>3204</v>
      </c>
      <c r="C756" s="4" t="s">
        <v>3205</v>
      </c>
      <c r="D756" s="4" t="s">
        <v>3206</v>
      </c>
      <c r="E756" s="4" t="s">
        <v>91</v>
      </c>
      <c r="F756" s="4" t="s">
        <v>3207</v>
      </c>
      <c r="G756" s="4" t="s">
        <v>124</v>
      </c>
      <c r="H756" s="4" t="s">
        <v>41</v>
      </c>
      <c r="I756" s="4" t="s">
        <v>672</v>
      </c>
      <c r="J756" s="4" t="s">
        <v>94</v>
      </c>
      <c r="K756" s="4"/>
      <c r="L756" s="4" t="str">
        <f t="shared" si="11"/>
        <v>Different owner &amp; contact</v>
      </c>
    </row>
    <row r="757" spans="1:12" ht="15" customHeight="1" x14ac:dyDescent="0.3">
      <c r="A757" s="4" t="s">
        <v>3208</v>
      </c>
      <c r="B757" s="4" t="s">
        <v>3209</v>
      </c>
      <c r="C757" s="4" t="s">
        <v>3210</v>
      </c>
      <c r="D757" s="4" t="s">
        <v>3211</v>
      </c>
      <c r="E757" s="4" t="s">
        <v>91</v>
      </c>
      <c r="F757" s="4" t="s">
        <v>3212</v>
      </c>
      <c r="G757" s="4" t="s">
        <v>29</v>
      </c>
      <c r="H757" s="4" t="s">
        <v>68</v>
      </c>
      <c r="I757" s="4" t="s">
        <v>93</v>
      </c>
      <c r="J757" s="4" t="s">
        <v>32</v>
      </c>
      <c r="K757" s="4"/>
      <c r="L757" s="4" t="str">
        <f t="shared" si="11"/>
        <v>Different owner &amp; contact</v>
      </c>
    </row>
    <row r="758" spans="1:12" ht="15" customHeight="1" x14ac:dyDescent="0.3">
      <c r="A758" s="4" t="s">
        <v>3213</v>
      </c>
      <c r="B758" s="4" t="s">
        <v>3214</v>
      </c>
      <c r="C758" s="4" t="s">
        <v>3215</v>
      </c>
      <c r="D758" s="4" t="s">
        <v>3216</v>
      </c>
      <c r="E758" s="4" t="s">
        <v>91</v>
      </c>
      <c r="F758" s="4" t="s">
        <v>3217</v>
      </c>
      <c r="G758" s="4" t="s">
        <v>293</v>
      </c>
      <c r="H758" s="4" t="s">
        <v>41</v>
      </c>
      <c r="I758" s="4" t="s">
        <v>823</v>
      </c>
      <c r="J758" s="4" t="s">
        <v>94</v>
      </c>
      <c r="K758" s="4"/>
      <c r="L758" s="4" t="str">
        <f t="shared" si="11"/>
        <v>Different owner &amp; contact</v>
      </c>
    </row>
    <row r="759" spans="1:12" ht="15" customHeight="1" x14ac:dyDescent="0.3">
      <c r="A759" s="4" t="s">
        <v>3218</v>
      </c>
      <c r="B759" s="4" t="s">
        <v>3219</v>
      </c>
      <c r="C759" s="4" t="s">
        <v>3220</v>
      </c>
      <c r="D759" s="4" t="s">
        <v>3221</v>
      </c>
      <c r="E759" s="4" t="s">
        <v>91</v>
      </c>
      <c r="F759" s="4" t="s">
        <v>3222</v>
      </c>
      <c r="G759" s="4" t="s">
        <v>84</v>
      </c>
      <c r="H759" s="4" t="s">
        <v>41</v>
      </c>
      <c r="I759" s="4" t="s">
        <v>59</v>
      </c>
      <c r="J759" s="4" t="s">
        <v>94</v>
      </c>
      <c r="K759" s="4" t="s">
        <v>3223</v>
      </c>
      <c r="L759" s="4" t="str">
        <f t="shared" si="11"/>
        <v>Different owner &amp; contact</v>
      </c>
    </row>
    <row r="760" spans="1:12" ht="15" customHeight="1" x14ac:dyDescent="0.3">
      <c r="A760" s="4" t="s">
        <v>3224</v>
      </c>
      <c r="B760" s="4" t="s">
        <v>3225</v>
      </c>
      <c r="C760" s="4"/>
      <c r="D760" s="4" t="s">
        <v>3226</v>
      </c>
      <c r="E760" s="4" t="s">
        <v>385</v>
      </c>
      <c r="F760" s="4" t="s">
        <v>3227</v>
      </c>
      <c r="G760" s="4" t="s">
        <v>58</v>
      </c>
      <c r="H760" s="4" t="s">
        <v>41</v>
      </c>
      <c r="I760" s="4" t="s">
        <v>101</v>
      </c>
      <c r="J760" s="4" t="s">
        <v>394</v>
      </c>
      <c r="K760" s="4" t="s">
        <v>3228</v>
      </c>
      <c r="L760" s="4" t="str">
        <f t="shared" si="11"/>
        <v>Different owner &amp; contact</v>
      </c>
    </row>
    <row r="761" spans="1:12" ht="15" customHeight="1" x14ac:dyDescent="0.3">
      <c r="A761" s="4" t="s">
        <v>3229</v>
      </c>
      <c r="B761" s="4" t="s">
        <v>3225</v>
      </c>
      <c r="C761" s="4" t="s">
        <v>3230</v>
      </c>
      <c r="D761" s="4" t="s">
        <v>3231</v>
      </c>
      <c r="E761" s="4" t="s">
        <v>27</v>
      </c>
      <c r="F761" s="4" t="s">
        <v>3227</v>
      </c>
      <c r="G761" s="4" t="s">
        <v>58</v>
      </c>
      <c r="H761" s="4" t="s">
        <v>41</v>
      </c>
      <c r="I761" s="4" t="s">
        <v>101</v>
      </c>
      <c r="J761" s="4" t="s">
        <v>394</v>
      </c>
      <c r="K761" s="4" t="s">
        <v>3228</v>
      </c>
      <c r="L761" s="4" t="str">
        <f t="shared" si="11"/>
        <v>Different owner &amp; contact</v>
      </c>
    </row>
    <row r="762" spans="1:12" ht="15" customHeight="1" x14ac:dyDescent="0.3">
      <c r="A762" s="4" t="s">
        <v>3232</v>
      </c>
      <c r="B762" s="4" t="s">
        <v>3225</v>
      </c>
      <c r="C762" s="4" t="s">
        <v>3233</v>
      </c>
      <c r="D762" s="4" t="s">
        <v>3234</v>
      </c>
      <c r="E762" s="4" t="s">
        <v>27</v>
      </c>
      <c r="F762" s="4" t="s">
        <v>3227</v>
      </c>
      <c r="G762" s="4" t="s">
        <v>58</v>
      </c>
      <c r="H762" s="4" t="s">
        <v>41</v>
      </c>
      <c r="I762" s="4" t="s">
        <v>101</v>
      </c>
      <c r="J762" s="4" t="s">
        <v>394</v>
      </c>
      <c r="K762" s="4" t="s">
        <v>3228</v>
      </c>
      <c r="L762" s="4" t="str">
        <f t="shared" si="11"/>
        <v>Different owner &amp; contact</v>
      </c>
    </row>
    <row r="763" spans="1:12" ht="15" customHeight="1" x14ac:dyDescent="0.3">
      <c r="A763" s="4" t="s">
        <v>3235</v>
      </c>
      <c r="B763" s="4" t="s">
        <v>3225</v>
      </c>
      <c r="C763" s="4" t="s">
        <v>3236</v>
      </c>
      <c r="D763" s="4"/>
      <c r="E763" s="4" t="s">
        <v>27</v>
      </c>
      <c r="F763" s="4" t="s">
        <v>3227</v>
      </c>
      <c r="G763" s="4" t="s">
        <v>58</v>
      </c>
      <c r="H763" s="4" t="s">
        <v>41</v>
      </c>
      <c r="I763" s="4" t="s">
        <v>101</v>
      </c>
      <c r="J763" s="4" t="s">
        <v>394</v>
      </c>
      <c r="K763" s="4" t="s">
        <v>3228</v>
      </c>
      <c r="L763" s="4" t="str">
        <f t="shared" si="11"/>
        <v>Different owner &amp; contact</v>
      </c>
    </row>
    <row r="764" spans="1:12" ht="15" customHeight="1" x14ac:dyDescent="0.3">
      <c r="A764" s="4" t="s">
        <v>3237</v>
      </c>
      <c r="B764" s="4" t="s">
        <v>3238</v>
      </c>
      <c r="C764" s="4" t="s">
        <v>3239</v>
      </c>
      <c r="D764" s="4" t="s">
        <v>3240</v>
      </c>
      <c r="E764" s="4" t="s">
        <v>27</v>
      </c>
      <c r="F764" s="4" t="s">
        <v>3241</v>
      </c>
      <c r="G764" s="4" t="s">
        <v>58</v>
      </c>
      <c r="H764" s="4" t="s">
        <v>30</v>
      </c>
      <c r="I764" s="4" t="s">
        <v>299</v>
      </c>
      <c r="J764" s="4" t="s">
        <v>394</v>
      </c>
      <c r="K764" s="4" t="s">
        <v>3242</v>
      </c>
      <c r="L764" s="4" t="str">
        <f t="shared" si="11"/>
        <v>Different owner &amp; contact</v>
      </c>
    </row>
    <row r="765" spans="1:12" ht="15" customHeight="1" x14ac:dyDescent="0.3">
      <c r="A765" s="4" t="s">
        <v>3243</v>
      </c>
      <c r="B765" s="4" t="s">
        <v>3244</v>
      </c>
      <c r="C765" s="4" t="s">
        <v>3245</v>
      </c>
      <c r="D765" s="4" t="s">
        <v>3240</v>
      </c>
      <c r="E765" s="4" t="s">
        <v>27</v>
      </c>
      <c r="F765" s="4" t="s">
        <v>3246</v>
      </c>
      <c r="G765" s="4" t="s">
        <v>58</v>
      </c>
      <c r="H765" s="4" t="s">
        <v>41</v>
      </c>
      <c r="I765" s="4" t="s">
        <v>93</v>
      </c>
      <c r="J765" s="4" t="s">
        <v>394</v>
      </c>
      <c r="K765" s="4" t="s">
        <v>2772</v>
      </c>
      <c r="L765" s="4" t="str">
        <f t="shared" si="11"/>
        <v>Different owner &amp; contact</v>
      </c>
    </row>
    <row r="766" spans="1:12" ht="15" customHeight="1" x14ac:dyDescent="0.3">
      <c r="A766" s="4" t="s">
        <v>3247</v>
      </c>
      <c r="B766" s="4" t="s">
        <v>3248</v>
      </c>
      <c r="C766" s="4"/>
      <c r="D766" s="4" t="s">
        <v>3249</v>
      </c>
      <c r="E766" s="4" t="s">
        <v>172</v>
      </c>
      <c r="F766" s="4" t="s">
        <v>3250</v>
      </c>
      <c r="G766" s="4" t="s">
        <v>58</v>
      </c>
      <c r="H766" s="4" t="s">
        <v>41</v>
      </c>
      <c r="I766" s="4" t="s">
        <v>93</v>
      </c>
      <c r="J766" s="4" t="s">
        <v>394</v>
      </c>
      <c r="K766" s="4" t="s">
        <v>2772</v>
      </c>
      <c r="L766" s="4" t="str">
        <f t="shared" si="11"/>
        <v>Different owner &amp; contact</v>
      </c>
    </row>
    <row r="767" spans="1:12" ht="15" customHeight="1" x14ac:dyDescent="0.3">
      <c r="A767" s="4" t="s">
        <v>3251</v>
      </c>
      <c r="B767" s="4" t="s">
        <v>3248</v>
      </c>
      <c r="C767" s="4" t="s">
        <v>3252</v>
      </c>
      <c r="D767" s="4" t="s">
        <v>3253</v>
      </c>
      <c r="E767" s="4" t="s">
        <v>27</v>
      </c>
      <c r="F767" s="4" t="s">
        <v>3250</v>
      </c>
      <c r="G767" s="4" t="s">
        <v>58</v>
      </c>
      <c r="H767" s="4" t="s">
        <v>41</v>
      </c>
      <c r="I767" s="4" t="s">
        <v>93</v>
      </c>
      <c r="J767" s="4" t="s">
        <v>394</v>
      </c>
      <c r="K767" s="4" t="s">
        <v>2772</v>
      </c>
      <c r="L767" s="4" t="str">
        <f t="shared" si="11"/>
        <v>Different owner &amp; contact</v>
      </c>
    </row>
    <row r="768" spans="1:12" ht="15" customHeight="1" x14ac:dyDescent="0.3">
      <c r="A768" s="4" t="s">
        <v>3254</v>
      </c>
      <c r="B768" s="4" t="s">
        <v>3255</v>
      </c>
      <c r="C768" s="4" t="s">
        <v>3256</v>
      </c>
      <c r="D768" s="4" t="s">
        <v>3257</v>
      </c>
      <c r="E768" s="4" t="s">
        <v>27</v>
      </c>
      <c r="F768" s="4" t="s">
        <v>3258</v>
      </c>
      <c r="G768" s="4" t="s">
        <v>58</v>
      </c>
      <c r="H768" s="4" t="s">
        <v>41</v>
      </c>
      <c r="I768" s="4" t="s">
        <v>1447</v>
      </c>
      <c r="J768" s="4" t="s">
        <v>394</v>
      </c>
      <c r="K768" s="4" t="s">
        <v>2772</v>
      </c>
      <c r="L768" s="4" t="str">
        <f t="shared" si="11"/>
        <v>Different owner &amp; contact</v>
      </c>
    </row>
    <row r="769" spans="1:12" ht="15" customHeight="1" x14ac:dyDescent="0.3">
      <c r="A769" s="4" t="s">
        <v>3259</v>
      </c>
      <c r="B769" s="4" t="s">
        <v>3255</v>
      </c>
      <c r="C769" s="4" t="s">
        <v>3260</v>
      </c>
      <c r="D769" s="4" t="s">
        <v>3261</v>
      </c>
      <c r="E769" s="4" t="s">
        <v>27</v>
      </c>
      <c r="F769" s="4" t="s">
        <v>3258</v>
      </c>
      <c r="G769" s="4" t="s">
        <v>58</v>
      </c>
      <c r="H769" s="4" t="s">
        <v>41</v>
      </c>
      <c r="I769" s="4" t="s">
        <v>1447</v>
      </c>
      <c r="J769" s="4" t="s">
        <v>394</v>
      </c>
      <c r="K769" s="4" t="s">
        <v>2772</v>
      </c>
      <c r="L769" s="4" t="str">
        <f t="shared" si="11"/>
        <v>Different owner &amp; contact</v>
      </c>
    </row>
    <row r="770" spans="1:12" ht="15" customHeight="1" x14ac:dyDescent="0.3">
      <c r="A770" s="4" t="s">
        <v>3262</v>
      </c>
      <c r="B770" s="4" t="s">
        <v>3263</v>
      </c>
      <c r="C770" s="4" t="s">
        <v>3264</v>
      </c>
      <c r="D770" s="4" t="s">
        <v>3265</v>
      </c>
      <c r="E770" s="4" t="s">
        <v>91</v>
      </c>
      <c r="F770" s="4" t="s">
        <v>3266</v>
      </c>
      <c r="G770" s="4" t="s">
        <v>521</v>
      </c>
      <c r="H770" s="4" t="s">
        <v>30</v>
      </c>
      <c r="I770" s="4" t="s">
        <v>59</v>
      </c>
      <c r="J770" s="4" t="s">
        <v>32</v>
      </c>
      <c r="K770" s="4" t="s">
        <v>3267</v>
      </c>
      <c r="L770" s="4" t="str">
        <f t="shared" ref="L770:L833" si="12">IF(AND(TRIM(LOWER(E770))=TRIM(LOWER(J770)),TRIM(LOWER(C770))=TRIM(LOWER(K770))),"Match",IF(AND(NOT(TRIM(LOWER(E770))=TRIM(LOWER(J770))),TRIM(LOWER(C770))=TRIM(LOWER(K770))),"Different owner",IF(AND(TRIM(LOWER(E770))=TRIM(LOWER(J770)),NOT(TRIM(LOWER(C770))=TRIM(LOWER(K770)))),"Different contact","Different owner &amp; contact")))</f>
        <v>Different owner &amp; contact</v>
      </c>
    </row>
    <row r="771" spans="1:12" ht="15" customHeight="1" x14ac:dyDescent="0.3">
      <c r="A771" s="4" t="s">
        <v>3268</v>
      </c>
      <c r="B771" s="4" t="s">
        <v>3269</v>
      </c>
      <c r="C771" s="4" t="s">
        <v>3270</v>
      </c>
      <c r="D771" s="4" t="s">
        <v>3271</v>
      </c>
      <c r="E771" s="4" t="s">
        <v>27</v>
      </c>
      <c r="F771" s="4" t="s">
        <v>3272</v>
      </c>
      <c r="G771" s="4" t="s">
        <v>58</v>
      </c>
      <c r="H771" s="4" t="s">
        <v>50</v>
      </c>
      <c r="I771" s="4" t="s">
        <v>196</v>
      </c>
      <c r="J771" s="4" t="s">
        <v>114</v>
      </c>
      <c r="K771" s="4" t="s">
        <v>3273</v>
      </c>
      <c r="L771" s="4" t="str">
        <f t="shared" si="12"/>
        <v>Different owner &amp; contact</v>
      </c>
    </row>
    <row r="772" spans="1:12" ht="15" customHeight="1" x14ac:dyDescent="0.3">
      <c r="A772" s="4" t="s">
        <v>3274</v>
      </c>
      <c r="B772" s="4" t="s">
        <v>3269</v>
      </c>
      <c r="C772" s="4"/>
      <c r="D772" s="4" t="s">
        <v>3275</v>
      </c>
      <c r="E772" s="4" t="s">
        <v>385</v>
      </c>
      <c r="F772" s="4" t="s">
        <v>3272</v>
      </c>
      <c r="G772" s="4" t="s">
        <v>58</v>
      </c>
      <c r="H772" s="4" t="s">
        <v>50</v>
      </c>
      <c r="I772" s="4" t="s">
        <v>196</v>
      </c>
      <c r="J772" s="4" t="s">
        <v>114</v>
      </c>
      <c r="K772" s="4" t="s">
        <v>3273</v>
      </c>
      <c r="L772" s="4" t="str">
        <f t="shared" si="12"/>
        <v>Different owner &amp; contact</v>
      </c>
    </row>
    <row r="773" spans="1:12" ht="15" customHeight="1" x14ac:dyDescent="0.3">
      <c r="A773" s="4" t="s">
        <v>3276</v>
      </c>
      <c r="B773" s="4" t="s">
        <v>3269</v>
      </c>
      <c r="C773" s="4" t="s">
        <v>3277</v>
      </c>
      <c r="D773" s="4"/>
      <c r="E773" s="4" t="s">
        <v>848</v>
      </c>
      <c r="F773" s="4" t="s">
        <v>3272</v>
      </c>
      <c r="G773" s="4" t="s">
        <v>58</v>
      </c>
      <c r="H773" s="4" t="s">
        <v>50</v>
      </c>
      <c r="I773" s="4" t="s">
        <v>196</v>
      </c>
      <c r="J773" s="4" t="s">
        <v>114</v>
      </c>
      <c r="K773" s="4" t="s">
        <v>3273</v>
      </c>
      <c r="L773" s="4" t="str">
        <f t="shared" si="12"/>
        <v>Different owner &amp; contact</v>
      </c>
    </row>
    <row r="774" spans="1:12" ht="15" customHeight="1" x14ac:dyDescent="0.3">
      <c r="A774" s="4" t="s">
        <v>3278</v>
      </c>
      <c r="B774" s="4" t="s">
        <v>3279</v>
      </c>
      <c r="C774" s="4" t="s">
        <v>3280</v>
      </c>
      <c r="D774" s="4"/>
      <c r="E774" s="4" t="s">
        <v>56</v>
      </c>
      <c r="F774" s="4" t="s">
        <v>3281</v>
      </c>
      <c r="G774" s="4" t="s">
        <v>29</v>
      </c>
      <c r="H774" s="4" t="s">
        <v>41</v>
      </c>
      <c r="I774" s="4" t="s">
        <v>2771</v>
      </c>
      <c r="J774" s="4" t="s">
        <v>94</v>
      </c>
      <c r="K774" s="4" t="s">
        <v>3280</v>
      </c>
      <c r="L774" s="4" t="str">
        <f t="shared" si="12"/>
        <v>Different owner</v>
      </c>
    </row>
    <row r="775" spans="1:12" ht="15" customHeight="1" x14ac:dyDescent="0.3">
      <c r="A775" s="4" t="s">
        <v>3282</v>
      </c>
      <c r="B775" s="4" t="s">
        <v>3283</v>
      </c>
      <c r="C775" s="4" t="s">
        <v>3284</v>
      </c>
      <c r="D775" s="4"/>
      <c r="E775" s="4" t="s">
        <v>56</v>
      </c>
      <c r="F775" s="4" t="s">
        <v>3285</v>
      </c>
      <c r="G775" s="4" t="s">
        <v>29</v>
      </c>
      <c r="H775" s="4" t="s">
        <v>68</v>
      </c>
      <c r="I775" s="4" t="s">
        <v>264</v>
      </c>
      <c r="J775" s="4" t="s">
        <v>60</v>
      </c>
      <c r="K775" s="4" t="s">
        <v>3286</v>
      </c>
      <c r="L775" s="4" t="str">
        <f t="shared" si="12"/>
        <v>Different owner &amp; contact</v>
      </c>
    </row>
    <row r="776" spans="1:12" ht="15" customHeight="1" x14ac:dyDescent="0.3">
      <c r="A776" s="4" t="s">
        <v>388</v>
      </c>
      <c r="B776" s="4" t="s">
        <v>3287</v>
      </c>
      <c r="C776" s="4" t="s">
        <v>3288</v>
      </c>
      <c r="D776" s="4" t="s">
        <v>3289</v>
      </c>
      <c r="E776" s="4" t="s">
        <v>106</v>
      </c>
      <c r="F776" s="4" t="s">
        <v>3290</v>
      </c>
      <c r="G776" s="4" t="s">
        <v>40</v>
      </c>
      <c r="H776" s="4" t="s">
        <v>41</v>
      </c>
      <c r="I776" s="4" t="s">
        <v>101</v>
      </c>
      <c r="J776" s="4" t="s">
        <v>106</v>
      </c>
      <c r="K776" s="4" t="s">
        <v>3288</v>
      </c>
      <c r="L776" s="4" t="str">
        <f t="shared" si="12"/>
        <v>Match</v>
      </c>
    </row>
    <row r="777" spans="1:12" ht="15" customHeight="1" x14ac:dyDescent="0.3">
      <c r="A777" s="4" t="s">
        <v>3291</v>
      </c>
      <c r="B777" s="4" t="s">
        <v>3292</v>
      </c>
      <c r="C777" s="4" t="s">
        <v>3293</v>
      </c>
      <c r="D777" s="4" t="s">
        <v>3294</v>
      </c>
      <c r="E777" s="4" t="s">
        <v>172</v>
      </c>
      <c r="F777" s="4" t="s">
        <v>3295</v>
      </c>
      <c r="G777" s="4" t="s">
        <v>58</v>
      </c>
      <c r="H777" s="4" t="s">
        <v>174</v>
      </c>
      <c r="I777" s="4" t="s">
        <v>175</v>
      </c>
      <c r="J777" s="4" t="s">
        <v>176</v>
      </c>
      <c r="K777" s="4"/>
      <c r="L777" s="4" t="str">
        <f t="shared" si="12"/>
        <v>Different owner &amp; contact</v>
      </c>
    </row>
    <row r="778" spans="1:12" ht="15" customHeight="1" x14ac:dyDescent="0.3">
      <c r="A778" s="4" t="s">
        <v>3296</v>
      </c>
      <c r="B778" s="4" t="s">
        <v>3292</v>
      </c>
      <c r="C778" s="4" t="s">
        <v>3297</v>
      </c>
      <c r="D778" s="4" t="s">
        <v>3298</v>
      </c>
      <c r="E778" s="4" t="s">
        <v>172</v>
      </c>
      <c r="F778" s="4" t="s">
        <v>3295</v>
      </c>
      <c r="G778" s="4" t="s">
        <v>58</v>
      </c>
      <c r="H778" s="4" t="s">
        <v>174</v>
      </c>
      <c r="I778" s="4" t="s">
        <v>175</v>
      </c>
      <c r="J778" s="4" t="s">
        <v>176</v>
      </c>
      <c r="K778" s="4"/>
      <c r="L778" s="4" t="str">
        <f t="shared" si="12"/>
        <v>Different owner &amp; contact</v>
      </c>
    </row>
    <row r="779" spans="1:12" ht="15" customHeight="1" x14ac:dyDescent="0.3">
      <c r="A779" s="4" t="s">
        <v>3299</v>
      </c>
      <c r="B779" s="4" t="s">
        <v>3292</v>
      </c>
      <c r="C779" s="4" t="s">
        <v>3300</v>
      </c>
      <c r="D779" s="4" t="s">
        <v>3301</v>
      </c>
      <c r="E779" s="4" t="s">
        <v>172</v>
      </c>
      <c r="F779" s="4" t="s">
        <v>3295</v>
      </c>
      <c r="G779" s="4" t="s">
        <v>58</v>
      </c>
      <c r="H779" s="4" t="s">
        <v>174</v>
      </c>
      <c r="I779" s="4" t="s">
        <v>175</v>
      </c>
      <c r="J779" s="4" t="s">
        <v>176</v>
      </c>
      <c r="K779" s="4"/>
      <c r="L779" s="4" t="str">
        <f t="shared" si="12"/>
        <v>Different owner &amp; contact</v>
      </c>
    </row>
    <row r="780" spans="1:12" ht="15" customHeight="1" x14ac:dyDescent="0.3">
      <c r="A780" s="4" t="s">
        <v>3302</v>
      </c>
      <c r="B780" s="4" t="s">
        <v>3292</v>
      </c>
      <c r="C780" s="4" t="s">
        <v>3303</v>
      </c>
      <c r="D780" s="4" t="s">
        <v>3304</v>
      </c>
      <c r="E780" s="4" t="s">
        <v>172</v>
      </c>
      <c r="F780" s="4" t="s">
        <v>3295</v>
      </c>
      <c r="G780" s="4" t="s">
        <v>58</v>
      </c>
      <c r="H780" s="4" t="s">
        <v>174</v>
      </c>
      <c r="I780" s="4" t="s">
        <v>175</v>
      </c>
      <c r="J780" s="4" t="s">
        <v>176</v>
      </c>
      <c r="K780" s="4"/>
      <c r="L780" s="4" t="str">
        <f t="shared" si="12"/>
        <v>Different owner &amp; contact</v>
      </c>
    </row>
    <row r="781" spans="1:12" ht="15" customHeight="1" x14ac:dyDescent="0.3">
      <c r="A781" s="4" t="s">
        <v>3302</v>
      </c>
      <c r="B781" s="4" t="s">
        <v>3292</v>
      </c>
      <c r="C781" s="4"/>
      <c r="D781" s="4" t="s">
        <v>3304</v>
      </c>
      <c r="E781" s="4" t="s">
        <v>172</v>
      </c>
      <c r="F781" s="4" t="s">
        <v>3295</v>
      </c>
      <c r="G781" s="4" t="s">
        <v>58</v>
      </c>
      <c r="H781" s="4" t="s">
        <v>174</v>
      </c>
      <c r="I781" s="4" t="s">
        <v>175</v>
      </c>
      <c r="J781" s="4" t="s">
        <v>176</v>
      </c>
      <c r="K781" s="4"/>
      <c r="L781" s="4" t="str">
        <f t="shared" si="12"/>
        <v>Different owner</v>
      </c>
    </row>
    <row r="782" spans="1:12" ht="15" customHeight="1" x14ac:dyDescent="0.3">
      <c r="A782" s="4" t="s">
        <v>3305</v>
      </c>
      <c r="B782" s="4" t="s">
        <v>3306</v>
      </c>
      <c r="C782" s="4" t="s">
        <v>3307</v>
      </c>
      <c r="D782" s="4" t="s">
        <v>3308</v>
      </c>
      <c r="E782" s="4" t="s">
        <v>52</v>
      </c>
      <c r="F782" s="4" t="s">
        <v>3309</v>
      </c>
      <c r="G782" s="4" t="s">
        <v>58</v>
      </c>
      <c r="H782" s="4" t="s">
        <v>41</v>
      </c>
      <c r="I782" s="4" t="s">
        <v>638</v>
      </c>
      <c r="J782" s="4" t="s">
        <v>34</v>
      </c>
      <c r="K782" s="4" t="s">
        <v>3310</v>
      </c>
      <c r="L782" s="4" t="str">
        <f t="shared" si="12"/>
        <v>Different owner &amp; contact</v>
      </c>
    </row>
    <row r="783" spans="1:12" ht="15" customHeight="1" x14ac:dyDescent="0.3">
      <c r="A783" s="4" t="s">
        <v>3311</v>
      </c>
      <c r="B783" s="4" t="s">
        <v>3306</v>
      </c>
      <c r="C783" s="4" t="s">
        <v>3312</v>
      </c>
      <c r="D783" s="4"/>
      <c r="E783" s="4" t="s">
        <v>343</v>
      </c>
      <c r="F783" s="4" t="s">
        <v>3309</v>
      </c>
      <c r="G783" s="4" t="s">
        <v>58</v>
      </c>
      <c r="H783" s="4" t="s">
        <v>41</v>
      </c>
      <c r="I783" s="4" t="s">
        <v>638</v>
      </c>
      <c r="J783" s="4" t="s">
        <v>34</v>
      </c>
      <c r="K783" s="4" t="s">
        <v>3310</v>
      </c>
      <c r="L783" s="4" t="str">
        <f t="shared" si="12"/>
        <v>Different owner &amp; contact</v>
      </c>
    </row>
    <row r="784" spans="1:12" ht="15" customHeight="1" x14ac:dyDescent="0.3">
      <c r="A784" s="4" t="s">
        <v>3313</v>
      </c>
      <c r="B784" s="4" t="s">
        <v>3314</v>
      </c>
      <c r="C784" s="4" t="s">
        <v>3315</v>
      </c>
      <c r="D784" s="4"/>
      <c r="E784" s="4" t="s">
        <v>52</v>
      </c>
      <c r="F784" s="4" t="s">
        <v>3316</v>
      </c>
      <c r="G784" s="4" t="s">
        <v>29</v>
      </c>
      <c r="H784" s="4" t="s">
        <v>41</v>
      </c>
      <c r="I784" s="4" t="s">
        <v>93</v>
      </c>
      <c r="J784" s="4" t="s">
        <v>34</v>
      </c>
      <c r="K784" s="4" t="s">
        <v>3315</v>
      </c>
      <c r="L784" s="4" t="str">
        <f t="shared" si="12"/>
        <v>Different owner</v>
      </c>
    </row>
    <row r="785" spans="1:12" ht="15" customHeight="1" x14ac:dyDescent="0.3">
      <c r="A785" s="4" t="s">
        <v>3317</v>
      </c>
      <c r="B785" s="4" t="s">
        <v>3314</v>
      </c>
      <c r="C785" s="4"/>
      <c r="D785" s="4" t="s">
        <v>3318</v>
      </c>
      <c r="E785" s="4" t="s">
        <v>1031</v>
      </c>
      <c r="F785" s="4" t="s">
        <v>3316</v>
      </c>
      <c r="G785" s="4" t="s">
        <v>29</v>
      </c>
      <c r="H785" s="4" t="s">
        <v>41</v>
      </c>
      <c r="I785" s="4" t="s">
        <v>93</v>
      </c>
      <c r="J785" s="4" t="s">
        <v>34</v>
      </c>
      <c r="K785" s="4" t="s">
        <v>3315</v>
      </c>
      <c r="L785" s="4" t="str">
        <f t="shared" si="12"/>
        <v>Different owner &amp; contact</v>
      </c>
    </row>
    <row r="786" spans="1:12" ht="15" customHeight="1" x14ac:dyDescent="0.3">
      <c r="A786" s="4" t="s">
        <v>3319</v>
      </c>
      <c r="B786" s="4" t="s">
        <v>3320</v>
      </c>
      <c r="C786" s="4" t="s">
        <v>3321</v>
      </c>
      <c r="D786" s="4" t="s">
        <v>1365</v>
      </c>
      <c r="E786" s="4" t="s">
        <v>52</v>
      </c>
      <c r="F786" s="4" t="s">
        <v>3322</v>
      </c>
      <c r="G786" s="4" t="s">
        <v>138</v>
      </c>
      <c r="H786" s="4" t="s">
        <v>68</v>
      </c>
      <c r="I786" s="4" t="s">
        <v>93</v>
      </c>
      <c r="J786" s="4" t="s">
        <v>52</v>
      </c>
      <c r="K786" s="4" t="s">
        <v>3323</v>
      </c>
      <c r="L786" s="4" t="str">
        <f t="shared" si="12"/>
        <v>Different contact</v>
      </c>
    </row>
    <row r="787" spans="1:12" ht="15" customHeight="1" x14ac:dyDescent="0.3">
      <c r="A787" s="4" t="s">
        <v>3324</v>
      </c>
      <c r="B787" s="4" t="s">
        <v>3325</v>
      </c>
      <c r="C787" s="4"/>
      <c r="D787" s="4"/>
      <c r="E787" s="4" t="s">
        <v>34</v>
      </c>
      <c r="F787" s="4" t="s">
        <v>3326</v>
      </c>
      <c r="G787" s="4" t="s">
        <v>361</v>
      </c>
      <c r="H787" s="4" t="s">
        <v>41</v>
      </c>
      <c r="I787" s="4" t="s">
        <v>101</v>
      </c>
      <c r="J787" s="4" t="s">
        <v>102</v>
      </c>
      <c r="K787" s="4" t="s">
        <v>3327</v>
      </c>
      <c r="L787" s="4" t="str">
        <f t="shared" si="12"/>
        <v>Different owner &amp; contact</v>
      </c>
    </row>
    <row r="788" spans="1:12" ht="15" customHeight="1" x14ac:dyDescent="0.3">
      <c r="A788" s="4" t="s">
        <v>3328</v>
      </c>
      <c r="B788" s="4" t="s">
        <v>3325</v>
      </c>
      <c r="C788" s="4" t="s">
        <v>3327</v>
      </c>
      <c r="D788" s="4"/>
      <c r="E788" s="4" t="s">
        <v>343</v>
      </c>
      <c r="F788" s="4" t="s">
        <v>3326</v>
      </c>
      <c r="G788" s="4" t="s">
        <v>361</v>
      </c>
      <c r="H788" s="4" t="s">
        <v>41</v>
      </c>
      <c r="I788" s="4" t="s">
        <v>101</v>
      </c>
      <c r="J788" s="4" t="s">
        <v>102</v>
      </c>
      <c r="K788" s="4" t="s">
        <v>3327</v>
      </c>
      <c r="L788" s="4" t="str">
        <f t="shared" si="12"/>
        <v>Different owner</v>
      </c>
    </row>
    <row r="789" spans="1:12" ht="15" customHeight="1" x14ac:dyDescent="0.3">
      <c r="A789" s="4" t="s">
        <v>3329</v>
      </c>
      <c r="B789" s="4" t="s">
        <v>3330</v>
      </c>
      <c r="C789" s="4" t="s">
        <v>3331</v>
      </c>
      <c r="D789" s="4"/>
      <c r="E789" s="4" t="s">
        <v>56</v>
      </c>
      <c r="F789" s="4" t="s">
        <v>3332</v>
      </c>
      <c r="G789" s="4" t="s">
        <v>361</v>
      </c>
      <c r="H789" s="4" t="s">
        <v>41</v>
      </c>
      <c r="I789" s="4" t="s">
        <v>42</v>
      </c>
      <c r="J789" s="4" t="s">
        <v>32</v>
      </c>
      <c r="K789" s="4" t="s">
        <v>3333</v>
      </c>
      <c r="L789" s="4" t="str">
        <f t="shared" si="12"/>
        <v>Different owner &amp; contact</v>
      </c>
    </row>
    <row r="790" spans="1:12" ht="15" customHeight="1" x14ac:dyDescent="0.3">
      <c r="A790" s="4" t="s">
        <v>3334</v>
      </c>
      <c r="B790" s="4" t="s">
        <v>3330</v>
      </c>
      <c r="C790" s="4" t="s">
        <v>3333</v>
      </c>
      <c r="D790" s="4"/>
      <c r="E790" s="4" t="s">
        <v>343</v>
      </c>
      <c r="F790" s="4" t="s">
        <v>3332</v>
      </c>
      <c r="G790" s="4" t="s">
        <v>361</v>
      </c>
      <c r="H790" s="4" t="s">
        <v>41</v>
      </c>
      <c r="I790" s="4" t="s">
        <v>42</v>
      </c>
      <c r="J790" s="4" t="s">
        <v>32</v>
      </c>
      <c r="K790" s="4" t="s">
        <v>3333</v>
      </c>
      <c r="L790" s="4" t="str">
        <f t="shared" si="12"/>
        <v>Different owner</v>
      </c>
    </row>
    <row r="791" spans="1:12" ht="15" customHeight="1" x14ac:dyDescent="0.3">
      <c r="A791" s="4" t="s">
        <v>3335</v>
      </c>
      <c r="B791" s="4" t="s">
        <v>3336</v>
      </c>
      <c r="C791" s="4" t="s">
        <v>3337</v>
      </c>
      <c r="D791" s="4" t="s">
        <v>3338</v>
      </c>
      <c r="E791" s="4" t="s">
        <v>91</v>
      </c>
      <c r="F791" s="4" t="s">
        <v>3339</v>
      </c>
      <c r="G791" s="4" t="s">
        <v>361</v>
      </c>
      <c r="H791" s="4" t="s">
        <v>41</v>
      </c>
      <c r="I791" s="4" t="s">
        <v>42</v>
      </c>
      <c r="J791" s="4" t="s">
        <v>32</v>
      </c>
      <c r="K791" s="4" t="s">
        <v>3337</v>
      </c>
      <c r="L791" s="4" t="str">
        <f t="shared" si="12"/>
        <v>Different owner</v>
      </c>
    </row>
    <row r="792" spans="1:12" ht="15" customHeight="1" x14ac:dyDescent="0.3">
      <c r="A792" s="4" t="s">
        <v>3340</v>
      </c>
      <c r="B792" s="4" t="s">
        <v>3341</v>
      </c>
      <c r="C792" s="4" t="s">
        <v>3342</v>
      </c>
      <c r="D792" s="4"/>
      <c r="E792" s="4" t="s">
        <v>3343</v>
      </c>
      <c r="F792" s="4" t="s">
        <v>3344</v>
      </c>
      <c r="G792" s="4" t="s">
        <v>521</v>
      </c>
      <c r="H792" s="4" t="s">
        <v>68</v>
      </c>
      <c r="I792" s="4" t="s">
        <v>264</v>
      </c>
      <c r="J792" s="4" t="s">
        <v>102</v>
      </c>
      <c r="K792" s="4" t="s">
        <v>3345</v>
      </c>
      <c r="L792" s="4" t="str">
        <f t="shared" si="12"/>
        <v>Different owner &amp; contact</v>
      </c>
    </row>
    <row r="793" spans="1:12" ht="15" customHeight="1" x14ac:dyDescent="0.3">
      <c r="A793" s="4" t="s">
        <v>3346</v>
      </c>
      <c r="B793" s="4" t="s">
        <v>3347</v>
      </c>
      <c r="C793" s="4" t="s">
        <v>3348</v>
      </c>
      <c r="D793" s="4"/>
      <c r="E793" s="4" t="s">
        <v>106</v>
      </c>
      <c r="F793" s="4" t="s">
        <v>3349</v>
      </c>
      <c r="G793" s="4" t="s">
        <v>40</v>
      </c>
      <c r="H793" s="4" t="s">
        <v>41</v>
      </c>
      <c r="I793" s="4" t="s">
        <v>101</v>
      </c>
      <c r="J793" s="4" t="s">
        <v>106</v>
      </c>
      <c r="K793" s="4" t="s">
        <v>3348</v>
      </c>
      <c r="L793" s="4" t="str">
        <f t="shared" si="12"/>
        <v>Match</v>
      </c>
    </row>
    <row r="794" spans="1:12" ht="15" customHeight="1" x14ac:dyDescent="0.3">
      <c r="A794" s="4" t="s">
        <v>3350</v>
      </c>
      <c r="B794" s="4" t="s">
        <v>3351</v>
      </c>
      <c r="C794" s="4" t="s">
        <v>3352</v>
      </c>
      <c r="D794" s="4"/>
      <c r="E794" s="4" t="s">
        <v>91</v>
      </c>
      <c r="F794" s="4" t="s">
        <v>3353</v>
      </c>
      <c r="G794" s="4" t="s">
        <v>29</v>
      </c>
      <c r="H794" s="4" t="s">
        <v>30</v>
      </c>
      <c r="I794" s="4" t="s">
        <v>125</v>
      </c>
      <c r="J794" s="4" t="s">
        <v>94</v>
      </c>
      <c r="K794" s="4" t="s">
        <v>3354</v>
      </c>
      <c r="L794" s="4" t="str">
        <f t="shared" si="12"/>
        <v>Different owner &amp; contact</v>
      </c>
    </row>
    <row r="795" spans="1:12" ht="15" customHeight="1" x14ac:dyDescent="0.3">
      <c r="A795" s="4" t="s">
        <v>3355</v>
      </c>
      <c r="B795" s="4" t="s">
        <v>3356</v>
      </c>
      <c r="C795" s="4" t="s">
        <v>3357</v>
      </c>
      <c r="D795" s="4"/>
      <c r="E795" s="4" t="s">
        <v>60</v>
      </c>
      <c r="F795" s="4" t="s">
        <v>3358</v>
      </c>
      <c r="G795" s="4" t="s">
        <v>138</v>
      </c>
      <c r="H795" s="4" t="s">
        <v>30</v>
      </c>
      <c r="I795" s="4" t="s">
        <v>228</v>
      </c>
      <c r="J795" s="4" t="s">
        <v>60</v>
      </c>
      <c r="K795" s="4" t="s">
        <v>3359</v>
      </c>
      <c r="L795" s="4" t="str">
        <f t="shared" si="12"/>
        <v>Different contact</v>
      </c>
    </row>
    <row r="796" spans="1:12" ht="15" customHeight="1" x14ac:dyDescent="0.3">
      <c r="A796" s="4" t="s">
        <v>3360</v>
      </c>
      <c r="B796" s="4" t="s">
        <v>3356</v>
      </c>
      <c r="C796" s="4" t="s">
        <v>3361</v>
      </c>
      <c r="D796" s="4"/>
      <c r="E796" s="4" t="s">
        <v>60</v>
      </c>
      <c r="F796" s="4" t="s">
        <v>3358</v>
      </c>
      <c r="G796" s="4" t="s">
        <v>138</v>
      </c>
      <c r="H796" s="4" t="s">
        <v>30</v>
      </c>
      <c r="I796" s="4" t="s">
        <v>228</v>
      </c>
      <c r="J796" s="4" t="s">
        <v>60</v>
      </c>
      <c r="K796" s="4" t="s">
        <v>3359</v>
      </c>
      <c r="L796" s="4" t="str">
        <f t="shared" si="12"/>
        <v>Different contact</v>
      </c>
    </row>
    <row r="797" spans="1:12" ht="15" customHeight="1" x14ac:dyDescent="0.3">
      <c r="A797" s="4" t="s">
        <v>3362</v>
      </c>
      <c r="B797" s="4" t="s">
        <v>3363</v>
      </c>
      <c r="C797" s="4" t="s">
        <v>3364</v>
      </c>
      <c r="D797" s="4" t="s">
        <v>3365</v>
      </c>
      <c r="E797" s="4" t="s">
        <v>66</v>
      </c>
      <c r="F797" s="4" t="s">
        <v>3366</v>
      </c>
      <c r="G797" s="4" t="s">
        <v>100</v>
      </c>
      <c r="H797" s="4" t="s">
        <v>41</v>
      </c>
      <c r="I797" s="4" t="s">
        <v>533</v>
      </c>
      <c r="J797" s="4" t="s">
        <v>66</v>
      </c>
      <c r="K797" s="4" t="s">
        <v>3367</v>
      </c>
      <c r="L797" s="4" t="str">
        <f t="shared" si="12"/>
        <v>Different contact</v>
      </c>
    </row>
    <row r="798" spans="1:12" ht="15" customHeight="1" x14ac:dyDescent="0.3">
      <c r="A798" s="4" t="s">
        <v>3368</v>
      </c>
      <c r="B798" s="4" t="s">
        <v>3363</v>
      </c>
      <c r="C798" s="4" t="s">
        <v>3369</v>
      </c>
      <c r="D798" s="4" t="s">
        <v>3370</v>
      </c>
      <c r="E798" s="4" t="s">
        <v>66</v>
      </c>
      <c r="F798" s="4" t="s">
        <v>3366</v>
      </c>
      <c r="G798" s="4" t="s">
        <v>100</v>
      </c>
      <c r="H798" s="4" t="s">
        <v>41</v>
      </c>
      <c r="I798" s="4" t="s">
        <v>533</v>
      </c>
      <c r="J798" s="4" t="s">
        <v>66</v>
      </c>
      <c r="K798" s="4" t="s">
        <v>3367</v>
      </c>
      <c r="L798" s="4" t="str">
        <f t="shared" si="12"/>
        <v>Different contact</v>
      </c>
    </row>
    <row r="799" spans="1:12" ht="15" customHeight="1" x14ac:dyDescent="0.3">
      <c r="A799" s="4" t="s">
        <v>3371</v>
      </c>
      <c r="B799" s="4" t="s">
        <v>3372</v>
      </c>
      <c r="C799" s="4" t="s">
        <v>3373</v>
      </c>
      <c r="D799" s="4"/>
      <c r="E799" s="4" t="s">
        <v>91</v>
      </c>
      <c r="F799" s="4" t="s">
        <v>3374</v>
      </c>
      <c r="G799" s="4" t="s">
        <v>577</v>
      </c>
      <c r="H799" s="4" t="s">
        <v>68</v>
      </c>
      <c r="I799" s="4" t="s">
        <v>432</v>
      </c>
      <c r="J799" s="4" t="s">
        <v>32</v>
      </c>
      <c r="K799" s="4" t="s">
        <v>3373</v>
      </c>
      <c r="L799" s="4" t="str">
        <f t="shared" si="12"/>
        <v>Different owner</v>
      </c>
    </row>
    <row r="800" spans="1:12" ht="15" customHeight="1" x14ac:dyDescent="0.3">
      <c r="A800" s="4" t="s">
        <v>3375</v>
      </c>
      <c r="B800" s="4" t="s">
        <v>3376</v>
      </c>
      <c r="C800" s="4"/>
      <c r="D800" s="4"/>
      <c r="E800" s="4" t="s">
        <v>34</v>
      </c>
      <c r="F800" s="4" t="s">
        <v>3377</v>
      </c>
      <c r="G800" s="4" t="s">
        <v>29</v>
      </c>
      <c r="H800" s="4" t="s">
        <v>41</v>
      </c>
      <c r="I800" s="4" t="s">
        <v>59</v>
      </c>
      <c r="J800" s="4" t="s">
        <v>34</v>
      </c>
      <c r="K800" s="4" t="s">
        <v>3378</v>
      </c>
      <c r="L800" s="4" t="str">
        <f t="shared" si="12"/>
        <v>Different contact</v>
      </c>
    </row>
    <row r="801" spans="1:12" ht="15" customHeight="1" x14ac:dyDescent="0.3">
      <c r="A801" s="4" t="s">
        <v>3379</v>
      </c>
      <c r="B801" s="4" t="s">
        <v>3376</v>
      </c>
      <c r="C801" s="4"/>
      <c r="D801" s="4" t="s">
        <v>3380</v>
      </c>
      <c r="E801" s="4" t="s">
        <v>34</v>
      </c>
      <c r="F801" s="4" t="s">
        <v>3377</v>
      </c>
      <c r="G801" s="4" t="s">
        <v>29</v>
      </c>
      <c r="H801" s="4" t="s">
        <v>41</v>
      </c>
      <c r="I801" s="4" t="s">
        <v>59</v>
      </c>
      <c r="J801" s="4" t="s">
        <v>34</v>
      </c>
      <c r="K801" s="4" t="s">
        <v>3378</v>
      </c>
      <c r="L801" s="4" t="str">
        <f t="shared" si="12"/>
        <v>Different contact</v>
      </c>
    </row>
    <row r="802" spans="1:12" ht="15" customHeight="1" x14ac:dyDescent="0.3">
      <c r="A802" s="4" t="s">
        <v>3381</v>
      </c>
      <c r="B802" s="4" t="s">
        <v>3376</v>
      </c>
      <c r="C802" s="4" t="s">
        <v>3382</v>
      </c>
      <c r="D802" s="4" t="s">
        <v>3383</v>
      </c>
      <c r="E802" s="4" t="s">
        <v>27</v>
      </c>
      <c r="F802" s="4" t="s">
        <v>3377</v>
      </c>
      <c r="G802" s="4" t="s">
        <v>29</v>
      </c>
      <c r="H802" s="4" t="s">
        <v>41</v>
      </c>
      <c r="I802" s="4" t="s">
        <v>59</v>
      </c>
      <c r="J802" s="4" t="s">
        <v>34</v>
      </c>
      <c r="K802" s="4" t="s">
        <v>3378</v>
      </c>
      <c r="L802" s="4" t="str">
        <f t="shared" si="12"/>
        <v>Different owner &amp; contact</v>
      </c>
    </row>
    <row r="803" spans="1:12" ht="15" customHeight="1" x14ac:dyDescent="0.3">
      <c r="A803" s="4" t="s">
        <v>3384</v>
      </c>
      <c r="B803" s="4" t="s">
        <v>3385</v>
      </c>
      <c r="C803" s="4" t="s">
        <v>3386</v>
      </c>
      <c r="D803" s="4"/>
      <c r="E803" s="4" t="s">
        <v>66</v>
      </c>
      <c r="F803" s="4" t="s">
        <v>3387</v>
      </c>
      <c r="G803" s="4" t="s">
        <v>58</v>
      </c>
      <c r="H803" s="4" t="s">
        <v>1603</v>
      </c>
      <c r="I803" s="4" t="s">
        <v>432</v>
      </c>
      <c r="J803" s="4" t="s">
        <v>66</v>
      </c>
      <c r="K803" s="4" t="s">
        <v>3388</v>
      </c>
      <c r="L803" s="4" t="str">
        <f t="shared" si="12"/>
        <v>Different contact</v>
      </c>
    </row>
    <row r="804" spans="1:12" ht="15" customHeight="1" x14ac:dyDescent="0.3">
      <c r="A804" s="4" t="s">
        <v>3389</v>
      </c>
      <c r="B804" s="4" t="s">
        <v>3385</v>
      </c>
      <c r="C804" s="4" t="s">
        <v>3390</v>
      </c>
      <c r="D804" s="4" t="s">
        <v>3391</v>
      </c>
      <c r="E804" s="4" t="s">
        <v>66</v>
      </c>
      <c r="F804" s="4" t="s">
        <v>3387</v>
      </c>
      <c r="G804" s="4" t="s">
        <v>58</v>
      </c>
      <c r="H804" s="4" t="s">
        <v>1603</v>
      </c>
      <c r="I804" s="4" t="s">
        <v>432</v>
      </c>
      <c r="J804" s="4" t="s">
        <v>66</v>
      </c>
      <c r="K804" s="4" t="s">
        <v>3388</v>
      </c>
      <c r="L804" s="4" t="str">
        <f t="shared" si="12"/>
        <v>Different contact</v>
      </c>
    </row>
    <row r="805" spans="1:12" ht="15" customHeight="1" x14ac:dyDescent="0.3">
      <c r="A805" s="4" t="s">
        <v>3392</v>
      </c>
      <c r="B805" s="4" t="s">
        <v>3393</v>
      </c>
      <c r="C805" s="4" t="s">
        <v>3394</v>
      </c>
      <c r="D805" s="4" t="s">
        <v>3395</v>
      </c>
      <c r="E805" s="4" t="s">
        <v>27</v>
      </c>
      <c r="F805" s="4" t="s">
        <v>3396</v>
      </c>
      <c r="G805" s="4" t="s">
        <v>361</v>
      </c>
      <c r="H805" s="4" t="s">
        <v>68</v>
      </c>
      <c r="I805" s="4" t="s">
        <v>93</v>
      </c>
      <c r="J805" s="4" t="s">
        <v>394</v>
      </c>
      <c r="K805" s="4" t="s">
        <v>3397</v>
      </c>
      <c r="L805" s="4" t="str">
        <f t="shared" si="12"/>
        <v>Different owner &amp; contact</v>
      </c>
    </row>
    <row r="806" spans="1:12" ht="15" customHeight="1" x14ac:dyDescent="0.3">
      <c r="A806" s="4" t="s">
        <v>3398</v>
      </c>
      <c r="B806" s="4" t="s">
        <v>3393</v>
      </c>
      <c r="C806" s="4" t="s">
        <v>3397</v>
      </c>
      <c r="D806" s="4"/>
      <c r="E806" s="4" t="s">
        <v>27</v>
      </c>
      <c r="F806" s="4" t="s">
        <v>3396</v>
      </c>
      <c r="G806" s="4" t="s">
        <v>361</v>
      </c>
      <c r="H806" s="4" t="s">
        <v>68</v>
      </c>
      <c r="I806" s="4" t="s">
        <v>93</v>
      </c>
      <c r="J806" s="4" t="s">
        <v>394</v>
      </c>
      <c r="K806" s="4" t="s">
        <v>3397</v>
      </c>
      <c r="L806" s="4" t="str">
        <f t="shared" si="12"/>
        <v>Different owner</v>
      </c>
    </row>
    <row r="807" spans="1:12" ht="15" customHeight="1" x14ac:dyDescent="0.3">
      <c r="A807" s="4" t="s">
        <v>3399</v>
      </c>
      <c r="B807" s="4" t="s">
        <v>3393</v>
      </c>
      <c r="C807" s="4"/>
      <c r="D807" s="4" t="s">
        <v>3400</v>
      </c>
      <c r="E807" s="4" t="s">
        <v>385</v>
      </c>
      <c r="F807" s="4" t="s">
        <v>3396</v>
      </c>
      <c r="G807" s="4" t="s">
        <v>361</v>
      </c>
      <c r="H807" s="4" t="s">
        <v>68</v>
      </c>
      <c r="I807" s="4" t="s">
        <v>93</v>
      </c>
      <c r="J807" s="4" t="s">
        <v>394</v>
      </c>
      <c r="K807" s="4" t="s">
        <v>3397</v>
      </c>
      <c r="L807" s="4" t="str">
        <f t="shared" si="12"/>
        <v>Different owner &amp; contact</v>
      </c>
    </row>
    <row r="808" spans="1:12" ht="15" customHeight="1" x14ac:dyDescent="0.3">
      <c r="A808" s="4" t="s">
        <v>3401</v>
      </c>
      <c r="B808" s="4" t="s">
        <v>3402</v>
      </c>
      <c r="C808" s="4"/>
      <c r="D808" s="4"/>
      <c r="E808" s="4" t="s">
        <v>34</v>
      </c>
      <c r="F808" s="4" t="s">
        <v>3403</v>
      </c>
      <c r="G808" s="4" t="s">
        <v>29</v>
      </c>
      <c r="H808" s="4" t="s">
        <v>68</v>
      </c>
      <c r="I808" s="4" t="s">
        <v>538</v>
      </c>
      <c r="J808" s="4" t="s">
        <v>32</v>
      </c>
      <c r="K808" s="4" t="s">
        <v>3404</v>
      </c>
      <c r="L808" s="4" t="str">
        <f t="shared" si="12"/>
        <v>Different owner &amp; contact</v>
      </c>
    </row>
    <row r="809" spans="1:12" ht="15" customHeight="1" x14ac:dyDescent="0.3">
      <c r="A809" s="4" t="s">
        <v>3405</v>
      </c>
      <c r="B809" s="4" t="s">
        <v>3406</v>
      </c>
      <c r="C809" s="4" t="s">
        <v>3407</v>
      </c>
      <c r="D809" s="4" t="s">
        <v>3408</v>
      </c>
      <c r="E809" s="4" t="s">
        <v>91</v>
      </c>
      <c r="F809" s="4" t="s">
        <v>3409</v>
      </c>
      <c r="G809" s="4" t="s">
        <v>209</v>
      </c>
      <c r="H809" s="4" t="s">
        <v>41</v>
      </c>
      <c r="I809" s="4" t="s">
        <v>101</v>
      </c>
      <c r="J809" s="4" t="s">
        <v>102</v>
      </c>
      <c r="K809" s="4" t="s">
        <v>3410</v>
      </c>
      <c r="L809" s="4" t="str">
        <f t="shared" si="12"/>
        <v>Different owner &amp; contact</v>
      </c>
    </row>
    <row r="810" spans="1:12" ht="15" customHeight="1" x14ac:dyDescent="0.3">
      <c r="A810" s="4" t="s">
        <v>3411</v>
      </c>
      <c r="B810" s="4" t="s">
        <v>3412</v>
      </c>
      <c r="C810" s="4" t="s">
        <v>3413</v>
      </c>
      <c r="D810" s="4" t="s">
        <v>3414</v>
      </c>
      <c r="E810" s="4" t="s">
        <v>172</v>
      </c>
      <c r="F810" s="4" t="s">
        <v>3415</v>
      </c>
      <c r="G810" s="4" t="s">
        <v>138</v>
      </c>
      <c r="H810" s="4" t="s">
        <v>174</v>
      </c>
      <c r="I810" s="4" t="s">
        <v>175</v>
      </c>
      <c r="J810" s="4" t="s">
        <v>176</v>
      </c>
      <c r="K810" s="4" t="s">
        <v>3416</v>
      </c>
      <c r="L810" s="4" t="str">
        <f t="shared" si="12"/>
        <v>Different owner &amp; contact</v>
      </c>
    </row>
    <row r="811" spans="1:12" ht="15" customHeight="1" x14ac:dyDescent="0.3">
      <c r="A811" s="4" t="s">
        <v>3417</v>
      </c>
      <c r="B811" s="4" t="s">
        <v>3418</v>
      </c>
      <c r="C811" s="4" t="s">
        <v>3419</v>
      </c>
      <c r="D811" s="4"/>
      <c r="E811" s="4" t="s">
        <v>56</v>
      </c>
      <c r="F811" s="4" t="s">
        <v>3420</v>
      </c>
      <c r="G811" s="4" t="s">
        <v>138</v>
      </c>
      <c r="H811" s="4" t="s">
        <v>68</v>
      </c>
      <c r="I811" s="4" t="s">
        <v>93</v>
      </c>
      <c r="J811" s="4" t="s">
        <v>60</v>
      </c>
      <c r="K811" s="4" t="s">
        <v>3421</v>
      </c>
      <c r="L811" s="4" t="str">
        <f t="shared" si="12"/>
        <v>Different owner &amp; contact</v>
      </c>
    </row>
    <row r="812" spans="1:12" ht="15" customHeight="1" x14ac:dyDescent="0.3">
      <c r="A812" s="4" t="s">
        <v>3422</v>
      </c>
      <c r="B812" s="4" t="s">
        <v>3423</v>
      </c>
      <c r="C812" s="4" t="s">
        <v>3424</v>
      </c>
      <c r="D812" s="4"/>
      <c r="E812" s="4" t="s">
        <v>56</v>
      </c>
      <c r="F812" s="4" t="s">
        <v>3425</v>
      </c>
      <c r="G812" s="4" t="s">
        <v>29</v>
      </c>
      <c r="H812" s="4" t="s">
        <v>41</v>
      </c>
      <c r="I812" s="4" t="s">
        <v>101</v>
      </c>
      <c r="J812" s="4" t="s">
        <v>102</v>
      </c>
      <c r="K812" s="4" t="s">
        <v>3426</v>
      </c>
      <c r="L812" s="4" t="str">
        <f t="shared" si="12"/>
        <v>Different owner &amp; contact</v>
      </c>
    </row>
    <row r="813" spans="1:12" ht="15" customHeight="1" x14ac:dyDescent="0.3">
      <c r="A813" s="4" t="s">
        <v>3427</v>
      </c>
      <c r="B813" s="4" t="s">
        <v>3428</v>
      </c>
      <c r="C813" s="4"/>
      <c r="D813" s="4" t="s">
        <v>3429</v>
      </c>
      <c r="E813" s="4" t="s">
        <v>385</v>
      </c>
      <c r="F813" s="4" t="s">
        <v>3430</v>
      </c>
      <c r="G813" s="4" t="s">
        <v>124</v>
      </c>
      <c r="H813" s="4" t="s">
        <v>68</v>
      </c>
      <c r="I813" s="4" t="s">
        <v>93</v>
      </c>
      <c r="J813" s="4" t="s">
        <v>94</v>
      </c>
      <c r="K813" s="4" t="s">
        <v>3431</v>
      </c>
      <c r="L813" s="4" t="str">
        <f t="shared" si="12"/>
        <v>Different owner &amp; contact</v>
      </c>
    </row>
    <row r="814" spans="1:12" ht="15" customHeight="1" x14ac:dyDescent="0.3">
      <c r="A814" s="4" t="s">
        <v>3432</v>
      </c>
      <c r="B814" s="4" t="s">
        <v>3428</v>
      </c>
      <c r="C814" s="4" t="s">
        <v>3433</v>
      </c>
      <c r="D814" s="4" t="s">
        <v>3429</v>
      </c>
      <c r="E814" s="4" t="s">
        <v>91</v>
      </c>
      <c r="F814" s="4" t="s">
        <v>3430</v>
      </c>
      <c r="G814" s="4" t="s">
        <v>124</v>
      </c>
      <c r="H814" s="4" t="s">
        <v>68</v>
      </c>
      <c r="I814" s="4" t="s">
        <v>93</v>
      </c>
      <c r="J814" s="4" t="s">
        <v>94</v>
      </c>
      <c r="K814" s="4" t="s">
        <v>3431</v>
      </c>
      <c r="L814" s="4" t="str">
        <f t="shared" si="12"/>
        <v>Different owner &amp; contact</v>
      </c>
    </row>
    <row r="815" spans="1:12" ht="15" customHeight="1" x14ac:dyDescent="0.3">
      <c r="A815" s="4" t="s">
        <v>3434</v>
      </c>
      <c r="B815" s="4" t="s">
        <v>3428</v>
      </c>
      <c r="C815" s="4" t="s">
        <v>3435</v>
      </c>
      <c r="D815" s="4" t="s">
        <v>3429</v>
      </c>
      <c r="E815" s="4" t="s">
        <v>91</v>
      </c>
      <c r="F815" s="4" t="s">
        <v>3430</v>
      </c>
      <c r="G815" s="4" t="s">
        <v>124</v>
      </c>
      <c r="H815" s="4" t="s">
        <v>68</v>
      </c>
      <c r="I815" s="4" t="s">
        <v>93</v>
      </c>
      <c r="J815" s="4" t="s">
        <v>94</v>
      </c>
      <c r="K815" s="4" t="s">
        <v>3431</v>
      </c>
      <c r="L815" s="4" t="str">
        <f t="shared" si="12"/>
        <v>Different owner &amp; contact</v>
      </c>
    </row>
    <row r="816" spans="1:12" ht="15" customHeight="1" x14ac:dyDescent="0.3">
      <c r="A816" s="4" t="s">
        <v>3436</v>
      </c>
      <c r="B816" s="4" t="s">
        <v>3437</v>
      </c>
      <c r="C816" s="4"/>
      <c r="D816" s="4"/>
      <c r="E816" s="4" t="s">
        <v>34</v>
      </c>
      <c r="F816" s="4" t="s">
        <v>3438</v>
      </c>
      <c r="G816" s="4" t="s">
        <v>84</v>
      </c>
      <c r="H816" s="4" t="s">
        <v>68</v>
      </c>
      <c r="I816" s="4" t="s">
        <v>538</v>
      </c>
      <c r="J816" s="4" t="s">
        <v>32</v>
      </c>
      <c r="K816" s="4" t="s">
        <v>3439</v>
      </c>
      <c r="L816" s="4" t="str">
        <f t="shared" si="12"/>
        <v>Different owner &amp; contact</v>
      </c>
    </row>
    <row r="817" spans="1:12" ht="15" customHeight="1" x14ac:dyDescent="0.3">
      <c r="A817" s="4" t="s">
        <v>3440</v>
      </c>
      <c r="B817" s="4" t="s">
        <v>3441</v>
      </c>
      <c r="C817" s="4" t="s">
        <v>3442</v>
      </c>
      <c r="D817" s="4" t="s">
        <v>3443</v>
      </c>
      <c r="E817" s="4" t="s">
        <v>172</v>
      </c>
      <c r="F817" s="4" t="s">
        <v>3444</v>
      </c>
      <c r="G817" s="4" t="s">
        <v>361</v>
      </c>
      <c r="H817" s="4" t="s">
        <v>174</v>
      </c>
      <c r="I817" s="4" t="s">
        <v>175</v>
      </c>
      <c r="J817" s="4" t="s">
        <v>176</v>
      </c>
      <c r="K817" s="4" t="s">
        <v>3445</v>
      </c>
      <c r="L817" s="4" t="str">
        <f t="shared" si="12"/>
        <v>Different owner &amp; contact</v>
      </c>
    </row>
    <row r="818" spans="1:12" ht="15" customHeight="1" x14ac:dyDescent="0.3">
      <c r="A818" s="4" t="s">
        <v>3446</v>
      </c>
      <c r="B818" s="4" t="s">
        <v>3447</v>
      </c>
      <c r="C818" s="4" t="s">
        <v>3448</v>
      </c>
      <c r="D818" s="4" t="s">
        <v>3449</v>
      </c>
      <c r="E818" s="4" t="s">
        <v>91</v>
      </c>
      <c r="F818" s="4" t="s">
        <v>3450</v>
      </c>
      <c r="G818" s="4" t="s">
        <v>124</v>
      </c>
      <c r="H818" s="4" t="s">
        <v>30</v>
      </c>
      <c r="I818" s="4" t="s">
        <v>432</v>
      </c>
      <c r="J818" s="4" t="s">
        <v>94</v>
      </c>
      <c r="K818" s="4" t="s">
        <v>3448</v>
      </c>
      <c r="L818" s="4" t="str">
        <f t="shared" si="12"/>
        <v>Different owner</v>
      </c>
    </row>
    <row r="819" spans="1:12" ht="15" customHeight="1" x14ac:dyDescent="0.3">
      <c r="A819" s="4" t="s">
        <v>3451</v>
      </c>
      <c r="B819" s="4" t="s">
        <v>3452</v>
      </c>
      <c r="C819" s="4" t="s">
        <v>3453</v>
      </c>
      <c r="D819" s="4" t="s">
        <v>3454</v>
      </c>
      <c r="E819" s="4" t="s">
        <v>52</v>
      </c>
      <c r="F819" s="4" t="s">
        <v>3455</v>
      </c>
      <c r="G819" s="4" t="s">
        <v>84</v>
      </c>
      <c r="H819" s="4" t="s">
        <v>68</v>
      </c>
      <c r="I819" s="4" t="s">
        <v>93</v>
      </c>
      <c r="J819" s="4" t="s">
        <v>34</v>
      </c>
      <c r="K819" s="4" t="s">
        <v>3456</v>
      </c>
      <c r="L819" s="4" t="str">
        <f t="shared" si="12"/>
        <v>Different owner &amp; contact</v>
      </c>
    </row>
    <row r="820" spans="1:12" ht="15" customHeight="1" x14ac:dyDescent="0.3">
      <c r="A820" s="4" t="s">
        <v>3457</v>
      </c>
      <c r="B820" s="4" t="s">
        <v>3458</v>
      </c>
      <c r="C820" s="4" t="s">
        <v>3459</v>
      </c>
      <c r="D820" s="4" t="s">
        <v>3460</v>
      </c>
      <c r="E820" s="4" t="s">
        <v>52</v>
      </c>
      <c r="F820" s="4" t="s">
        <v>3461</v>
      </c>
      <c r="G820" s="4" t="s">
        <v>124</v>
      </c>
      <c r="H820" s="4" t="s">
        <v>41</v>
      </c>
      <c r="I820" s="4" t="s">
        <v>404</v>
      </c>
      <c r="J820" s="4" t="s">
        <v>34</v>
      </c>
      <c r="K820" s="4" t="s">
        <v>3462</v>
      </c>
      <c r="L820" s="4" t="str">
        <f t="shared" si="12"/>
        <v>Different owner &amp; contact</v>
      </c>
    </row>
    <row r="821" spans="1:12" ht="15" customHeight="1" x14ac:dyDescent="0.3">
      <c r="A821" s="4" t="s">
        <v>3463</v>
      </c>
      <c r="B821" s="4" t="s">
        <v>3464</v>
      </c>
      <c r="C821" s="4" t="s">
        <v>3465</v>
      </c>
      <c r="D821" s="4" t="s">
        <v>3466</v>
      </c>
      <c r="E821" s="4" t="s">
        <v>27</v>
      </c>
      <c r="F821" s="4" t="s">
        <v>3467</v>
      </c>
      <c r="G821" s="4" t="s">
        <v>124</v>
      </c>
      <c r="H821" s="4" t="s">
        <v>30</v>
      </c>
      <c r="I821" s="4" t="s">
        <v>125</v>
      </c>
      <c r="J821" s="4" t="s">
        <v>34</v>
      </c>
      <c r="K821" s="4" t="s">
        <v>3465</v>
      </c>
      <c r="L821" s="4" t="str">
        <f t="shared" si="12"/>
        <v>Different owner</v>
      </c>
    </row>
    <row r="822" spans="1:12" ht="15" customHeight="1" x14ac:dyDescent="0.3">
      <c r="A822" s="4" t="s">
        <v>3468</v>
      </c>
      <c r="B822" s="4" t="s">
        <v>3464</v>
      </c>
      <c r="C822" s="4"/>
      <c r="D822" s="4"/>
      <c r="E822" s="4" t="s">
        <v>34</v>
      </c>
      <c r="F822" s="4" t="s">
        <v>3467</v>
      </c>
      <c r="G822" s="4" t="s">
        <v>124</v>
      </c>
      <c r="H822" s="4" t="s">
        <v>30</v>
      </c>
      <c r="I822" s="4" t="s">
        <v>125</v>
      </c>
      <c r="J822" s="4" t="s">
        <v>34</v>
      </c>
      <c r="K822" s="4" t="s">
        <v>3465</v>
      </c>
      <c r="L822" s="4" t="str">
        <f t="shared" si="12"/>
        <v>Different contact</v>
      </c>
    </row>
    <row r="823" spans="1:12" ht="15" customHeight="1" x14ac:dyDescent="0.3">
      <c r="A823" s="4" t="s">
        <v>3469</v>
      </c>
      <c r="B823" s="4" t="s">
        <v>3464</v>
      </c>
      <c r="C823" s="4"/>
      <c r="D823" s="4"/>
      <c r="E823" s="4" t="s">
        <v>34</v>
      </c>
      <c r="F823" s="4" t="s">
        <v>3467</v>
      </c>
      <c r="G823" s="4" t="s">
        <v>124</v>
      </c>
      <c r="H823" s="4" t="s">
        <v>30</v>
      </c>
      <c r="I823" s="4" t="s">
        <v>125</v>
      </c>
      <c r="J823" s="4" t="s">
        <v>34</v>
      </c>
      <c r="K823" s="4" t="s">
        <v>3465</v>
      </c>
      <c r="L823" s="4" t="str">
        <f t="shared" si="12"/>
        <v>Different contact</v>
      </c>
    </row>
    <row r="824" spans="1:12" ht="15" customHeight="1" x14ac:dyDescent="0.3">
      <c r="A824" s="4" t="s">
        <v>3470</v>
      </c>
      <c r="B824" s="4" t="s">
        <v>3464</v>
      </c>
      <c r="C824" s="4"/>
      <c r="D824" s="4"/>
      <c r="E824" s="4" t="s">
        <v>34</v>
      </c>
      <c r="F824" s="4" t="s">
        <v>3467</v>
      </c>
      <c r="G824" s="4" t="s">
        <v>124</v>
      </c>
      <c r="H824" s="4" t="s">
        <v>30</v>
      </c>
      <c r="I824" s="4" t="s">
        <v>125</v>
      </c>
      <c r="J824" s="4" t="s">
        <v>34</v>
      </c>
      <c r="K824" s="4" t="s">
        <v>3465</v>
      </c>
      <c r="L824" s="4" t="str">
        <f t="shared" si="12"/>
        <v>Different contact</v>
      </c>
    </row>
    <row r="825" spans="1:12" ht="15" customHeight="1" x14ac:dyDescent="0.3">
      <c r="A825" s="4" t="s">
        <v>3471</v>
      </c>
      <c r="B825" s="4" t="s">
        <v>3472</v>
      </c>
      <c r="C825" s="4" t="s">
        <v>3473</v>
      </c>
      <c r="D825" s="4"/>
      <c r="E825" s="4" t="s">
        <v>91</v>
      </c>
      <c r="F825" s="4" t="s">
        <v>3474</v>
      </c>
      <c r="G825" s="4" t="s">
        <v>577</v>
      </c>
      <c r="H825" s="4" t="s">
        <v>68</v>
      </c>
      <c r="I825" s="4" t="s">
        <v>93</v>
      </c>
      <c r="J825" s="4" t="s">
        <v>32</v>
      </c>
      <c r="K825" s="4" t="s">
        <v>3475</v>
      </c>
      <c r="L825" s="4" t="str">
        <f t="shared" si="12"/>
        <v>Different owner &amp; contact</v>
      </c>
    </row>
    <row r="826" spans="1:12" ht="15" customHeight="1" x14ac:dyDescent="0.3">
      <c r="A826" s="4" t="s">
        <v>3476</v>
      </c>
      <c r="B826" s="4" t="s">
        <v>3477</v>
      </c>
      <c r="C826" s="4" t="s">
        <v>3478</v>
      </c>
      <c r="D826" s="4" t="s">
        <v>3479</v>
      </c>
      <c r="E826" s="4" t="s">
        <v>106</v>
      </c>
      <c r="F826" s="4" t="s">
        <v>3480</v>
      </c>
      <c r="G826" s="4" t="s">
        <v>124</v>
      </c>
      <c r="H826" s="4" t="s">
        <v>30</v>
      </c>
      <c r="I826" s="4" t="s">
        <v>93</v>
      </c>
      <c r="J826" s="4" t="s">
        <v>106</v>
      </c>
      <c r="K826" s="4" t="s">
        <v>3478</v>
      </c>
      <c r="L826" s="4" t="str">
        <f t="shared" si="12"/>
        <v>Match</v>
      </c>
    </row>
    <row r="827" spans="1:12" ht="15" customHeight="1" x14ac:dyDescent="0.3">
      <c r="A827" s="4" t="s">
        <v>2760</v>
      </c>
      <c r="B827" s="4" t="s">
        <v>3477</v>
      </c>
      <c r="C827" s="4"/>
      <c r="D827" s="4"/>
      <c r="E827" s="4" t="s">
        <v>385</v>
      </c>
      <c r="F827" s="4" t="s">
        <v>3480</v>
      </c>
      <c r="G827" s="4" t="s">
        <v>124</v>
      </c>
      <c r="H827" s="4" t="s">
        <v>30</v>
      </c>
      <c r="I827" s="4" t="s">
        <v>93</v>
      </c>
      <c r="J827" s="4" t="s">
        <v>106</v>
      </c>
      <c r="K827" s="4" t="s">
        <v>3478</v>
      </c>
      <c r="L827" s="4" t="str">
        <f t="shared" si="12"/>
        <v>Different owner &amp; contact</v>
      </c>
    </row>
    <row r="828" spans="1:12" ht="15" customHeight="1" x14ac:dyDescent="0.3">
      <c r="A828" s="4" t="s">
        <v>3481</v>
      </c>
      <c r="B828" s="4" t="s">
        <v>3482</v>
      </c>
      <c r="C828" s="4" t="s">
        <v>3483</v>
      </c>
      <c r="D828" s="4" t="s">
        <v>3484</v>
      </c>
      <c r="E828" s="4" t="s">
        <v>66</v>
      </c>
      <c r="F828" s="4" t="s">
        <v>3485</v>
      </c>
      <c r="G828" s="4" t="s">
        <v>58</v>
      </c>
      <c r="H828" s="4" t="s">
        <v>68</v>
      </c>
      <c r="I828" s="4" t="s">
        <v>299</v>
      </c>
      <c r="J828" s="4" t="s">
        <v>66</v>
      </c>
      <c r="K828" s="4" t="s">
        <v>3486</v>
      </c>
      <c r="L828" s="4" t="str">
        <f t="shared" si="12"/>
        <v>Different contact</v>
      </c>
    </row>
    <row r="829" spans="1:12" ht="15" customHeight="1" x14ac:dyDescent="0.3">
      <c r="A829" s="4" t="s">
        <v>3481</v>
      </c>
      <c r="B829" s="4" t="s">
        <v>3482</v>
      </c>
      <c r="C829" s="4" t="s">
        <v>3486</v>
      </c>
      <c r="D829" s="4"/>
      <c r="E829" s="4" t="s">
        <v>343</v>
      </c>
      <c r="F829" s="4" t="s">
        <v>3485</v>
      </c>
      <c r="G829" s="4" t="s">
        <v>58</v>
      </c>
      <c r="H829" s="4" t="s">
        <v>68</v>
      </c>
      <c r="I829" s="4" t="s">
        <v>299</v>
      </c>
      <c r="J829" s="4" t="s">
        <v>66</v>
      </c>
      <c r="K829" s="4" t="s">
        <v>3486</v>
      </c>
      <c r="L829" s="4" t="str">
        <f t="shared" si="12"/>
        <v>Different owner</v>
      </c>
    </row>
    <row r="830" spans="1:12" ht="15" customHeight="1" x14ac:dyDescent="0.3">
      <c r="A830" s="4" t="s">
        <v>3487</v>
      </c>
      <c r="B830" s="4" t="s">
        <v>3488</v>
      </c>
      <c r="C830" s="4" t="s">
        <v>3489</v>
      </c>
      <c r="D830" s="4" t="s">
        <v>3490</v>
      </c>
      <c r="E830" s="4" t="s">
        <v>56</v>
      </c>
      <c r="F830" s="4" t="s">
        <v>3491</v>
      </c>
      <c r="G830" s="4" t="s">
        <v>361</v>
      </c>
      <c r="H830" s="4" t="s">
        <v>41</v>
      </c>
      <c r="I830" s="4" t="s">
        <v>210</v>
      </c>
      <c r="J830" s="4" t="s">
        <v>60</v>
      </c>
      <c r="K830" s="4" t="s">
        <v>3492</v>
      </c>
      <c r="L830" s="4" t="str">
        <f t="shared" si="12"/>
        <v>Different owner &amp; contact</v>
      </c>
    </row>
    <row r="831" spans="1:12" ht="15" customHeight="1" x14ac:dyDescent="0.3">
      <c r="A831" s="4" t="s">
        <v>3493</v>
      </c>
      <c r="B831" s="4" t="s">
        <v>3494</v>
      </c>
      <c r="C831" s="4" t="s">
        <v>3495</v>
      </c>
      <c r="D831" s="4"/>
      <c r="E831" s="4" t="s">
        <v>106</v>
      </c>
      <c r="F831" s="4" t="s">
        <v>3496</v>
      </c>
      <c r="G831" s="4" t="s">
        <v>130</v>
      </c>
      <c r="H831" s="4" t="s">
        <v>50</v>
      </c>
      <c r="I831" s="4" t="s">
        <v>3497</v>
      </c>
      <c r="J831" s="4" t="s">
        <v>106</v>
      </c>
      <c r="K831" s="4" t="s">
        <v>3498</v>
      </c>
      <c r="L831" s="4" t="str">
        <f t="shared" si="12"/>
        <v>Different contact</v>
      </c>
    </row>
    <row r="832" spans="1:12" ht="15" customHeight="1" x14ac:dyDescent="0.3">
      <c r="A832" s="4" t="s">
        <v>3499</v>
      </c>
      <c r="B832" s="4" t="s">
        <v>3494</v>
      </c>
      <c r="C832" s="4" t="s">
        <v>3500</v>
      </c>
      <c r="D832" s="4" t="s">
        <v>3501</v>
      </c>
      <c r="E832" s="4" t="s">
        <v>66</v>
      </c>
      <c r="F832" s="4" t="s">
        <v>3496</v>
      </c>
      <c r="G832" s="4" t="s">
        <v>130</v>
      </c>
      <c r="H832" s="4" t="s">
        <v>50</v>
      </c>
      <c r="I832" s="4" t="s">
        <v>3497</v>
      </c>
      <c r="J832" s="4" t="s">
        <v>106</v>
      </c>
      <c r="K832" s="4" t="s">
        <v>3498</v>
      </c>
      <c r="L832" s="4" t="str">
        <f t="shared" si="12"/>
        <v>Different owner &amp; contact</v>
      </c>
    </row>
    <row r="833" spans="1:12" ht="15" customHeight="1" x14ac:dyDescent="0.3">
      <c r="A833" s="4" t="s">
        <v>3502</v>
      </c>
      <c r="B833" s="4" t="s">
        <v>3503</v>
      </c>
      <c r="C833" s="4" t="s">
        <v>3504</v>
      </c>
      <c r="D833" s="4" t="s">
        <v>3505</v>
      </c>
      <c r="E833" s="4" t="s">
        <v>66</v>
      </c>
      <c r="F833" s="4" t="s">
        <v>3506</v>
      </c>
      <c r="G833" s="4" t="s">
        <v>130</v>
      </c>
      <c r="H833" s="4" t="s">
        <v>41</v>
      </c>
      <c r="I833" s="4" t="s">
        <v>823</v>
      </c>
      <c r="J833" s="4" t="s">
        <v>66</v>
      </c>
      <c r="K833" s="4" t="s">
        <v>3507</v>
      </c>
      <c r="L833" s="4" t="str">
        <f t="shared" si="12"/>
        <v>Different contact</v>
      </c>
    </row>
    <row r="834" spans="1:12" ht="15" customHeight="1" x14ac:dyDescent="0.3">
      <c r="A834" s="4" t="s">
        <v>3508</v>
      </c>
      <c r="B834" s="4" t="s">
        <v>3503</v>
      </c>
      <c r="C834" s="4" t="s">
        <v>3509</v>
      </c>
      <c r="D834" s="4" t="s">
        <v>3510</v>
      </c>
      <c r="E834" s="4" t="s">
        <v>66</v>
      </c>
      <c r="F834" s="4" t="s">
        <v>3506</v>
      </c>
      <c r="G834" s="4" t="s">
        <v>130</v>
      </c>
      <c r="H834" s="4" t="s">
        <v>41</v>
      </c>
      <c r="I834" s="4" t="s">
        <v>823</v>
      </c>
      <c r="J834" s="4" t="s">
        <v>66</v>
      </c>
      <c r="K834" s="4" t="s">
        <v>3507</v>
      </c>
      <c r="L834" s="4" t="str">
        <f t="shared" ref="L834:L897" si="13">IF(AND(TRIM(LOWER(E834))=TRIM(LOWER(J834)),TRIM(LOWER(C834))=TRIM(LOWER(K834))),"Match",IF(AND(NOT(TRIM(LOWER(E834))=TRIM(LOWER(J834))),TRIM(LOWER(C834))=TRIM(LOWER(K834))),"Different owner",IF(AND(TRIM(LOWER(E834))=TRIM(LOWER(J834)),NOT(TRIM(LOWER(C834))=TRIM(LOWER(K834)))),"Different contact","Different owner &amp; contact")))</f>
        <v>Different contact</v>
      </c>
    </row>
    <row r="835" spans="1:12" ht="15" customHeight="1" x14ac:dyDescent="0.3">
      <c r="A835" s="4" t="s">
        <v>3511</v>
      </c>
      <c r="B835" s="4" t="s">
        <v>3512</v>
      </c>
      <c r="C835" s="4"/>
      <c r="D835" s="4" t="s">
        <v>3513</v>
      </c>
      <c r="E835" s="4" t="s">
        <v>385</v>
      </c>
      <c r="F835" s="4" t="s">
        <v>3514</v>
      </c>
      <c r="G835" s="4" t="s">
        <v>100</v>
      </c>
      <c r="H835" s="4" t="s">
        <v>41</v>
      </c>
      <c r="I835" s="4" t="s">
        <v>533</v>
      </c>
      <c r="J835" s="4" t="s">
        <v>394</v>
      </c>
      <c r="K835" s="4" t="s">
        <v>3515</v>
      </c>
      <c r="L835" s="4" t="str">
        <f t="shared" si="13"/>
        <v>Different owner &amp; contact</v>
      </c>
    </row>
    <row r="836" spans="1:12" ht="15" customHeight="1" x14ac:dyDescent="0.3">
      <c r="A836" s="4" t="s">
        <v>3516</v>
      </c>
      <c r="B836" s="4" t="s">
        <v>3512</v>
      </c>
      <c r="C836" s="4" t="s">
        <v>3517</v>
      </c>
      <c r="D836" s="4" t="s">
        <v>3518</v>
      </c>
      <c r="E836" s="4" t="s">
        <v>27</v>
      </c>
      <c r="F836" s="4" t="s">
        <v>3514</v>
      </c>
      <c r="G836" s="4" t="s">
        <v>100</v>
      </c>
      <c r="H836" s="4" t="s">
        <v>41</v>
      </c>
      <c r="I836" s="4" t="s">
        <v>533</v>
      </c>
      <c r="J836" s="4" t="s">
        <v>394</v>
      </c>
      <c r="K836" s="4" t="s">
        <v>3515</v>
      </c>
      <c r="L836" s="4" t="str">
        <f t="shared" si="13"/>
        <v>Different owner &amp; contact</v>
      </c>
    </row>
    <row r="837" spans="1:12" ht="15" customHeight="1" x14ac:dyDescent="0.3">
      <c r="A837" s="4" t="s">
        <v>3519</v>
      </c>
      <c r="B837" s="4" t="s">
        <v>3512</v>
      </c>
      <c r="C837" s="4" t="s">
        <v>3515</v>
      </c>
      <c r="D837" s="4" t="s">
        <v>3520</v>
      </c>
      <c r="E837" s="4" t="s">
        <v>27</v>
      </c>
      <c r="F837" s="4" t="s">
        <v>3514</v>
      </c>
      <c r="G837" s="4" t="s">
        <v>100</v>
      </c>
      <c r="H837" s="4" t="s">
        <v>41</v>
      </c>
      <c r="I837" s="4" t="s">
        <v>533</v>
      </c>
      <c r="J837" s="4" t="s">
        <v>394</v>
      </c>
      <c r="K837" s="4" t="s">
        <v>3515</v>
      </c>
      <c r="L837" s="4" t="str">
        <f t="shared" si="13"/>
        <v>Different owner</v>
      </c>
    </row>
    <row r="838" spans="1:12" ht="15" customHeight="1" x14ac:dyDescent="0.3">
      <c r="A838" s="4" t="s">
        <v>3521</v>
      </c>
      <c r="B838" s="4" t="s">
        <v>3522</v>
      </c>
      <c r="C838" s="4" t="s">
        <v>3523</v>
      </c>
      <c r="D838" s="4"/>
      <c r="E838" s="4" t="s">
        <v>56</v>
      </c>
      <c r="F838" s="4" t="s">
        <v>3524</v>
      </c>
      <c r="G838" s="4" t="s">
        <v>29</v>
      </c>
      <c r="H838" s="4" t="s">
        <v>41</v>
      </c>
      <c r="I838" s="4" t="s">
        <v>149</v>
      </c>
      <c r="J838" s="4" t="s">
        <v>34</v>
      </c>
      <c r="K838" s="4" t="s">
        <v>3523</v>
      </c>
      <c r="L838" s="4" t="str">
        <f t="shared" si="13"/>
        <v>Different owner</v>
      </c>
    </row>
    <row r="839" spans="1:12" ht="15" customHeight="1" x14ac:dyDescent="0.3">
      <c r="A839" s="4" t="s">
        <v>3525</v>
      </c>
      <c r="B839" s="4" t="s">
        <v>3522</v>
      </c>
      <c r="C839" s="4" t="s">
        <v>3526</v>
      </c>
      <c r="D839" s="4"/>
      <c r="E839" s="4" t="s">
        <v>56</v>
      </c>
      <c r="F839" s="4" t="s">
        <v>3524</v>
      </c>
      <c r="G839" s="4" t="s">
        <v>29</v>
      </c>
      <c r="H839" s="4" t="s">
        <v>41</v>
      </c>
      <c r="I839" s="4" t="s">
        <v>149</v>
      </c>
      <c r="J839" s="4" t="s">
        <v>34</v>
      </c>
      <c r="K839" s="4" t="s">
        <v>3523</v>
      </c>
      <c r="L839" s="4" t="str">
        <f t="shared" si="13"/>
        <v>Different owner &amp; contact</v>
      </c>
    </row>
    <row r="840" spans="1:12" ht="15" customHeight="1" x14ac:dyDescent="0.3">
      <c r="A840" s="4" t="s">
        <v>3527</v>
      </c>
      <c r="B840" s="4" t="s">
        <v>3528</v>
      </c>
      <c r="C840" s="4" t="s">
        <v>3529</v>
      </c>
      <c r="D840" s="4" t="s">
        <v>3530</v>
      </c>
      <c r="E840" s="4" t="s">
        <v>91</v>
      </c>
      <c r="F840" s="4" t="s">
        <v>3531</v>
      </c>
      <c r="G840" s="4" t="s">
        <v>130</v>
      </c>
      <c r="H840" s="4" t="s">
        <v>41</v>
      </c>
      <c r="I840" s="4" t="s">
        <v>69</v>
      </c>
      <c r="J840" s="4" t="s">
        <v>94</v>
      </c>
      <c r="K840" s="4" t="s">
        <v>3532</v>
      </c>
      <c r="L840" s="4" t="str">
        <f t="shared" si="13"/>
        <v>Different owner &amp; contact</v>
      </c>
    </row>
    <row r="841" spans="1:12" ht="15" customHeight="1" x14ac:dyDescent="0.3">
      <c r="A841" s="4" t="s">
        <v>3533</v>
      </c>
      <c r="B841" s="4" t="s">
        <v>3534</v>
      </c>
      <c r="C841" s="4" t="s">
        <v>3535</v>
      </c>
      <c r="D841" s="4" t="s">
        <v>3536</v>
      </c>
      <c r="E841" s="4" t="s">
        <v>91</v>
      </c>
      <c r="F841" s="4" t="s">
        <v>3537</v>
      </c>
      <c r="G841" s="4" t="s">
        <v>361</v>
      </c>
      <c r="H841" s="4" t="s">
        <v>41</v>
      </c>
      <c r="I841" s="4" t="s">
        <v>41</v>
      </c>
      <c r="J841" s="4" t="s">
        <v>94</v>
      </c>
      <c r="K841" s="4"/>
      <c r="L841" s="4" t="str">
        <f t="shared" si="13"/>
        <v>Different owner &amp; contact</v>
      </c>
    </row>
    <row r="842" spans="1:12" ht="15" customHeight="1" x14ac:dyDescent="0.3">
      <c r="A842" s="4" t="s">
        <v>3538</v>
      </c>
      <c r="B842" s="4" t="s">
        <v>3539</v>
      </c>
      <c r="C842" s="4" t="s">
        <v>3540</v>
      </c>
      <c r="D842" s="4" t="s">
        <v>3541</v>
      </c>
      <c r="E842" s="4" t="s">
        <v>27</v>
      </c>
      <c r="F842" s="4" t="s">
        <v>3542</v>
      </c>
      <c r="G842" s="4" t="s">
        <v>40</v>
      </c>
      <c r="H842" s="4" t="s">
        <v>41</v>
      </c>
      <c r="I842" s="4" t="s">
        <v>101</v>
      </c>
      <c r="J842" s="4" t="s">
        <v>34</v>
      </c>
      <c r="K842" s="4" t="s">
        <v>3543</v>
      </c>
      <c r="L842" s="4" t="str">
        <f t="shared" si="13"/>
        <v>Different owner &amp; contact</v>
      </c>
    </row>
    <row r="843" spans="1:12" ht="15" customHeight="1" x14ac:dyDescent="0.3">
      <c r="A843" s="4" t="s">
        <v>3544</v>
      </c>
      <c r="B843" s="4" t="s">
        <v>3545</v>
      </c>
      <c r="C843" s="4" t="s">
        <v>3546</v>
      </c>
      <c r="D843" s="4" t="s">
        <v>3547</v>
      </c>
      <c r="E843" s="4" t="s">
        <v>66</v>
      </c>
      <c r="F843" s="4" t="s">
        <v>3548</v>
      </c>
      <c r="G843" s="4" t="s">
        <v>124</v>
      </c>
      <c r="H843" s="4" t="s">
        <v>41</v>
      </c>
      <c r="I843" s="4" t="s">
        <v>85</v>
      </c>
      <c r="J843" s="4" t="s">
        <v>66</v>
      </c>
      <c r="K843" s="4" t="s">
        <v>3546</v>
      </c>
      <c r="L843" s="4" t="str">
        <f t="shared" si="13"/>
        <v>Match</v>
      </c>
    </row>
    <row r="844" spans="1:12" ht="15" customHeight="1" x14ac:dyDescent="0.3">
      <c r="A844" s="4" t="s">
        <v>3549</v>
      </c>
      <c r="B844" s="4" t="s">
        <v>3545</v>
      </c>
      <c r="C844" s="4" t="s">
        <v>3550</v>
      </c>
      <c r="D844" s="4" t="s">
        <v>3551</v>
      </c>
      <c r="E844" s="4" t="s">
        <v>66</v>
      </c>
      <c r="F844" s="4" t="s">
        <v>3548</v>
      </c>
      <c r="G844" s="4" t="s">
        <v>124</v>
      </c>
      <c r="H844" s="4" t="s">
        <v>41</v>
      </c>
      <c r="I844" s="4" t="s">
        <v>85</v>
      </c>
      <c r="J844" s="4" t="s">
        <v>66</v>
      </c>
      <c r="K844" s="4" t="s">
        <v>3546</v>
      </c>
      <c r="L844" s="4" t="str">
        <f t="shared" si="13"/>
        <v>Different contact</v>
      </c>
    </row>
    <row r="845" spans="1:12" ht="15" customHeight="1" x14ac:dyDescent="0.3">
      <c r="A845" s="4" t="s">
        <v>3552</v>
      </c>
      <c r="B845" s="4" t="s">
        <v>3553</v>
      </c>
      <c r="C845" s="4" t="s">
        <v>3554</v>
      </c>
      <c r="D845" s="4"/>
      <c r="E845" s="4" t="s">
        <v>56</v>
      </c>
      <c r="F845" s="4" t="s">
        <v>3555</v>
      </c>
      <c r="G845" s="4" t="s">
        <v>29</v>
      </c>
      <c r="H845" s="4" t="s">
        <v>41</v>
      </c>
      <c r="I845" s="4" t="s">
        <v>995</v>
      </c>
      <c r="J845" s="4" t="s">
        <v>102</v>
      </c>
      <c r="K845" s="4" t="s">
        <v>3556</v>
      </c>
      <c r="L845" s="4" t="str">
        <f t="shared" si="13"/>
        <v>Different owner &amp; contact</v>
      </c>
    </row>
    <row r="846" spans="1:12" ht="15" customHeight="1" x14ac:dyDescent="0.3">
      <c r="A846" s="4" t="s">
        <v>3557</v>
      </c>
      <c r="B846" s="4" t="s">
        <v>3558</v>
      </c>
      <c r="C846" s="4" t="s">
        <v>3559</v>
      </c>
      <c r="D846" s="4" t="s">
        <v>3560</v>
      </c>
      <c r="E846" s="4" t="s">
        <v>106</v>
      </c>
      <c r="F846" s="4" t="s">
        <v>3561</v>
      </c>
      <c r="G846" s="4" t="s">
        <v>138</v>
      </c>
      <c r="H846" s="4" t="s">
        <v>30</v>
      </c>
      <c r="I846" s="4" t="s">
        <v>125</v>
      </c>
      <c r="J846" s="4" t="s">
        <v>32</v>
      </c>
      <c r="K846" s="4" t="s">
        <v>3559</v>
      </c>
      <c r="L846" s="4" t="str">
        <f t="shared" si="13"/>
        <v>Different owner</v>
      </c>
    </row>
    <row r="847" spans="1:12" ht="15" customHeight="1" x14ac:dyDescent="0.3">
      <c r="A847" s="4" t="s">
        <v>3562</v>
      </c>
      <c r="B847" s="4" t="s">
        <v>3563</v>
      </c>
      <c r="C847" s="4" t="s">
        <v>3564</v>
      </c>
      <c r="D847" s="4" t="s">
        <v>3565</v>
      </c>
      <c r="E847" s="4" t="s">
        <v>66</v>
      </c>
      <c r="F847" s="4" t="s">
        <v>3566</v>
      </c>
      <c r="G847" s="4" t="s">
        <v>124</v>
      </c>
      <c r="H847" s="4" t="s">
        <v>68</v>
      </c>
      <c r="I847" s="4" t="s">
        <v>93</v>
      </c>
      <c r="J847" s="4" t="s">
        <v>66</v>
      </c>
      <c r="K847" s="4" t="s">
        <v>3564</v>
      </c>
      <c r="L847" s="4" t="str">
        <f t="shared" si="13"/>
        <v>Match</v>
      </c>
    </row>
    <row r="848" spans="1:12" ht="15" customHeight="1" x14ac:dyDescent="0.3">
      <c r="A848" s="4" t="s">
        <v>3567</v>
      </c>
      <c r="B848" s="4" t="s">
        <v>3563</v>
      </c>
      <c r="C848" s="4"/>
      <c r="D848" s="4" t="s">
        <v>3565</v>
      </c>
      <c r="E848" s="4" t="s">
        <v>385</v>
      </c>
      <c r="F848" s="4" t="s">
        <v>3566</v>
      </c>
      <c r="G848" s="4" t="s">
        <v>124</v>
      </c>
      <c r="H848" s="4" t="s">
        <v>68</v>
      </c>
      <c r="I848" s="4" t="s">
        <v>93</v>
      </c>
      <c r="J848" s="4" t="s">
        <v>66</v>
      </c>
      <c r="K848" s="4" t="s">
        <v>3564</v>
      </c>
      <c r="L848" s="4" t="str">
        <f t="shared" si="13"/>
        <v>Different owner &amp; contact</v>
      </c>
    </row>
    <row r="849" spans="1:12" ht="15" customHeight="1" x14ac:dyDescent="0.3">
      <c r="A849" s="4" t="s">
        <v>3568</v>
      </c>
      <c r="B849" s="4" t="s">
        <v>3569</v>
      </c>
      <c r="C849" s="4" t="s">
        <v>3570</v>
      </c>
      <c r="D849" s="4" t="s">
        <v>3571</v>
      </c>
      <c r="E849" s="4" t="s">
        <v>106</v>
      </c>
      <c r="F849" s="4" t="s">
        <v>3572</v>
      </c>
      <c r="G849" s="4" t="s">
        <v>130</v>
      </c>
      <c r="H849" s="4" t="s">
        <v>41</v>
      </c>
      <c r="I849" s="4" t="s">
        <v>3573</v>
      </c>
      <c r="J849" s="4" t="s">
        <v>106</v>
      </c>
      <c r="K849" s="4" t="s">
        <v>3574</v>
      </c>
      <c r="L849" s="4" t="str">
        <f t="shared" si="13"/>
        <v>Different contact</v>
      </c>
    </row>
    <row r="850" spans="1:12" ht="15" customHeight="1" x14ac:dyDescent="0.3">
      <c r="A850" s="4" t="s">
        <v>3575</v>
      </c>
      <c r="B850" s="4" t="s">
        <v>3569</v>
      </c>
      <c r="C850" s="4"/>
      <c r="D850" s="4" t="s">
        <v>3576</v>
      </c>
      <c r="E850" s="4" t="s">
        <v>385</v>
      </c>
      <c r="F850" s="4" t="s">
        <v>3572</v>
      </c>
      <c r="G850" s="4" t="s">
        <v>130</v>
      </c>
      <c r="H850" s="4" t="s">
        <v>41</v>
      </c>
      <c r="I850" s="4" t="s">
        <v>3573</v>
      </c>
      <c r="J850" s="4" t="s">
        <v>106</v>
      </c>
      <c r="K850" s="4" t="s">
        <v>3574</v>
      </c>
      <c r="L850" s="4" t="str">
        <f t="shared" si="13"/>
        <v>Different owner &amp; contact</v>
      </c>
    </row>
    <row r="851" spans="1:12" ht="15" customHeight="1" x14ac:dyDescent="0.3">
      <c r="A851" s="4" t="s">
        <v>3577</v>
      </c>
      <c r="B851" s="4" t="s">
        <v>3578</v>
      </c>
      <c r="C851" s="4" t="s">
        <v>3579</v>
      </c>
      <c r="D851" s="4"/>
      <c r="E851" s="4" t="s">
        <v>52</v>
      </c>
      <c r="F851" s="4" t="s">
        <v>3580</v>
      </c>
      <c r="G851" s="4" t="s">
        <v>521</v>
      </c>
      <c r="H851" s="4" t="s">
        <v>41</v>
      </c>
      <c r="I851" s="4" t="s">
        <v>228</v>
      </c>
      <c r="J851" s="4" t="s">
        <v>32</v>
      </c>
      <c r="K851" s="4" t="s">
        <v>3581</v>
      </c>
      <c r="L851" s="4" t="str">
        <f t="shared" si="13"/>
        <v>Different owner &amp; contact</v>
      </c>
    </row>
    <row r="852" spans="1:12" ht="15" customHeight="1" x14ac:dyDescent="0.3">
      <c r="A852" s="4" t="s">
        <v>3582</v>
      </c>
      <c r="B852" s="4" t="s">
        <v>3583</v>
      </c>
      <c r="C852" s="4" t="s">
        <v>3584</v>
      </c>
      <c r="D852" s="4"/>
      <c r="E852" s="4" t="s">
        <v>343</v>
      </c>
      <c r="F852" s="4" t="s">
        <v>3585</v>
      </c>
      <c r="G852" s="4" t="s">
        <v>361</v>
      </c>
      <c r="H852" s="4" t="s">
        <v>30</v>
      </c>
      <c r="I852" s="4" t="s">
        <v>228</v>
      </c>
      <c r="J852" s="4" t="s">
        <v>32</v>
      </c>
      <c r="K852" s="4" t="s">
        <v>3584</v>
      </c>
      <c r="L852" s="4" t="str">
        <f t="shared" si="13"/>
        <v>Different owner</v>
      </c>
    </row>
    <row r="853" spans="1:12" ht="15" customHeight="1" x14ac:dyDescent="0.3">
      <c r="A853" s="4" t="s">
        <v>3586</v>
      </c>
      <c r="B853" s="4" t="s">
        <v>3587</v>
      </c>
      <c r="C853" s="4" t="s">
        <v>3588</v>
      </c>
      <c r="D853" s="4"/>
      <c r="E853" s="4" t="s">
        <v>343</v>
      </c>
      <c r="F853" s="4" t="s">
        <v>3589</v>
      </c>
      <c r="G853" s="4" t="s">
        <v>58</v>
      </c>
      <c r="H853" s="4" t="s">
        <v>41</v>
      </c>
      <c r="I853" s="4" t="s">
        <v>101</v>
      </c>
      <c r="J853" s="4" t="s">
        <v>52</v>
      </c>
      <c r="K853" s="4" t="s">
        <v>3588</v>
      </c>
      <c r="L853" s="4" t="str">
        <f t="shared" si="13"/>
        <v>Different owner</v>
      </c>
    </row>
    <row r="854" spans="1:12" ht="15" customHeight="1" x14ac:dyDescent="0.3">
      <c r="A854" s="4" t="s">
        <v>3590</v>
      </c>
      <c r="B854" s="4" t="s">
        <v>3591</v>
      </c>
      <c r="C854" s="4" t="s">
        <v>3592</v>
      </c>
      <c r="D854" s="4"/>
      <c r="E854" s="4" t="s">
        <v>56</v>
      </c>
      <c r="F854" s="4" t="s">
        <v>3593</v>
      </c>
      <c r="G854" s="4" t="s">
        <v>521</v>
      </c>
      <c r="H854" s="4" t="s">
        <v>41</v>
      </c>
      <c r="I854" s="4" t="s">
        <v>2171</v>
      </c>
      <c r="J854" s="4" t="s">
        <v>34</v>
      </c>
      <c r="K854" s="4" t="s">
        <v>3594</v>
      </c>
      <c r="L854" s="4" t="str">
        <f t="shared" si="13"/>
        <v>Different owner &amp; contact</v>
      </c>
    </row>
    <row r="855" spans="1:12" ht="15" customHeight="1" x14ac:dyDescent="0.3">
      <c r="A855" s="4" t="s">
        <v>3595</v>
      </c>
      <c r="B855" s="4" t="s">
        <v>3591</v>
      </c>
      <c r="C855" s="4" t="s">
        <v>3594</v>
      </c>
      <c r="D855" s="4"/>
      <c r="E855" s="4" t="s">
        <v>56</v>
      </c>
      <c r="F855" s="4" t="s">
        <v>3593</v>
      </c>
      <c r="G855" s="4" t="s">
        <v>521</v>
      </c>
      <c r="H855" s="4" t="s">
        <v>41</v>
      </c>
      <c r="I855" s="4" t="s">
        <v>2171</v>
      </c>
      <c r="J855" s="4" t="s">
        <v>34</v>
      </c>
      <c r="K855" s="4" t="s">
        <v>3594</v>
      </c>
      <c r="L855" s="4" t="str">
        <f t="shared" si="13"/>
        <v>Different owner</v>
      </c>
    </row>
    <row r="856" spans="1:12" ht="15" customHeight="1" x14ac:dyDescent="0.3">
      <c r="A856" s="4" t="s">
        <v>3596</v>
      </c>
      <c r="B856" s="4" t="s">
        <v>3597</v>
      </c>
      <c r="C856" s="4" t="s">
        <v>3598</v>
      </c>
      <c r="D856" s="4" t="s">
        <v>3599</v>
      </c>
      <c r="E856" s="4" t="s">
        <v>52</v>
      </c>
      <c r="F856" s="4" t="s">
        <v>3600</v>
      </c>
      <c r="G856" s="4" t="s">
        <v>40</v>
      </c>
      <c r="H856" s="4" t="s">
        <v>41</v>
      </c>
      <c r="I856" s="4" t="s">
        <v>101</v>
      </c>
      <c r="J856" s="4" t="s">
        <v>32</v>
      </c>
      <c r="K856" s="4" t="s">
        <v>3601</v>
      </c>
      <c r="L856" s="4" t="str">
        <f t="shared" si="13"/>
        <v>Different owner &amp; contact</v>
      </c>
    </row>
    <row r="857" spans="1:12" ht="15" customHeight="1" x14ac:dyDescent="0.3">
      <c r="A857" s="4" t="s">
        <v>3602</v>
      </c>
      <c r="B857" s="4" t="s">
        <v>3603</v>
      </c>
      <c r="C857" s="4" t="s">
        <v>3604</v>
      </c>
      <c r="D857" s="4" t="s">
        <v>3605</v>
      </c>
      <c r="E857" s="4" t="s">
        <v>66</v>
      </c>
      <c r="F857" s="4" t="s">
        <v>3606</v>
      </c>
      <c r="G857" s="4" t="s">
        <v>124</v>
      </c>
      <c r="H857" s="4" t="s">
        <v>30</v>
      </c>
      <c r="I857" s="4" t="s">
        <v>125</v>
      </c>
      <c r="J857" s="4" t="s">
        <v>102</v>
      </c>
      <c r="K857" s="4" t="s">
        <v>3607</v>
      </c>
      <c r="L857" s="4" t="str">
        <f t="shared" si="13"/>
        <v>Different owner &amp; contact</v>
      </c>
    </row>
    <row r="858" spans="1:12" ht="15" customHeight="1" x14ac:dyDescent="0.3">
      <c r="A858" s="4" t="s">
        <v>3608</v>
      </c>
      <c r="B858" s="4" t="s">
        <v>3609</v>
      </c>
      <c r="C858" s="4" t="s">
        <v>3610</v>
      </c>
      <c r="D858" s="4" t="s">
        <v>3611</v>
      </c>
      <c r="E858" s="4" t="s">
        <v>66</v>
      </c>
      <c r="F858" s="4" t="s">
        <v>3612</v>
      </c>
      <c r="G858" s="4" t="s">
        <v>124</v>
      </c>
      <c r="H858" s="4" t="s">
        <v>41</v>
      </c>
      <c r="I858" s="4" t="s">
        <v>3613</v>
      </c>
      <c r="J858" s="4" t="s">
        <v>66</v>
      </c>
      <c r="K858" s="4" t="s">
        <v>3614</v>
      </c>
      <c r="L858" s="4" t="str">
        <f t="shared" si="13"/>
        <v>Different contact</v>
      </c>
    </row>
    <row r="859" spans="1:12" ht="15" customHeight="1" x14ac:dyDescent="0.3">
      <c r="A859" s="4" t="s">
        <v>3615</v>
      </c>
      <c r="B859" s="4" t="s">
        <v>3616</v>
      </c>
      <c r="C859" s="4" t="s">
        <v>3617</v>
      </c>
      <c r="D859" s="4" t="s">
        <v>3618</v>
      </c>
      <c r="E859" s="4" t="s">
        <v>172</v>
      </c>
      <c r="F859" s="4" t="s">
        <v>3619</v>
      </c>
      <c r="G859" s="4" t="s">
        <v>58</v>
      </c>
      <c r="H859" s="4" t="s">
        <v>174</v>
      </c>
      <c r="I859" s="4" t="s">
        <v>3620</v>
      </c>
      <c r="J859" s="4" t="s">
        <v>176</v>
      </c>
      <c r="K859" s="4" t="s">
        <v>3621</v>
      </c>
      <c r="L859" s="4" t="str">
        <f t="shared" si="13"/>
        <v>Different owner &amp; contact</v>
      </c>
    </row>
    <row r="860" spans="1:12" ht="15" customHeight="1" x14ac:dyDescent="0.3">
      <c r="A860" s="4" t="s">
        <v>3622</v>
      </c>
      <c r="B860" s="4" t="s">
        <v>3616</v>
      </c>
      <c r="C860" s="4" t="s">
        <v>3623</v>
      </c>
      <c r="D860" s="4" t="s">
        <v>3624</v>
      </c>
      <c r="E860" s="4" t="s">
        <v>27</v>
      </c>
      <c r="F860" s="4" t="s">
        <v>3619</v>
      </c>
      <c r="G860" s="4" t="s">
        <v>58</v>
      </c>
      <c r="H860" s="4" t="s">
        <v>174</v>
      </c>
      <c r="I860" s="4" t="s">
        <v>3620</v>
      </c>
      <c r="J860" s="4" t="s">
        <v>176</v>
      </c>
      <c r="K860" s="4" t="s">
        <v>3621</v>
      </c>
      <c r="L860" s="4" t="str">
        <f t="shared" si="13"/>
        <v>Different owner &amp; contact</v>
      </c>
    </row>
    <row r="861" spans="1:12" ht="15" customHeight="1" x14ac:dyDescent="0.3">
      <c r="A861" s="4" t="s">
        <v>3622</v>
      </c>
      <c r="B861" s="4" t="s">
        <v>3616</v>
      </c>
      <c r="C861" s="4"/>
      <c r="D861" s="4"/>
      <c r="E861" s="4" t="s">
        <v>172</v>
      </c>
      <c r="F861" s="4" t="s">
        <v>3619</v>
      </c>
      <c r="G861" s="4" t="s">
        <v>58</v>
      </c>
      <c r="H861" s="4" t="s">
        <v>174</v>
      </c>
      <c r="I861" s="4" t="s">
        <v>3620</v>
      </c>
      <c r="J861" s="4" t="s">
        <v>176</v>
      </c>
      <c r="K861" s="4" t="s">
        <v>3621</v>
      </c>
      <c r="L861" s="4" t="str">
        <f t="shared" si="13"/>
        <v>Different owner &amp; contact</v>
      </c>
    </row>
    <row r="862" spans="1:12" ht="15" customHeight="1" x14ac:dyDescent="0.3">
      <c r="A862" s="4" t="s">
        <v>3625</v>
      </c>
      <c r="B862" s="4" t="s">
        <v>3626</v>
      </c>
      <c r="C862" s="4" t="s">
        <v>3627</v>
      </c>
      <c r="D862" s="4"/>
      <c r="E862" s="4" t="s">
        <v>52</v>
      </c>
      <c r="F862" s="4" t="s">
        <v>3628</v>
      </c>
      <c r="G862" s="4" t="s">
        <v>124</v>
      </c>
      <c r="H862" s="4" t="s">
        <v>68</v>
      </c>
      <c r="I862" s="4" t="s">
        <v>1089</v>
      </c>
      <c r="J862" s="4" t="s">
        <v>32</v>
      </c>
      <c r="K862" s="4" t="s">
        <v>3627</v>
      </c>
      <c r="L862" s="4" t="str">
        <f t="shared" si="13"/>
        <v>Different owner</v>
      </c>
    </row>
    <row r="863" spans="1:12" ht="15" customHeight="1" x14ac:dyDescent="0.3">
      <c r="A863" s="4" t="s">
        <v>3629</v>
      </c>
      <c r="B863" s="4" t="s">
        <v>3626</v>
      </c>
      <c r="C863" s="4" t="s">
        <v>3630</v>
      </c>
      <c r="D863" s="4"/>
      <c r="E863" s="4" t="s">
        <v>52</v>
      </c>
      <c r="F863" s="4" t="s">
        <v>3628</v>
      </c>
      <c r="G863" s="4" t="s">
        <v>124</v>
      </c>
      <c r="H863" s="4" t="s">
        <v>68</v>
      </c>
      <c r="I863" s="4" t="s">
        <v>1089</v>
      </c>
      <c r="J863" s="4" t="s">
        <v>32</v>
      </c>
      <c r="K863" s="4" t="s">
        <v>3627</v>
      </c>
      <c r="L863" s="4" t="str">
        <f t="shared" si="13"/>
        <v>Different owner &amp; contact</v>
      </c>
    </row>
    <row r="864" spans="1:12" ht="15" customHeight="1" x14ac:dyDescent="0.3">
      <c r="A864" s="4" t="s">
        <v>3631</v>
      </c>
      <c r="B864" s="4" t="s">
        <v>3632</v>
      </c>
      <c r="C864" s="4"/>
      <c r="D864" s="4" t="s">
        <v>3633</v>
      </c>
      <c r="E864" s="4" t="s">
        <v>3343</v>
      </c>
      <c r="F864" s="4" t="s">
        <v>3634</v>
      </c>
      <c r="G864" s="4" t="s">
        <v>40</v>
      </c>
      <c r="H864" s="4" t="s">
        <v>68</v>
      </c>
      <c r="I864" s="4" t="s">
        <v>42</v>
      </c>
      <c r="J864" s="4" t="s">
        <v>102</v>
      </c>
      <c r="K864" s="4" t="s">
        <v>3635</v>
      </c>
      <c r="L864" s="4" t="str">
        <f t="shared" si="13"/>
        <v>Different owner &amp; contact</v>
      </c>
    </row>
    <row r="865" spans="1:12" ht="15" customHeight="1" x14ac:dyDescent="0.3">
      <c r="A865" s="4" t="s">
        <v>3636</v>
      </c>
      <c r="B865" s="4" t="s">
        <v>3637</v>
      </c>
      <c r="C865" s="4" t="s">
        <v>3638</v>
      </c>
      <c r="D865" s="4" t="s">
        <v>3639</v>
      </c>
      <c r="E865" s="4" t="s">
        <v>91</v>
      </c>
      <c r="F865" s="4" t="s">
        <v>3640</v>
      </c>
      <c r="G865" s="4" t="s">
        <v>84</v>
      </c>
      <c r="H865" s="4" t="s">
        <v>68</v>
      </c>
      <c r="I865" s="4" t="s">
        <v>538</v>
      </c>
      <c r="J865" s="4" t="s">
        <v>102</v>
      </c>
      <c r="K865" s="4" t="s">
        <v>3641</v>
      </c>
      <c r="L865" s="4" t="str">
        <f t="shared" si="13"/>
        <v>Different owner &amp; contact</v>
      </c>
    </row>
    <row r="866" spans="1:12" ht="15" customHeight="1" x14ac:dyDescent="0.3">
      <c r="A866" s="4" t="s">
        <v>3642</v>
      </c>
      <c r="B866" s="4" t="s">
        <v>3643</v>
      </c>
      <c r="C866" s="4" t="s">
        <v>3644</v>
      </c>
      <c r="D866" s="4" t="s">
        <v>3645</v>
      </c>
      <c r="E866" s="4" t="s">
        <v>66</v>
      </c>
      <c r="F866" s="4" t="s">
        <v>3646</v>
      </c>
      <c r="G866" s="4" t="s">
        <v>124</v>
      </c>
      <c r="H866" s="4" t="s">
        <v>41</v>
      </c>
      <c r="I866" s="4" t="s">
        <v>69</v>
      </c>
      <c r="J866" s="4" t="s">
        <v>66</v>
      </c>
      <c r="K866" s="4" t="s">
        <v>3647</v>
      </c>
      <c r="L866" s="4" t="str">
        <f t="shared" si="13"/>
        <v>Different contact</v>
      </c>
    </row>
    <row r="867" spans="1:12" ht="15" customHeight="1" x14ac:dyDescent="0.3">
      <c r="A867" s="4" t="s">
        <v>3648</v>
      </c>
      <c r="B867" s="4" t="s">
        <v>3643</v>
      </c>
      <c r="C867" s="4" t="s">
        <v>3647</v>
      </c>
      <c r="D867" s="4" t="s">
        <v>3649</v>
      </c>
      <c r="E867" s="4" t="s">
        <v>66</v>
      </c>
      <c r="F867" s="4" t="s">
        <v>3646</v>
      </c>
      <c r="G867" s="4" t="s">
        <v>124</v>
      </c>
      <c r="H867" s="4" t="s">
        <v>41</v>
      </c>
      <c r="I867" s="4" t="s">
        <v>69</v>
      </c>
      <c r="J867" s="4" t="s">
        <v>66</v>
      </c>
      <c r="K867" s="4" t="s">
        <v>3647</v>
      </c>
      <c r="L867" s="4" t="str">
        <f t="shared" si="13"/>
        <v>Match</v>
      </c>
    </row>
    <row r="868" spans="1:12" ht="15" customHeight="1" x14ac:dyDescent="0.3">
      <c r="A868" s="4" t="s">
        <v>3650</v>
      </c>
      <c r="B868" s="4" t="s">
        <v>3651</v>
      </c>
      <c r="C868" s="4" t="s">
        <v>3652</v>
      </c>
      <c r="D868" s="4"/>
      <c r="E868" s="4" t="s">
        <v>343</v>
      </c>
      <c r="F868" s="4" t="s">
        <v>3653</v>
      </c>
      <c r="G868" s="4" t="s">
        <v>361</v>
      </c>
      <c r="H868" s="4" t="s">
        <v>500</v>
      </c>
      <c r="I868" s="4" t="s">
        <v>501</v>
      </c>
      <c r="J868" s="4" t="s">
        <v>34</v>
      </c>
      <c r="K868" s="4" t="s">
        <v>3652</v>
      </c>
      <c r="L868" s="4" t="str">
        <f t="shared" si="13"/>
        <v>Different owner</v>
      </c>
    </row>
    <row r="869" spans="1:12" ht="15" customHeight="1" x14ac:dyDescent="0.3">
      <c r="A869" s="4" t="s">
        <v>3654</v>
      </c>
      <c r="B869" s="4" t="s">
        <v>3655</v>
      </c>
      <c r="C869" s="4" t="s">
        <v>3656</v>
      </c>
      <c r="D869" s="4" t="s">
        <v>3657</v>
      </c>
      <c r="E869" s="4" t="s">
        <v>91</v>
      </c>
      <c r="F869" s="4" t="s">
        <v>3658</v>
      </c>
      <c r="G869" s="4" t="s">
        <v>29</v>
      </c>
      <c r="H869" s="4" t="s">
        <v>41</v>
      </c>
      <c r="I869" s="4" t="s">
        <v>93</v>
      </c>
      <c r="J869" s="4" t="s">
        <v>94</v>
      </c>
      <c r="K869" s="4" t="s">
        <v>3659</v>
      </c>
      <c r="L869" s="4" t="str">
        <f t="shared" si="13"/>
        <v>Different owner &amp; contact</v>
      </c>
    </row>
    <row r="870" spans="1:12" ht="15" customHeight="1" x14ac:dyDescent="0.3">
      <c r="A870" s="4" t="s">
        <v>3660</v>
      </c>
      <c r="B870" s="4" t="s">
        <v>3661</v>
      </c>
      <c r="C870" s="4" t="s">
        <v>3662</v>
      </c>
      <c r="D870" s="4" t="s">
        <v>3663</v>
      </c>
      <c r="E870" s="4" t="s">
        <v>27</v>
      </c>
      <c r="F870" s="4" t="s">
        <v>3664</v>
      </c>
      <c r="G870" s="4" t="s">
        <v>124</v>
      </c>
      <c r="H870" s="4" t="s">
        <v>30</v>
      </c>
      <c r="I870" s="4" t="s">
        <v>93</v>
      </c>
      <c r="J870" s="4" t="s">
        <v>52</v>
      </c>
      <c r="K870" s="4" t="s">
        <v>3662</v>
      </c>
      <c r="L870" s="4" t="str">
        <f t="shared" si="13"/>
        <v>Different owner</v>
      </c>
    </row>
    <row r="871" spans="1:12" ht="15" customHeight="1" x14ac:dyDescent="0.3">
      <c r="A871" s="4" t="s">
        <v>3665</v>
      </c>
      <c r="B871" s="4" t="s">
        <v>3666</v>
      </c>
      <c r="C871" s="4" t="s">
        <v>3667</v>
      </c>
      <c r="D871" s="4" t="s">
        <v>3668</v>
      </c>
      <c r="E871" s="4" t="s">
        <v>91</v>
      </c>
      <c r="F871" s="4" t="s">
        <v>3669</v>
      </c>
      <c r="G871" s="4" t="s">
        <v>29</v>
      </c>
      <c r="H871" s="4" t="s">
        <v>41</v>
      </c>
      <c r="I871" s="4" t="s">
        <v>823</v>
      </c>
      <c r="J871" s="4" t="s">
        <v>32</v>
      </c>
      <c r="K871" s="4" t="s">
        <v>3667</v>
      </c>
      <c r="L871" s="4" t="str">
        <f t="shared" si="13"/>
        <v>Different owner</v>
      </c>
    </row>
    <row r="872" spans="1:12" ht="15" customHeight="1" x14ac:dyDescent="0.3">
      <c r="A872" s="4" t="s">
        <v>3670</v>
      </c>
      <c r="B872" s="4" t="s">
        <v>3671</v>
      </c>
      <c r="C872" s="4" t="s">
        <v>3672</v>
      </c>
      <c r="D872" s="4"/>
      <c r="E872" s="4" t="s">
        <v>106</v>
      </c>
      <c r="F872" s="4" t="s">
        <v>3673</v>
      </c>
      <c r="G872" s="4" t="s">
        <v>40</v>
      </c>
      <c r="H872" s="4" t="s">
        <v>41</v>
      </c>
      <c r="I872" s="4" t="s">
        <v>101</v>
      </c>
      <c r="J872" s="4" t="s">
        <v>106</v>
      </c>
      <c r="K872" s="4" t="s">
        <v>3674</v>
      </c>
      <c r="L872" s="4" t="str">
        <f t="shared" si="13"/>
        <v>Different contact</v>
      </c>
    </row>
    <row r="873" spans="1:12" ht="15" customHeight="1" x14ac:dyDescent="0.3">
      <c r="A873" s="4" t="s">
        <v>3675</v>
      </c>
      <c r="B873" s="4" t="s">
        <v>3676</v>
      </c>
      <c r="C873" s="4" t="s">
        <v>3677</v>
      </c>
      <c r="D873" s="4" t="s">
        <v>3678</v>
      </c>
      <c r="E873" s="4" t="s">
        <v>27</v>
      </c>
      <c r="F873" s="4" t="s">
        <v>3679</v>
      </c>
      <c r="G873" s="4" t="s">
        <v>49</v>
      </c>
      <c r="H873" s="4" t="s">
        <v>745</v>
      </c>
      <c r="I873" s="4" t="s">
        <v>746</v>
      </c>
      <c r="J873" s="4" t="s">
        <v>114</v>
      </c>
      <c r="K873" s="4" t="s">
        <v>3680</v>
      </c>
      <c r="L873" s="4" t="str">
        <f t="shared" si="13"/>
        <v>Different owner &amp; contact</v>
      </c>
    </row>
    <row r="874" spans="1:12" ht="15" customHeight="1" x14ac:dyDescent="0.3">
      <c r="A874" s="4" t="s">
        <v>3681</v>
      </c>
      <c r="B874" s="4" t="s">
        <v>3676</v>
      </c>
      <c r="C874" s="4" t="s">
        <v>3682</v>
      </c>
      <c r="D874" s="4" t="s">
        <v>3683</v>
      </c>
      <c r="E874" s="4" t="s">
        <v>27</v>
      </c>
      <c r="F874" s="4" t="s">
        <v>3679</v>
      </c>
      <c r="G874" s="4" t="s">
        <v>49</v>
      </c>
      <c r="H874" s="4" t="s">
        <v>745</v>
      </c>
      <c r="I874" s="4" t="s">
        <v>746</v>
      </c>
      <c r="J874" s="4" t="s">
        <v>114</v>
      </c>
      <c r="K874" s="4" t="s">
        <v>3680</v>
      </c>
      <c r="L874" s="4" t="str">
        <f t="shared" si="13"/>
        <v>Different owner &amp; contact</v>
      </c>
    </row>
    <row r="875" spans="1:12" ht="15" customHeight="1" x14ac:dyDescent="0.3">
      <c r="A875" s="4" t="s">
        <v>3684</v>
      </c>
      <c r="B875" s="4" t="s">
        <v>3685</v>
      </c>
      <c r="C875" s="4" t="s">
        <v>3686</v>
      </c>
      <c r="D875" s="4"/>
      <c r="E875" s="4" t="s">
        <v>52</v>
      </c>
      <c r="F875" s="4" t="s">
        <v>3687</v>
      </c>
      <c r="G875" s="4" t="s">
        <v>29</v>
      </c>
      <c r="H875" s="4" t="s">
        <v>68</v>
      </c>
      <c r="I875" s="4" t="s">
        <v>538</v>
      </c>
      <c r="J875" s="4" t="s">
        <v>32</v>
      </c>
      <c r="K875" s="4" t="s">
        <v>3686</v>
      </c>
      <c r="L875" s="4" t="str">
        <f t="shared" si="13"/>
        <v>Different owner</v>
      </c>
    </row>
    <row r="876" spans="1:12" ht="15" customHeight="1" x14ac:dyDescent="0.3">
      <c r="A876" s="4" t="s">
        <v>3688</v>
      </c>
      <c r="B876" s="4" t="s">
        <v>3689</v>
      </c>
      <c r="C876" s="4" t="s">
        <v>3690</v>
      </c>
      <c r="D876" s="4"/>
      <c r="E876" s="4" t="s">
        <v>56</v>
      </c>
      <c r="F876" s="4" t="s">
        <v>3691</v>
      </c>
      <c r="G876" s="4" t="s">
        <v>209</v>
      </c>
      <c r="H876" s="4" t="s">
        <v>41</v>
      </c>
      <c r="I876" s="4" t="s">
        <v>59</v>
      </c>
      <c r="J876" s="4" t="s">
        <v>102</v>
      </c>
      <c r="K876" s="4" t="s">
        <v>3692</v>
      </c>
      <c r="L876" s="4" t="str">
        <f t="shared" si="13"/>
        <v>Different owner &amp; contact</v>
      </c>
    </row>
    <row r="877" spans="1:12" ht="15" customHeight="1" x14ac:dyDescent="0.3">
      <c r="A877" s="4" t="s">
        <v>3693</v>
      </c>
      <c r="B877" s="4" t="s">
        <v>3694</v>
      </c>
      <c r="C877" s="4" t="s">
        <v>3695</v>
      </c>
      <c r="D877" s="4" t="s">
        <v>3696</v>
      </c>
      <c r="E877" s="4" t="s">
        <v>66</v>
      </c>
      <c r="F877" s="4" t="s">
        <v>3697</v>
      </c>
      <c r="G877" s="4" t="s">
        <v>209</v>
      </c>
      <c r="H877" s="4" t="s">
        <v>41</v>
      </c>
      <c r="I877" s="4" t="s">
        <v>131</v>
      </c>
      <c r="J877" s="4" t="s">
        <v>32</v>
      </c>
      <c r="K877" s="4" t="s">
        <v>3698</v>
      </c>
      <c r="L877" s="4" t="str">
        <f t="shared" si="13"/>
        <v>Different owner &amp; contact</v>
      </c>
    </row>
    <row r="878" spans="1:12" ht="15" customHeight="1" x14ac:dyDescent="0.3">
      <c r="A878" s="4" t="s">
        <v>3699</v>
      </c>
      <c r="B878" s="4" t="s">
        <v>3700</v>
      </c>
      <c r="C878" s="4" t="s">
        <v>3701</v>
      </c>
      <c r="D878" s="4" t="s">
        <v>3702</v>
      </c>
      <c r="E878" s="4" t="s">
        <v>91</v>
      </c>
      <c r="F878" s="4" t="s">
        <v>3703</v>
      </c>
      <c r="G878" s="4" t="s">
        <v>58</v>
      </c>
      <c r="H878" s="4" t="s">
        <v>1270</v>
      </c>
      <c r="I878" s="4" t="s">
        <v>1297</v>
      </c>
      <c r="J878" s="4" t="s">
        <v>94</v>
      </c>
      <c r="K878" s="4" t="s">
        <v>3704</v>
      </c>
      <c r="L878" s="4" t="str">
        <f t="shared" si="13"/>
        <v>Different owner &amp; contact</v>
      </c>
    </row>
    <row r="879" spans="1:12" ht="15" customHeight="1" x14ac:dyDescent="0.3">
      <c r="A879" s="4" t="s">
        <v>3705</v>
      </c>
      <c r="B879" s="4" t="s">
        <v>3706</v>
      </c>
      <c r="C879" s="4" t="s">
        <v>3707</v>
      </c>
      <c r="D879" s="4"/>
      <c r="E879" s="4" t="s">
        <v>47</v>
      </c>
      <c r="F879" s="4" t="s">
        <v>3708</v>
      </c>
      <c r="G879" s="4" t="s">
        <v>361</v>
      </c>
      <c r="H879" s="4" t="s">
        <v>41</v>
      </c>
      <c r="I879" s="4" t="s">
        <v>131</v>
      </c>
      <c r="J879" s="4" t="s">
        <v>114</v>
      </c>
      <c r="K879" s="4" t="s">
        <v>3707</v>
      </c>
      <c r="L879" s="4" t="str">
        <f t="shared" si="13"/>
        <v>Different owner</v>
      </c>
    </row>
    <row r="880" spans="1:12" ht="15" customHeight="1" x14ac:dyDescent="0.3">
      <c r="A880" s="4" t="s">
        <v>3709</v>
      </c>
      <c r="B880" s="4" t="s">
        <v>3710</v>
      </c>
      <c r="C880" s="4" t="s">
        <v>3711</v>
      </c>
      <c r="D880" s="4" t="s">
        <v>3712</v>
      </c>
      <c r="E880" s="4" t="s">
        <v>106</v>
      </c>
      <c r="F880" s="4" t="s">
        <v>3713</v>
      </c>
      <c r="G880" s="4" t="s">
        <v>130</v>
      </c>
      <c r="H880" s="4" t="s">
        <v>41</v>
      </c>
      <c r="I880" s="4" t="s">
        <v>1190</v>
      </c>
      <c r="J880" s="4" t="s">
        <v>106</v>
      </c>
      <c r="K880" s="4" t="s">
        <v>3714</v>
      </c>
      <c r="L880" s="4" t="str">
        <f t="shared" si="13"/>
        <v>Different contact</v>
      </c>
    </row>
    <row r="881" spans="1:12" ht="15" customHeight="1" x14ac:dyDescent="0.3">
      <c r="A881" s="4" t="s">
        <v>3715</v>
      </c>
      <c r="B881" s="4" t="s">
        <v>3716</v>
      </c>
      <c r="C881" s="4" t="s">
        <v>3717</v>
      </c>
      <c r="D881" s="4"/>
      <c r="E881" s="4" t="s">
        <v>56</v>
      </c>
      <c r="F881" s="4" t="s">
        <v>3718</v>
      </c>
      <c r="G881" s="4" t="s">
        <v>209</v>
      </c>
      <c r="H881" s="4" t="s">
        <v>41</v>
      </c>
      <c r="I881" s="4" t="s">
        <v>85</v>
      </c>
      <c r="J881" s="4" t="s">
        <v>60</v>
      </c>
      <c r="K881" s="4" t="s">
        <v>3717</v>
      </c>
      <c r="L881" s="4" t="str">
        <f t="shared" si="13"/>
        <v>Different owner</v>
      </c>
    </row>
    <row r="882" spans="1:12" ht="15" customHeight="1" x14ac:dyDescent="0.3">
      <c r="A882" s="4" t="s">
        <v>3719</v>
      </c>
      <c r="B882" s="4" t="s">
        <v>3720</v>
      </c>
      <c r="C882" s="4" t="s">
        <v>3721</v>
      </c>
      <c r="D882" s="4" t="s">
        <v>3722</v>
      </c>
      <c r="E882" s="4" t="s">
        <v>66</v>
      </c>
      <c r="F882" s="4" t="s">
        <v>3723</v>
      </c>
      <c r="G882" s="4" t="s">
        <v>58</v>
      </c>
      <c r="H882" s="4" t="s">
        <v>41</v>
      </c>
      <c r="I882" s="4" t="s">
        <v>228</v>
      </c>
      <c r="J882" s="4" t="s">
        <v>66</v>
      </c>
      <c r="K882" s="4" t="s">
        <v>3724</v>
      </c>
      <c r="L882" s="4" t="str">
        <f t="shared" si="13"/>
        <v>Different contact</v>
      </c>
    </row>
    <row r="883" spans="1:12" ht="15" customHeight="1" x14ac:dyDescent="0.3">
      <c r="A883" s="4" t="s">
        <v>3719</v>
      </c>
      <c r="B883" s="4" t="s">
        <v>3720</v>
      </c>
      <c r="C883" s="4" t="s">
        <v>3725</v>
      </c>
      <c r="D883" s="4"/>
      <c r="E883" s="4" t="s">
        <v>343</v>
      </c>
      <c r="F883" s="4" t="s">
        <v>3723</v>
      </c>
      <c r="G883" s="4" t="s">
        <v>58</v>
      </c>
      <c r="H883" s="4" t="s">
        <v>41</v>
      </c>
      <c r="I883" s="4" t="s">
        <v>228</v>
      </c>
      <c r="J883" s="4" t="s">
        <v>66</v>
      </c>
      <c r="K883" s="4" t="s">
        <v>3724</v>
      </c>
      <c r="L883" s="4" t="str">
        <f t="shared" si="13"/>
        <v>Different owner &amp; contact</v>
      </c>
    </row>
    <row r="884" spans="1:12" ht="15" customHeight="1" x14ac:dyDescent="0.3">
      <c r="A884" s="4" t="s">
        <v>3726</v>
      </c>
      <c r="B884" s="4" t="s">
        <v>3727</v>
      </c>
      <c r="C884" s="4"/>
      <c r="D884" s="4"/>
      <c r="E884" s="4" t="s">
        <v>34</v>
      </c>
      <c r="F884" s="4" t="s">
        <v>3728</v>
      </c>
      <c r="G884" s="4" t="s">
        <v>58</v>
      </c>
      <c r="H884" s="4" t="s">
        <v>41</v>
      </c>
      <c r="I884" s="4" t="s">
        <v>125</v>
      </c>
      <c r="J884" s="4" t="s">
        <v>34</v>
      </c>
      <c r="K884" s="4" t="s">
        <v>3729</v>
      </c>
      <c r="L884" s="4" t="str">
        <f t="shared" si="13"/>
        <v>Different contact</v>
      </c>
    </row>
    <row r="885" spans="1:12" ht="15" customHeight="1" x14ac:dyDescent="0.3">
      <c r="A885" s="4" t="s">
        <v>3730</v>
      </c>
      <c r="B885" s="4" t="s">
        <v>3727</v>
      </c>
      <c r="C885" s="4" t="s">
        <v>3729</v>
      </c>
      <c r="D885" s="4"/>
      <c r="E885" s="4" t="s">
        <v>343</v>
      </c>
      <c r="F885" s="4" t="s">
        <v>3728</v>
      </c>
      <c r="G885" s="4" t="s">
        <v>58</v>
      </c>
      <c r="H885" s="4" t="s">
        <v>41</v>
      </c>
      <c r="I885" s="4" t="s">
        <v>125</v>
      </c>
      <c r="J885" s="4" t="s">
        <v>34</v>
      </c>
      <c r="K885" s="4" t="s">
        <v>3729</v>
      </c>
      <c r="L885" s="4" t="str">
        <f t="shared" si="13"/>
        <v>Different owner</v>
      </c>
    </row>
    <row r="886" spans="1:12" ht="15" customHeight="1" x14ac:dyDescent="0.3">
      <c r="A886" s="4" t="s">
        <v>3731</v>
      </c>
      <c r="B886" s="4" t="s">
        <v>3732</v>
      </c>
      <c r="C886" s="4" t="s">
        <v>3733</v>
      </c>
      <c r="D886" s="4" t="s">
        <v>3734</v>
      </c>
      <c r="E886" s="4" t="s">
        <v>91</v>
      </c>
      <c r="F886" s="4" t="s">
        <v>3735</v>
      </c>
      <c r="G886" s="4" t="s">
        <v>209</v>
      </c>
      <c r="H886" s="4" t="s">
        <v>41</v>
      </c>
      <c r="I886" s="4" t="s">
        <v>42</v>
      </c>
      <c r="J886" s="4" t="s">
        <v>102</v>
      </c>
      <c r="K886" s="4" t="s">
        <v>3736</v>
      </c>
      <c r="L886" s="4" t="str">
        <f t="shared" si="13"/>
        <v>Different owner &amp; contact</v>
      </c>
    </row>
    <row r="887" spans="1:12" ht="15" customHeight="1" x14ac:dyDescent="0.3">
      <c r="A887" s="4" t="s">
        <v>3737</v>
      </c>
      <c r="B887" s="4" t="s">
        <v>3738</v>
      </c>
      <c r="C887" s="4" t="s">
        <v>3739</v>
      </c>
      <c r="D887" s="4"/>
      <c r="E887" s="4" t="s">
        <v>56</v>
      </c>
      <c r="F887" s="4" t="s">
        <v>3740</v>
      </c>
      <c r="G887" s="4" t="s">
        <v>29</v>
      </c>
      <c r="H887" s="4" t="s">
        <v>68</v>
      </c>
      <c r="I887" s="4" t="s">
        <v>93</v>
      </c>
      <c r="J887" s="4" t="s">
        <v>32</v>
      </c>
      <c r="K887" s="4" t="s">
        <v>3739</v>
      </c>
      <c r="L887" s="4" t="str">
        <f t="shared" si="13"/>
        <v>Different owner</v>
      </c>
    </row>
    <row r="888" spans="1:12" ht="15" customHeight="1" x14ac:dyDescent="0.3">
      <c r="A888" s="4" t="s">
        <v>3741</v>
      </c>
      <c r="B888" s="4" t="s">
        <v>3742</v>
      </c>
      <c r="C888" s="4" t="s">
        <v>3743</v>
      </c>
      <c r="D888" s="4"/>
      <c r="E888" s="4" t="s">
        <v>106</v>
      </c>
      <c r="F888" s="4" t="s">
        <v>3744</v>
      </c>
      <c r="G888" s="4" t="s">
        <v>29</v>
      </c>
      <c r="H888" s="4" t="s">
        <v>30</v>
      </c>
      <c r="I888" s="4" t="s">
        <v>125</v>
      </c>
      <c r="J888" s="4" t="s">
        <v>106</v>
      </c>
      <c r="K888" s="4" t="s">
        <v>3745</v>
      </c>
      <c r="L888" s="4" t="str">
        <f t="shared" si="13"/>
        <v>Different contact</v>
      </c>
    </row>
    <row r="889" spans="1:12" ht="15" customHeight="1" x14ac:dyDescent="0.3">
      <c r="A889" s="4" t="s">
        <v>3746</v>
      </c>
      <c r="B889" s="4" t="s">
        <v>3747</v>
      </c>
      <c r="C889" s="4" t="s">
        <v>3748</v>
      </c>
      <c r="D889" s="4"/>
      <c r="E889" s="4" t="s">
        <v>106</v>
      </c>
      <c r="F889" s="4" t="s">
        <v>3749</v>
      </c>
      <c r="G889" s="4" t="s">
        <v>40</v>
      </c>
      <c r="H889" s="4" t="s">
        <v>41</v>
      </c>
      <c r="I889" s="4" t="s">
        <v>42</v>
      </c>
      <c r="J889" s="4" t="s">
        <v>106</v>
      </c>
      <c r="K889" s="4" t="s">
        <v>3748</v>
      </c>
      <c r="L889" s="4" t="str">
        <f t="shared" si="13"/>
        <v>Match</v>
      </c>
    </row>
    <row r="890" spans="1:12" ht="15" customHeight="1" x14ac:dyDescent="0.3">
      <c r="A890" s="4" t="s">
        <v>3750</v>
      </c>
      <c r="B890" s="4" t="s">
        <v>3751</v>
      </c>
      <c r="C890" s="4" t="s">
        <v>3752</v>
      </c>
      <c r="D890" s="4" t="s">
        <v>3753</v>
      </c>
      <c r="E890" s="4" t="s">
        <v>106</v>
      </c>
      <c r="F890" s="4" t="s">
        <v>3754</v>
      </c>
      <c r="G890" s="4" t="s">
        <v>130</v>
      </c>
      <c r="H890" s="4" t="s">
        <v>68</v>
      </c>
      <c r="I890" s="4" t="s">
        <v>299</v>
      </c>
      <c r="J890" s="4" t="s">
        <v>106</v>
      </c>
      <c r="K890" s="4" t="s">
        <v>3755</v>
      </c>
      <c r="L890" s="4" t="str">
        <f t="shared" si="13"/>
        <v>Different contact</v>
      </c>
    </row>
    <row r="891" spans="1:12" ht="15" customHeight="1" x14ac:dyDescent="0.3">
      <c r="A891" s="4" t="s">
        <v>3756</v>
      </c>
      <c r="B891" s="4" t="s">
        <v>3757</v>
      </c>
      <c r="C891" s="4" t="s">
        <v>3758</v>
      </c>
      <c r="D891" s="4" t="s">
        <v>3759</v>
      </c>
      <c r="E891" s="4" t="s">
        <v>27</v>
      </c>
      <c r="F891" s="4" t="s">
        <v>3760</v>
      </c>
      <c r="G891" s="4" t="s">
        <v>58</v>
      </c>
      <c r="H891" s="4" t="s">
        <v>500</v>
      </c>
      <c r="I891" s="4" t="s">
        <v>501</v>
      </c>
      <c r="J891" s="4" t="s">
        <v>52</v>
      </c>
      <c r="K891" s="4" t="s">
        <v>3761</v>
      </c>
      <c r="L891" s="4" t="str">
        <f t="shared" si="13"/>
        <v>Different owner &amp; contact</v>
      </c>
    </row>
    <row r="892" spans="1:12" ht="15" customHeight="1" x14ac:dyDescent="0.3">
      <c r="A892" s="4" t="s">
        <v>3762</v>
      </c>
      <c r="B892" s="4" t="s">
        <v>3757</v>
      </c>
      <c r="C892" s="4" t="s">
        <v>3763</v>
      </c>
      <c r="D892" s="4" t="s">
        <v>3764</v>
      </c>
      <c r="E892" s="4" t="s">
        <v>27</v>
      </c>
      <c r="F892" s="4" t="s">
        <v>3760</v>
      </c>
      <c r="G892" s="4" t="s">
        <v>58</v>
      </c>
      <c r="H892" s="4" t="s">
        <v>500</v>
      </c>
      <c r="I892" s="4" t="s">
        <v>501</v>
      </c>
      <c r="J892" s="4" t="s">
        <v>52</v>
      </c>
      <c r="K892" s="4" t="s">
        <v>3761</v>
      </c>
      <c r="L892" s="4" t="str">
        <f t="shared" si="13"/>
        <v>Different owner &amp; contact</v>
      </c>
    </row>
    <row r="893" spans="1:12" ht="15" customHeight="1" x14ac:dyDescent="0.3">
      <c r="A893" s="4" t="s">
        <v>3765</v>
      </c>
      <c r="B893" s="4" t="s">
        <v>3757</v>
      </c>
      <c r="C893" s="4" t="s">
        <v>3766</v>
      </c>
      <c r="D893" s="4" t="s">
        <v>3767</v>
      </c>
      <c r="E893" s="4" t="s">
        <v>27</v>
      </c>
      <c r="F893" s="4" t="s">
        <v>3760</v>
      </c>
      <c r="G893" s="4" t="s">
        <v>58</v>
      </c>
      <c r="H893" s="4" t="s">
        <v>500</v>
      </c>
      <c r="I893" s="4" t="s">
        <v>501</v>
      </c>
      <c r="J893" s="4" t="s">
        <v>52</v>
      </c>
      <c r="K893" s="4" t="s">
        <v>3761</v>
      </c>
      <c r="L893" s="4" t="str">
        <f t="shared" si="13"/>
        <v>Different owner &amp; contact</v>
      </c>
    </row>
    <row r="894" spans="1:12" ht="15" customHeight="1" x14ac:dyDescent="0.3">
      <c r="A894" s="4" t="s">
        <v>3768</v>
      </c>
      <c r="B894" s="4" t="s">
        <v>3757</v>
      </c>
      <c r="C894" s="4" t="s">
        <v>3769</v>
      </c>
      <c r="D894" s="4" t="s">
        <v>3770</v>
      </c>
      <c r="E894" s="4" t="s">
        <v>27</v>
      </c>
      <c r="F894" s="4" t="s">
        <v>3760</v>
      </c>
      <c r="G894" s="4" t="s">
        <v>58</v>
      </c>
      <c r="H894" s="4" t="s">
        <v>500</v>
      </c>
      <c r="I894" s="4" t="s">
        <v>501</v>
      </c>
      <c r="J894" s="4" t="s">
        <v>52</v>
      </c>
      <c r="K894" s="4" t="s">
        <v>3761</v>
      </c>
      <c r="L894" s="4" t="str">
        <f t="shared" si="13"/>
        <v>Different owner &amp; contact</v>
      </c>
    </row>
    <row r="895" spans="1:12" ht="15" customHeight="1" x14ac:dyDescent="0.3">
      <c r="A895" s="4" t="s">
        <v>3771</v>
      </c>
      <c r="B895" s="4" t="s">
        <v>3772</v>
      </c>
      <c r="C895" s="4" t="s">
        <v>3773</v>
      </c>
      <c r="D895" s="4"/>
      <c r="E895" s="4" t="s">
        <v>343</v>
      </c>
      <c r="F895" s="4" t="s">
        <v>3774</v>
      </c>
      <c r="G895" s="4" t="s">
        <v>58</v>
      </c>
      <c r="H895" s="4" t="s">
        <v>68</v>
      </c>
      <c r="I895" s="4" t="s">
        <v>264</v>
      </c>
      <c r="J895" s="4" t="s">
        <v>66</v>
      </c>
      <c r="K895" s="4" t="s">
        <v>3775</v>
      </c>
      <c r="L895" s="4" t="str">
        <f t="shared" si="13"/>
        <v>Different owner &amp; contact</v>
      </c>
    </row>
    <row r="896" spans="1:12" ht="15" customHeight="1" x14ac:dyDescent="0.3">
      <c r="A896" s="4" t="s">
        <v>3776</v>
      </c>
      <c r="B896" s="4" t="s">
        <v>3777</v>
      </c>
      <c r="C896" s="4" t="s">
        <v>3778</v>
      </c>
      <c r="D896" s="4" t="s">
        <v>3779</v>
      </c>
      <c r="E896" s="4" t="s">
        <v>91</v>
      </c>
      <c r="F896" s="4" t="s">
        <v>3780</v>
      </c>
      <c r="G896" s="4" t="s">
        <v>361</v>
      </c>
      <c r="H896" s="4" t="s">
        <v>41</v>
      </c>
      <c r="I896" s="4" t="s">
        <v>638</v>
      </c>
      <c r="J896" s="4" t="s">
        <v>94</v>
      </c>
      <c r="K896" s="4" t="s">
        <v>3778</v>
      </c>
      <c r="L896" s="4" t="str">
        <f t="shared" si="13"/>
        <v>Different owner</v>
      </c>
    </row>
    <row r="897" spans="1:12" ht="15" customHeight="1" x14ac:dyDescent="0.3">
      <c r="A897" s="4" t="s">
        <v>3781</v>
      </c>
      <c r="B897" s="4" t="s">
        <v>3782</v>
      </c>
      <c r="C897" s="4"/>
      <c r="D897" s="4" t="s">
        <v>3783</v>
      </c>
      <c r="E897" s="4" t="s">
        <v>172</v>
      </c>
      <c r="F897" s="4" t="s">
        <v>3784</v>
      </c>
      <c r="G897" s="4" t="s">
        <v>49</v>
      </c>
      <c r="H897" s="4" t="s">
        <v>174</v>
      </c>
      <c r="I897" s="4" t="s">
        <v>175</v>
      </c>
      <c r="J897" s="4" t="s">
        <v>176</v>
      </c>
      <c r="K897" s="4" t="s">
        <v>3785</v>
      </c>
      <c r="L897" s="4" t="str">
        <f t="shared" si="13"/>
        <v>Different owner &amp; contact</v>
      </c>
    </row>
    <row r="898" spans="1:12" ht="15" customHeight="1" x14ac:dyDescent="0.3">
      <c r="A898" s="4" t="s">
        <v>3786</v>
      </c>
      <c r="B898" s="4" t="s">
        <v>3782</v>
      </c>
      <c r="C898" s="4"/>
      <c r="D898" s="4" t="s">
        <v>3783</v>
      </c>
      <c r="E898" s="4" t="s">
        <v>172</v>
      </c>
      <c r="F898" s="4" t="s">
        <v>3784</v>
      </c>
      <c r="G898" s="4" t="s">
        <v>49</v>
      </c>
      <c r="H898" s="4" t="s">
        <v>174</v>
      </c>
      <c r="I898" s="4" t="s">
        <v>175</v>
      </c>
      <c r="J898" s="4" t="s">
        <v>176</v>
      </c>
      <c r="K898" s="4" t="s">
        <v>3785</v>
      </c>
      <c r="L898" s="4" t="str">
        <f t="shared" ref="L898:L961" si="14">IF(AND(TRIM(LOWER(E898))=TRIM(LOWER(J898)),TRIM(LOWER(C898))=TRIM(LOWER(K898))),"Match",IF(AND(NOT(TRIM(LOWER(E898))=TRIM(LOWER(J898))),TRIM(LOWER(C898))=TRIM(LOWER(K898))),"Different owner",IF(AND(TRIM(LOWER(E898))=TRIM(LOWER(J898)),NOT(TRIM(LOWER(C898))=TRIM(LOWER(K898)))),"Different contact","Different owner &amp; contact")))</f>
        <v>Different owner &amp; contact</v>
      </c>
    </row>
    <row r="899" spans="1:12" ht="15" customHeight="1" x14ac:dyDescent="0.3">
      <c r="A899" s="4" t="s">
        <v>3787</v>
      </c>
      <c r="B899" s="4" t="s">
        <v>3782</v>
      </c>
      <c r="C899" s="4" t="s">
        <v>3788</v>
      </c>
      <c r="D899" s="4" t="s">
        <v>3789</v>
      </c>
      <c r="E899" s="4" t="s">
        <v>172</v>
      </c>
      <c r="F899" s="4" t="s">
        <v>3784</v>
      </c>
      <c r="G899" s="4" t="s">
        <v>49</v>
      </c>
      <c r="H899" s="4" t="s">
        <v>174</v>
      </c>
      <c r="I899" s="4" t="s">
        <v>175</v>
      </c>
      <c r="J899" s="4" t="s">
        <v>176</v>
      </c>
      <c r="K899" s="4" t="s">
        <v>3785</v>
      </c>
      <c r="L899" s="4" t="str">
        <f t="shared" si="14"/>
        <v>Different owner &amp; contact</v>
      </c>
    </row>
    <row r="900" spans="1:12" ht="15" customHeight="1" x14ac:dyDescent="0.3">
      <c r="A900" s="4" t="s">
        <v>3790</v>
      </c>
      <c r="B900" s="4" t="s">
        <v>3791</v>
      </c>
      <c r="C900" s="4" t="s">
        <v>3792</v>
      </c>
      <c r="D900" s="4"/>
      <c r="E900" s="4" t="s">
        <v>56</v>
      </c>
      <c r="F900" s="4" t="s">
        <v>3793</v>
      </c>
      <c r="G900" s="4" t="s">
        <v>29</v>
      </c>
      <c r="H900" s="4" t="s">
        <v>30</v>
      </c>
      <c r="I900" s="4" t="s">
        <v>125</v>
      </c>
      <c r="J900" s="4" t="s">
        <v>32</v>
      </c>
      <c r="K900" s="4" t="s">
        <v>3794</v>
      </c>
      <c r="L900" s="4" t="str">
        <f t="shared" si="14"/>
        <v>Different owner &amp; contact</v>
      </c>
    </row>
    <row r="901" spans="1:12" ht="15" customHeight="1" x14ac:dyDescent="0.3">
      <c r="A901" s="4" t="s">
        <v>3795</v>
      </c>
      <c r="B901" s="4" t="s">
        <v>3796</v>
      </c>
      <c r="C901" s="4" t="s">
        <v>3797</v>
      </c>
      <c r="D901" s="4" t="s">
        <v>3798</v>
      </c>
      <c r="E901" s="4" t="s">
        <v>66</v>
      </c>
      <c r="F901" s="4" t="s">
        <v>3799</v>
      </c>
      <c r="G901" s="4" t="s">
        <v>49</v>
      </c>
      <c r="H901" s="4" t="s">
        <v>41</v>
      </c>
      <c r="I901" s="4" t="s">
        <v>149</v>
      </c>
      <c r="J901" s="4" t="s">
        <v>66</v>
      </c>
      <c r="K901" s="4" t="s">
        <v>3800</v>
      </c>
      <c r="L901" s="4" t="str">
        <f t="shared" si="14"/>
        <v>Different contact</v>
      </c>
    </row>
    <row r="902" spans="1:12" ht="15" customHeight="1" x14ac:dyDescent="0.3">
      <c r="A902" s="4" t="s">
        <v>3801</v>
      </c>
      <c r="B902" s="4" t="s">
        <v>3796</v>
      </c>
      <c r="C902" s="4" t="s">
        <v>3800</v>
      </c>
      <c r="D902" s="4"/>
      <c r="E902" s="4" t="s">
        <v>66</v>
      </c>
      <c r="F902" s="4" t="s">
        <v>3799</v>
      </c>
      <c r="G902" s="4" t="s">
        <v>49</v>
      </c>
      <c r="H902" s="4" t="s">
        <v>41</v>
      </c>
      <c r="I902" s="4" t="s">
        <v>149</v>
      </c>
      <c r="J902" s="4" t="s">
        <v>66</v>
      </c>
      <c r="K902" s="4" t="s">
        <v>3800</v>
      </c>
      <c r="L902" s="4" t="str">
        <f t="shared" si="14"/>
        <v>Match</v>
      </c>
    </row>
    <row r="903" spans="1:12" ht="15" customHeight="1" x14ac:dyDescent="0.3">
      <c r="A903" s="4" t="s">
        <v>3802</v>
      </c>
      <c r="B903" s="4" t="s">
        <v>3803</v>
      </c>
      <c r="C903" s="4" t="s">
        <v>3804</v>
      </c>
      <c r="D903" s="4" t="s">
        <v>3805</v>
      </c>
      <c r="E903" s="4" t="s">
        <v>106</v>
      </c>
      <c r="F903" s="4" t="s">
        <v>3806</v>
      </c>
      <c r="G903" s="4" t="s">
        <v>49</v>
      </c>
      <c r="H903" s="4" t="s">
        <v>68</v>
      </c>
      <c r="I903" s="4" t="s">
        <v>149</v>
      </c>
      <c r="J903" s="4" t="s">
        <v>106</v>
      </c>
      <c r="K903" s="4" t="s">
        <v>3807</v>
      </c>
      <c r="L903" s="4" t="str">
        <f t="shared" si="14"/>
        <v>Different contact</v>
      </c>
    </row>
    <row r="904" spans="1:12" ht="15" customHeight="1" x14ac:dyDescent="0.3">
      <c r="A904" s="4" t="s">
        <v>3808</v>
      </c>
      <c r="B904" s="4" t="s">
        <v>3803</v>
      </c>
      <c r="C904" s="4" t="s">
        <v>3809</v>
      </c>
      <c r="D904" s="4" t="s">
        <v>3810</v>
      </c>
      <c r="E904" s="4" t="s">
        <v>106</v>
      </c>
      <c r="F904" s="4" t="s">
        <v>3806</v>
      </c>
      <c r="G904" s="4" t="s">
        <v>49</v>
      </c>
      <c r="H904" s="4" t="s">
        <v>68</v>
      </c>
      <c r="I904" s="4" t="s">
        <v>149</v>
      </c>
      <c r="J904" s="4" t="s">
        <v>106</v>
      </c>
      <c r="K904" s="4" t="s">
        <v>3807</v>
      </c>
      <c r="L904" s="4" t="str">
        <f t="shared" si="14"/>
        <v>Different contact</v>
      </c>
    </row>
    <row r="905" spans="1:12" ht="15" customHeight="1" x14ac:dyDescent="0.3">
      <c r="A905" s="4" t="s">
        <v>3811</v>
      </c>
      <c r="B905" s="4" t="s">
        <v>3812</v>
      </c>
      <c r="C905" s="4" t="s">
        <v>3813</v>
      </c>
      <c r="D905" s="4" t="s">
        <v>3814</v>
      </c>
      <c r="E905" s="4" t="s">
        <v>114</v>
      </c>
      <c r="F905" s="4" t="s">
        <v>3815</v>
      </c>
      <c r="G905" s="4" t="s">
        <v>58</v>
      </c>
      <c r="H905" s="4" t="s">
        <v>50</v>
      </c>
      <c r="I905" s="4" t="s">
        <v>196</v>
      </c>
      <c r="J905" s="4" t="s">
        <v>114</v>
      </c>
      <c r="K905" s="4" t="s">
        <v>3816</v>
      </c>
      <c r="L905" s="4" t="str">
        <f t="shared" si="14"/>
        <v>Different contact</v>
      </c>
    </row>
    <row r="906" spans="1:12" ht="15" customHeight="1" x14ac:dyDescent="0.3">
      <c r="A906" s="4" t="s">
        <v>3817</v>
      </c>
      <c r="B906" s="4" t="s">
        <v>3818</v>
      </c>
      <c r="C906" s="4" t="s">
        <v>3819</v>
      </c>
      <c r="D906" s="4"/>
      <c r="E906" s="4" t="s">
        <v>52</v>
      </c>
      <c r="F906" s="4" t="s">
        <v>3820</v>
      </c>
      <c r="G906" s="4" t="s">
        <v>138</v>
      </c>
      <c r="H906" s="4" t="s">
        <v>68</v>
      </c>
      <c r="I906" s="4" t="s">
        <v>93</v>
      </c>
      <c r="J906" s="4" t="s">
        <v>765</v>
      </c>
      <c r="K906" s="4" t="s">
        <v>3821</v>
      </c>
      <c r="L906" s="4" t="str">
        <f t="shared" si="14"/>
        <v>Different owner &amp; contact</v>
      </c>
    </row>
    <row r="907" spans="1:12" ht="15" customHeight="1" x14ac:dyDescent="0.3">
      <c r="A907" s="4" t="s">
        <v>3822</v>
      </c>
      <c r="B907" s="4" t="s">
        <v>3823</v>
      </c>
      <c r="C907" s="4" t="s">
        <v>3824</v>
      </c>
      <c r="D907" s="4" t="s">
        <v>3825</v>
      </c>
      <c r="E907" s="4" t="s">
        <v>52</v>
      </c>
      <c r="F907" s="4" t="s">
        <v>3826</v>
      </c>
      <c r="G907" s="4" t="s">
        <v>138</v>
      </c>
      <c r="H907" s="4" t="s">
        <v>41</v>
      </c>
      <c r="I907" s="4"/>
      <c r="J907" s="4" t="s">
        <v>102</v>
      </c>
      <c r="K907" s="4" t="s">
        <v>3824</v>
      </c>
      <c r="L907" s="4" t="str">
        <f t="shared" si="14"/>
        <v>Different owner</v>
      </c>
    </row>
    <row r="908" spans="1:12" ht="15" customHeight="1" x14ac:dyDescent="0.3">
      <c r="A908" s="4" t="s">
        <v>3827</v>
      </c>
      <c r="B908" s="4" t="s">
        <v>3828</v>
      </c>
      <c r="C908" s="4" t="s">
        <v>3829</v>
      </c>
      <c r="D908" s="4"/>
      <c r="E908" s="4" t="s">
        <v>343</v>
      </c>
      <c r="F908" s="4" t="s">
        <v>3830</v>
      </c>
      <c r="G908" s="4" t="s">
        <v>58</v>
      </c>
      <c r="H908" s="4" t="s">
        <v>50</v>
      </c>
      <c r="I908" s="4" t="s">
        <v>93</v>
      </c>
      <c r="J908" s="4" t="s">
        <v>114</v>
      </c>
      <c r="K908" s="4" t="s">
        <v>3831</v>
      </c>
      <c r="L908" s="4" t="str">
        <f t="shared" si="14"/>
        <v>Different owner &amp; contact</v>
      </c>
    </row>
    <row r="909" spans="1:12" ht="15" customHeight="1" x14ac:dyDescent="0.3">
      <c r="A909" s="4" t="s">
        <v>3832</v>
      </c>
      <c r="B909" s="4" t="s">
        <v>3833</v>
      </c>
      <c r="C909" s="4" t="s">
        <v>3834</v>
      </c>
      <c r="D909" s="4"/>
      <c r="E909" s="4" t="s">
        <v>66</v>
      </c>
      <c r="F909" s="4" t="s">
        <v>3835</v>
      </c>
      <c r="G909" s="4" t="s">
        <v>521</v>
      </c>
      <c r="H909" s="4" t="s">
        <v>68</v>
      </c>
      <c r="I909" s="4" t="s">
        <v>2227</v>
      </c>
      <c r="J909" s="4" t="s">
        <v>66</v>
      </c>
      <c r="K909" s="4" t="s">
        <v>3836</v>
      </c>
      <c r="L909" s="4" t="str">
        <f t="shared" si="14"/>
        <v>Different contact</v>
      </c>
    </row>
    <row r="910" spans="1:12" ht="15" customHeight="1" x14ac:dyDescent="0.3">
      <c r="A910" s="4" t="s">
        <v>3837</v>
      </c>
      <c r="B910" s="4" t="s">
        <v>3833</v>
      </c>
      <c r="C910" s="4" t="s">
        <v>3838</v>
      </c>
      <c r="D910" s="4" t="s">
        <v>3839</v>
      </c>
      <c r="E910" s="4" t="s">
        <v>66</v>
      </c>
      <c r="F910" s="4" t="s">
        <v>3835</v>
      </c>
      <c r="G910" s="4" t="s">
        <v>521</v>
      </c>
      <c r="H910" s="4" t="s">
        <v>68</v>
      </c>
      <c r="I910" s="4" t="s">
        <v>2227</v>
      </c>
      <c r="J910" s="4" t="s">
        <v>66</v>
      </c>
      <c r="K910" s="4" t="s">
        <v>3836</v>
      </c>
      <c r="L910" s="4" t="str">
        <f t="shared" si="14"/>
        <v>Different contact</v>
      </c>
    </row>
    <row r="911" spans="1:12" ht="15" customHeight="1" x14ac:dyDescent="0.3">
      <c r="A911" s="4" t="s">
        <v>3840</v>
      </c>
      <c r="B911" s="4" t="s">
        <v>3841</v>
      </c>
      <c r="C911" s="4" t="s">
        <v>3842</v>
      </c>
      <c r="D911" s="4"/>
      <c r="E911" s="4" t="s">
        <v>56</v>
      </c>
      <c r="F911" s="4" t="s">
        <v>3843</v>
      </c>
      <c r="G911" s="4" t="s">
        <v>58</v>
      </c>
      <c r="H911" s="4" t="s">
        <v>41</v>
      </c>
      <c r="I911" s="4" t="s">
        <v>638</v>
      </c>
      <c r="J911" s="4" t="s">
        <v>60</v>
      </c>
      <c r="K911" s="4" t="s">
        <v>3844</v>
      </c>
      <c r="L911" s="4" t="str">
        <f t="shared" si="14"/>
        <v>Different owner &amp; contact</v>
      </c>
    </row>
    <row r="912" spans="1:12" ht="15" customHeight="1" x14ac:dyDescent="0.3">
      <c r="A912" s="4" t="s">
        <v>3845</v>
      </c>
      <c r="B912" s="4" t="s">
        <v>3846</v>
      </c>
      <c r="C912" s="4" t="s">
        <v>3847</v>
      </c>
      <c r="D912" s="4" t="s">
        <v>3848</v>
      </c>
      <c r="E912" s="4" t="s">
        <v>66</v>
      </c>
      <c r="F912" s="4" t="s">
        <v>3849</v>
      </c>
      <c r="G912" s="4" t="s">
        <v>58</v>
      </c>
      <c r="H912" s="4" t="s">
        <v>41</v>
      </c>
      <c r="I912" s="4" t="s">
        <v>1190</v>
      </c>
      <c r="J912" s="4" t="s">
        <v>66</v>
      </c>
      <c r="K912" s="4" t="s">
        <v>3850</v>
      </c>
      <c r="L912" s="4" t="str">
        <f t="shared" si="14"/>
        <v>Different contact</v>
      </c>
    </row>
    <row r="913" spans="1:12" ht="15" customHeight="1" x14ac:dyDescent="0.3">
      <c r="A913" s="4" t="s">
        <v>3851</v>
      </c>
      <c r="B913" s="4" t="s">
        <v>3852</v>
      </c>
      <c r="C913" s="4" t="s">
        <v>3853</v>
      </c>
      <c r="D913" s="4" t="s">
        <v>3240</v>
      </c>
      <c r="E913" s="4" t="s">
        <v>27</v>
      </c>
      <c r="F913" s="4" t="s">
        <v>3854</v>
      </c>
      <c r="G913" s="4" t="s">
        <v>58</v>
      </c>
      <c r="H913" s="4" t="s">
        <v>30</v>
      </c>
      <c r="I913" s="4" t="s">
        <v>125</v>
      </c>
      <c r="J913" s="4" t="s">
        <v>394</v>
      </c>
      <c r="K913" s="4" t="s">
        <v>2772</v>
      </c>
      <c r="L913" s="4" t="str">
        <f t="shared" si="14"/>
        <v>Different owner &amp; contact</v>
      </c>
    </row>
    <row r="914" spans="1:12" ht="15" customHeight="1" x14ac:dyDescent="0.3">
      <c r="A914" s="4" t="s">
        <v>3855</v>
      </c>
      <c r="B914" s="4" t="s">
        <v>3852</v>
      </c>
      <c r="C914" s="4"/>
      <c r="D914" s="4" t="s">
        <v>3856</v>
      </c>
      <c r="E914" s="4" t="s">
        <v>385</v>
      </c>
      <c r="F914" s="4" t="s">
        <v>3854</v>
      </c>
      <c r="G914" s="4" t="s">
        <v>58</v>
      </c>
      <c r="H914" s="4" t="s">
        <v>30</v>
      </c>
      <c r="I914" s="4" t="s">
        <v>125</v>
      </c>
      <c r="J914" s="4" t="s">
        <v>394</v>
      </c>
      <c r="K914" s="4" t="s">
        <v>2772</v>
      </c>
      <c r="L914" s="4" t="str">
        <f t="shared" si="14"/>
        <v>Different owner &amp; contact</v>
      </c>
    </row>
    <row r="915" spans="1:12" ht="15" customHeight="1" x14ac:dyDescent="0.3">
      <c r="A915" s="4" t="s">
        <v>3857</v>
      </c>
      <c r="B915" s="4" t="s">
        <v>3858</v>
      </c>
      <c r="C915" s="4" t="s">
        <v>3859</v>
      </c>
      <c r="D915" s="4" t="s">
        <v>3860</v>
      </c>
      <c r="E915" s="4" t="s">
        <v>91</v>
      </c>
      <c r="F915" s="4" t="s">
        <v>3861</v>
      </c>
      <c r="G915" s="4" t="s">
        <v>58</v>
      </c>
      <c r="H915" s="4" t="s">
        <v>68</v>
      </c>
      <c r="I915" s="4" t="s">
        <v>2227</v>
      </c>
      <c r="J915" s="4" t="s">
        <v>94</v>
      </c>
      <c r="K915" s="4" t="s">
        <v>3862</v>
      </c>
      <c r="L915" s="4" t="str">
        <f t="shared" si="14"/>
        <v>Different owner &amp; contact</v>
      </c>
    </row>
    <row r="916" spans="1:12" ht="15" customHeight="1" x14ac:dyDescent="0.3">
      <c r="A916" s="4" t="s">
        <v>3857</v>
      </c>
      <c r="B916" s="4" t="s">
        <v>3858</v>
      </c>
      <c r="C916" s="4" t="s">
        <v>3863</v>
      </c>
      <c r="D916" s="4"/>
      <c r="E916" s="4" t="s">
        <v>343</v>
      </c>
      <c r="F916" s="4" t="s">
        <v>3861</v>
      </c>
      <c r="G916" s="4" t="s">
        <v>58</v>
      </c>
      <c r="H916" s="4" t="s">
        <v>68</v>
      </c>
      <c r="I916" s="4" t="s">
        <v>2227</v>
      </c>
      <c r="J916" s="4" t="s">
        <v>94</v>
      </c>
      <c r="K916" s="4" t="s">
        <v>3862</v>
      </c>
      <c r="L916" s="4" t="str">
        <f t="shared" si="14"/>
        <v>Different owner &amp; contact</v>
      </c>
    </row>
    <row r="917" spans="1:12" ht="15" customHeight="1" x14ac:dyDescent="0.3">
      <c r="A917" s="4" t="s">
        <v>3864</v>
      </c>
      <c r="B917" s="4" t="s">
        <v>3865</v>
      </c>
      <c r="C917" s="4" t="s">
        <v>3866</v>
      </c>
      <c r="D917" s="4"/>
      <c r="E917" s="4" t="s">
        <v>27</v>
      </c>
      <c r="F917" s="4" t="s">
        <v>3867</v>
      </c>
      <c r="G917" s="4" t="s">
        <v>138</v>
      </c>
      <c r="H917" s="4" t="s">
        <v>41</v>
      </c>
      <c r="I917" s="4" t="s">
        <v>2171</v>
      </c>
      <c r="J917" s="4" t="s">
        <v>32</v>
      </c>
      <c r="K917" s="4" t="s">
        <v>3866</v>
      </c>
      <c r="L917" s="4" t="str">
        <f t="shared" si="14"/>
        <v>Different owner</v>
      </c>
    </row>
    <row r="918" spans="1:12" ht="15" customHeight="1" x14ac:dyDescent="0.3">
      <c r="A918" s="4" t="s">
        <v>3868</v>
      </c>
      <c r="B918" s="4" t="s">
        <v>3869</v>
      </c>
      <c r="C918" s="4" t="s">
        <v>3870</v>
      </c>
      <c r="D918" s="4"/>
      <c r="E918" s="4" t="s">
        <v>56</v>
      </c>
      <c r="F918" s="4" t="s">
        <v>3871</v>
      </c>
      <c r="G918" s="4" t="s">
        <v>130</v>
      </c>
      <c r="H918" s="4" t="s">
        <v>41</v>
      </c>
      <c r="I918" s="4" t="s">
        <v>2171</v>
      </c>
      <c r="J918" s="4" t="s">
        <v>94</v>
      </c>
      <c r="K918" s="4" t="s">
        <v>3870</v>
      </c>
      <c r="L918" s="4" t="str">
        <f t="shared" si="14"/>
        <v>Different owner</v>
      </c>
    </row>
    <row r="919" spans="1:12" ht="15" customHeight="1" x14ac:dyDescent="0.3">
      <c r="A919" s="4" t="s">
        <v>3872</v>
      </c>
      <c r="B919" s="4" t="s">
        <v>3873</v>
      </c>
      <c r="C919" s="4" t="s">
        <v>3874</v>
      </c>
      <c r="D919" s="4"/>
      <c r="E919" s="4" t="s">
        <v>56</v>
      </c>
      <c r="F919" s="4" t="s">
        <v>3875</v>
      </c>
      <c r="G919" s="4" t="s">
        <v>84</v>
      </c>
      <c r="H919" s="4" t="s">
        <v>68</v>
      </c>
      <c r="I919" s="4" t="s">
        <v>93</v>
      </c>
      <c r="J919" s="4" t="s">
        <v>32</v>
      </c>
      <c r="K919" s="4" t="s">
        <v>3876</v>
      </c>
      <c r="L919" s="4" t="str">
        <f t="shared" si="14"/>
        <v>Different owner &amp; contact</v>
      </c>
    </row>
    <row r="920" spans="1:12" ht="15" customHeight="1" x14ac:dyDescent="0.3">
      <c r="A920" s="4" t="s">
        <v>3877</v>
      </c>
      <c r="B920" s="4" t="s">
        <v>3878</v>
      </c>
      <c r="C920" s="4" t="s">
        <v>3879</v>
      </c>
      <c r="D920" s="4" t="s">
        <v>3880</v>
      </c>
      <c r="E920" s="4" t="s">
        <v>52</v>
      </c>
      <c r="F920" s="4" t="s">
        <v>3881</v>
      </c>
      <c r="G920" s="4" t="s">
        <v>58</v>
      </c>
      <c r="H920" s="4" t="s">
        <v>41</v>
      </c>
      <c r="I920" s="4" t="s">
        <v>101</v>
      </c>
      <c r="J920" s="4" t="s">
        <v>32</v>
      </c>
      <c r="K920" s="4" t="s">
        <v>3882</v>
      </c>
      <c r="L920" s="4" t="str">
        <f t="shared" si="14"/>
        <v>Different owner &amp; contact</v>
      </c>
    </row>
    <row r="921" spans="1:12" ht="15" customHeight="1" x14ac:dyDescent="0.3">
      <c r="A921" s="4" t="s">
        <v>3883</v>
      </c>
      <c r="B921" s="4" t="s">
        <v>3884</v>
      </c>
      <c r="C921" s="4" t="s">
        <v>3885</v>
      </c>
      <c r="D921" s="4" t="s">
        <v>3886</v>
      </c>
      <c r="E921" s="4" t="s">
        <v>91</v>
      </c>
      <c r="F921" s="4" t="s">
        <v>3887</v>
      </c>
      <c r="G921" s="4" t="s">
        <v>124</v>
      </c>
      <c r="H921" s="4" t="s">
        <v>30</v>
      </c>
      <c r="I921" s="4" t="s">
        <v>125</v>
      </c>
      <c r="J921" s="4" t="s">
        <v>32</v>
      </c>
      <c r="K921" s="4" t="s">
        <v>3888</v>
      </c>
      <c r="L921" s="4" t="str">
        <f t="shared" si="14"/>
        <v>Different owner &amp; contact</v>
      </c>
    </row>
    <row r="922" spans="1:12" ht="15" customHeight="1" x14ac:dyDescent="0.3">
      <c r="A922" s="4" t="s">
        <v>3889</v>
      </c>
      <c r="B922" s="4" t="s">
        <v>3890</v>
      </c>
      <c r="C922" s="4" t="s">
        <v>3891</v>
      </c>
      <c r="D922" s="4" t="s">
        <v>3892</v>
      </c>
      <c r="E922" s="4" t="s">
        <v>66</v>
      </c>
      <c r="F922" s="4" t="s">
        <v>3893</v>
      </c>
      <c r="G922" s="4" t="s">
        <v>84</v>
      </c>
      <c r="H922" s="4" t="s">
        <v>68</v>
      </c>
      <c r="I922" s="4" t="s">
        <v>538</v>
      </c>
      <c r="J922" s="4" t="s">
        <v>32</v>
      </c>
      <c r="K922" s="4" t="s">
        <v>3894</v>
      </c>
      <c r="L922" s="4" t="str">
        <f t="shared" si="14"/>
        <v>Different owner &amp; contact</v>
      </c>
    </row>
    <row r="923" spans="1:12" ht="15" customHeight="1" x14ac:dyDescent="0.3">
      <c r="A923" s="4" t="s">
        <v>3895</v>
      </c>
      <c r="B923" s="4" t="s">
        <v>3896</v>
      </c>
      <c r="C923" s="4" t="s">
        <v>3897</v>
      </c>
      <c r="D923" s="4" t="s">
        <v>3898</v>
      </c>
      <c r="E923" s="4" t="s">
        <v>91</v>
      </c>
      <c r="F923" s="4" t="s">
        <v>3899</v>
      </c>
      <c r="G923" s="4" t="s">
        <v>29</v>
      </c>
      <c r="H923" s="4" t="s">
        <v>68</v>
      </c>
      <c r="I923" s="4" t="s">
        <v>264</v>
      </c>
      <c r="J923" s="4" t="s">
        <v>32</v>
      </c>
      <c r="K923" s="4" t="s">
        <v>3900</v>
      </c>
      <c r="L923" s="4" t="str">
        <f t="shared" si="14"/>
        <v>Different owner &amp; contact</v>
      </c>
    </row>
    <row r="924" spans="1:12" ht="15" customHeight="1" x14ac:dyDescent="0.3">
      <c r="A924" s="4" t="s">
        <v>3901</v>
      </c>
      <c r="B924" s="4" t="s">
        <v>3902</v>
      </c>
      <c r="C924" s="4" t="s">
        <v>3903</v>
      </c>
      <c r="D924" s="4" t="s">
        <v>3904</v>
      </c>
      <c r="E924" s="4" t="s">
        <v>66</v>
      </c>
      <c r="F924" s="4" t="s">
        <v>3905</v>
      </c>
      <c r="G924" s="4" t="s">
        <v>138</v>
      </c>
      <c r="H924" s="4" t="s">
        <v>30</v>
      </c>
      <c r="I924" s="4" t="s">
        <v>93</v>
      </c>
      <c r="J924" s="4" t="s">
        <v>66</v>
      </c>
      <c r="K924" s="4" t="s">
        <v>3906</v>
      </c>
      <c r="L924" s="4" t="str">
        <f t="shared" si="14"/>
        <v>Different contact</v>
      </c>
    </row>
    <row r="925" spans="1:12" ht="15" customHeight="1" x14ac:dyDescent="0.3">
      <c r="A925" s="4" t="s">
        <v>3907</v>
      </c>
      <c r="B925" s="4" t="s">
        <v>3908</v>
      </c>
      <c r="C925" s="4" t="s">
        <v>3909</v>
      </c>
      <c r="D925" s="4" t="s">
        <v>3910</v>
      </c>
      <c r="E925" s="4" t="s">
        <v>91</v>
      </c>
      <c r="F925" s="4" t="s">
        <v>3911</v>
      </c>
      <c r="G925" s="4" t="s">
        <v>84</v>
      </c>
      <c r="H925" s="4" t="s">
        <v>68</v>
      </c>
      <c r="I925" s="4" t="s">
        <v>538</v>
      </c>
      <c r="J925" s="4" t="s">
        <v>94</v>
      </c>
      <c r="K925" s="4" t="s">
        <v>3912</v>
      </c>
      <c r="L925" s="4" t="str">
        <f t="shared" si="14"/>
        <v>Different owner &amp; contact</v>
      </c>
    </row>
    <row r="926" spans="1:12" ht="15" customHeight="1" x14ac:dyDescent="0.3">
      <c r="A926" s="4" t="s">
        <v>3907</v>
      </c>
      <c r="B926" s="4" t="s">
        <v>3908</v>
      </c>
      <c r="C926" s="4" t="s">
        <v>3913</v>
      </c>
      <c r="D926" s="4" t="s">
        <v>3910</v>
      </c>
      <c r="E926" s="4" t="s">
        <v>91</v>
      </c>
      <c r="F926" s="4" t="s">
        <v>3911</v>
      </c>
      <c r="G926" s="4" t="s">
        <v>84</v>
      </c>
      <c r="H926" s="4" t="s">
        <v>68</v>
      </c>
      <c r="I926" s="4" t="s">
        <v>538</v>
      </c>
      <c r="J926" s="4" t="s">
        <v>94</v>
      </c>
      <c r="K926" s="4" t="s">
        <v>3912</v>
      </c>
      <c r="L926" s="4" t="str">
        <f t="shared" si="14"/>
        <v>Different owner &amp; contact</v>
      </c>
    </row>
    <row r="927" spans="1:12" ht="15" customHeight="1" x14ac:dyDescent="0.3">
      <c r="A927" s="4" t="s">
        <v>3914</v>
      </c>
      <c r="B927" s="4" t="s">
        <v>3915</v>
      </c>
      <c r="C927" s="4" t="s">
        <v>3916</v>
      </c>
      <c r="D927" s="4"/>
      <c r="E927" s="4" t="s">
        <v>56</v>
      </c>
      <c r="F927" s="4" t="s">
        <v>3917</v>
      </c>
      <c r="G927" s="4" t="s">
        <v>84</v>
      </c>
      <c r="H927" s="4" t="s">
        <v>41</v>
      </c>
      <c r="I927" s="4" t="s">
        <v>85</v>
      </c>
      <c r="J927" s="4" t="s">
        <v>32</v>
      </c>
      <c r="K927" s="4" t="s">
        <v>3916</v>
      </c>
      <c r="L927" s="4" t="str">
        <f t="shared" si="14"/>
        <v>Different owner</v>
      </c>
    </row>
    <row r="928" spans="1:12" ht="15" customHeight="1" x14ac:dyDescent="0.3">
      <c r="A928" s="4" t="s">
        <v>3914</v>
      </c>
      <c r="B928" s="4" t="s">
        <v>3915</v>
      </c>
      <c r="C928" s="4"/>
      <c r="D928" s="4" t="s">
        <v>3918</v>
      </c>
      <c r="E928" s="4" t="s">
        <v>385</v>
      </c>
      <c r="F928" s="4" t="s">
        <v>3917</v>
      </c>
      <c r="G928" s="4" t="s">
        <v>84</v>
      </c>
      <c r="H928" s="4" t="s">
        <v>41</v>
      </c>
      <c r="I928" s="4" t="s">
        <v>85</v>
      </c>
      <c r="J928" s="4" t="s">
        <v>32</v>
      </c>
      <c r="K928" s="4" t="s">
        <v>3916</v>
      </c>
      <c r="L928" s="4" t="str">
        <f t="shared" si="14"/>
        <v>Different owner &amp; contact</v>
      </c>
    </row>
    <row r="929" spans="1:12" ht="15" customHeight="1" x14ac:dyDescent="0.3">
      <c r="A929" s="4" t="s">
        <v>3919</v>
      </c>
      <c r="B929" s="4" t="s">
        <v>3920</v>
      </c>
      <c r="C929" s="4" t="s">
        <v>3921</v>
      </c>
      <c r="D929" s="4" t="s">
        <v>3922</v>
      </c>
      <c r="E929" s="4" t="s">
        <v>91</v>
      </c>
      <c r="F929" s="4" t="s">
        <v>3923</v>
      </c>
      <c r="G929" s="4" t="s">
        <v>84</v>
      </c>
      <c r="H929" s="4" t="s">
        <v>41</v>
      </c>
      <c r="I929" s="4" t="s">
        <v>823</v>
      </c>
      <c r="J929" s="4" t="s">
        <v>32</v>
      </c>
      <c r="K929" s="4" t="s">
        <v>3921</v>
      </c>
      <c r="L929" s="4" t="str">
        <f t="shared" si="14"/>
        <v>Different owner</v>
      </c>
    </row>
    <row r="930" spans="1:12" ht="15" customHeight="1" x14ac:dyDescent="0.3">
      <c r="A930" s="4" t="s">
        <v>3924</v>
      </c>
      <c r="B930" s="4" t="s">
        <v>3925</v>
      </c>
      <c r="C930" s="4"/>
      <c r="D930" s="4" t="s">
        <v>3926</v>
      </c>
      <c r="E930" s="4" t="s">
        <v>385</v>
      </c>
      <c r="F930" s="4" t="s">
        <v>3927</v>
      </c>
      <c r="G930" s="4" t="s">
        <v>361</v>
      </c>
      <c r="H930" s="4" t="s">
        <v>41</v>
      </c>
      <c r="I930" s="4" t="s">
        <v>210</v>
      </c>
      <c r="J930" s="4" t="s">
        <v>32</v>
      </c>
      <c r="K930" s="4" t="s">
        <v>3442</v>
      </c>
      <c r="L930" s="4" t="str">
        <f t="shared" si="14"/>
        <v>Different owner &amp; contact</v>
      </c>
    </row>
    <row r="931" spans="1:12" ht="15" customHeight="1" x14ac:dyDescent="0.3">
      <c r="A931" s="4" t="s">
        <v>3928</v>
      </c>
      <c r="B931" s="4" t="s">
        <v>3929</v>
      </c>
      <c r="C931" s="4" t="s">
        <v>3930</v>
      </c>
      <c r="D931" s="4"/>
      <c r="E931" s="4" t="s">
        <v>27</v>
      </c>
      <c r="F931" s="4" t="s">
        <v>3931</v>
      </c>
      <c r="G931" s="4" t="s">
        <v>58</v>
      </c>
      <c r="H931" s="4" t="s">
        <v>41</v>
      </c>
      <c r="I931" s="4" t="s">
        <v>638</v>
      </c>
      <c r="J931" s="4" t="s">
        <v>394</v>
      </c>
      <c r="K931" s="4" t="s">
        <v>3932</v>
      </c>
      <c r="L931" s="4" t="str">
        <f t="shared" si="14"/>
        <v>Different owner &amp; contact</v>
      </c>
    </row>
    <row r="932" spans="1:12" ht="15" customHeight="1" x14ac:dyDescent="0.3">
      <c r="A932" s="4" t="s">
        <v>3933</v>
      </c>
      <c r="B932" s="4" t="s">
        <v>3929</v>
      </c>
      <c r="C932" s="4" t="s">
        <v>3934</v>
      </c>
      <c r="D932" s="4"/>
      <c r="E932" s="4" t="s">
        <v>343</v>
      </c>
      <c r="F932" s="4" t="s">
        <v>3931</v>
      </c>
      <c r="G932" s="4" t="s">
        <v>58</v>
      </c>
      <c r="H932" s="4" t="s">
        <v>41</v>
      </c>
      <c r="I932" s="4" t="s">
        <v>638</v>
      </c>
      <c r="J932" s="4" t="s">
        <v>394</v>
      </c>
      <c r="K932" s="4" t="s">
        <v>3932</v>
      </c>
      <c r="L932" s="4" t="str">
        <f t="shared" si="14"/>
        <v>Different owner &amp; contact</v>
      </c>
    </row>
    <row r="933" spans="1:12" ht="15" customHeight="1" x14ac:dyDescent="0.3">
      <c r="A933" s="4" t="s">
        <v>3935</v>
      </c>
      <c r="B933" s="4" t="s">
        <v>3929</v>
      </c>
      <c r="C933" s="4" t="s">
        <v>3936</v>
      </c>
      <c r="D933" s="4" t="s">
        <v>3937</v>
      </c>
      <c r="E933" s="4" t="s">
        <v>27</v>
      </c>
      <c r="F933" s="4" t="s">
        <v>3931</v>
      </c>
      <c r="G933" s="4" t="s">
        <v>58</v>
      </c>
      <c r="H933" s="4" t="s">
        <v>41</v>
      </c>
      <c r="I933" s="4" t="s">
        <v>638</v>
      </c>
      <c r="J933" s="4" t="s">
        <v>394</v>
      </c>
      <c r="K933" s="4" t="s">
        <v>3932</v>
      </c>
      <c r="L933" s="4" t="str">
        <f t="shared" si="14"/>
        <v>Different owner &amp; contact</v>
      </c>
    </row>
    <row r="934" spans="1:12" ht="15" customHeight="1" x14ac:dyDescent="0.3">
      <c r="A934" s="4" t="s">
        <v>3935</v>
      </c>
      <c r="B934" s="4" t="s">
        <v>3929</v>
      </c>
      <c r="C934" s="4" t="s">
        <v>3938</v>
      </c>
      <c r="D934" s="4" t="s">
        <v>3939</v>
      </c>
      <c r="E934" s="4" t="s">
        <v>27</v>
      </c>
      <c r="F934" s="4" t="s">
        <v>3931</v>
      </c>
      <c r="G934" s="4" t="s">
        <v>58</v>
      </c>
      <c r="H934" s="4" t="s">
        <v>41</v>
      </c>
      <c r="I934" s="4" t="s">
        <v>638</v>
      </c>
      <c r="J934" s="4" t="s">
        <v>394</v>
      </c>
      <c r="K934" s="4" t="s">
        <v>3932</v>
      </c>
      <c r="L934" s="4" t="str">
        <f t="shared" si="14"/>
        <v>Different owner &amp; contact</v>
      </c>
    </row>
    <row r="935" spans="1:12" ht="15" customHeight="1" x14ac:dyDescent="0.3">
      <c r="A935" s="4" t="s">
        <v>3940</v>
      </c>
      <c r="B935" s="4" t="s">
        <v>3929</v>
      </c>
      <c r="C935" s="4" t="s">
        <v>3941</v>
      </c>
      <c r="D935" s="4" t="s">
        <v>3942</v>
      </c>
      <c r="E935" s="4" t="s">
        <v>27</v>
      </c>
      <c r="F935" s="4" t="s">
        <v>3931</v>
      </c>
      <c r="G935" s="4" t="s">
        <v>58</v>
      </c>
      <c r="H935" s="4" t="s">
        <v>41</v>
      </c>
      <c r="I935" s="4" t="s">
        <v>638</v>
      </c>
      <c r="J935" s="4" t="s">
        <v>394</v>
      </c>
      <c r="K935" s="4" t="s">
        <v>3932</v>
      </c>
      <c r="L935" s="4" t="str">
        <f t="shared" si="14"/>
        <v>Different owner &amp; contact</v>
      </c>
    </row>
    <row r="936" spans="1:12" ht="15" customHeight="1" x14ac:dyDescent="0.3">
      <c r="A936" s="4" t="s">
        <v>3943</v>
      </c>
      <c r="B936" s="4" t="s">
        <v>3944</v>
      </c>
      <c r="C936" s="4" t="s">
        <v>3945</v>
      </c>
      <c r="D936" s="4"/>
      <c r="E936" s="4" t="s">
        <v>56</v>
      </c>
      <c r="F936" s="4" t="s">
        <v>3946</v>
      </c>
      <c r="G936" s="4" t="s">
        <v>58</v>
      </c>
      <c r="H936" s="4" t="s">
        <v>68</v>
      </c>
      <c r="I936" s="4" t="s">
        <v>1208</v>
      </c>
      <c r="J936" s="4" t="s">
        <v>32</v>
      </c>
      <c r="K936" s="4" t="s">
        <v>3947</v>
      </c>
      <c r="L936" s="4" t="str">
        <f t="shared" si="14"/>
        <v>Different owner &amp; contact</v>
      </c>
    </row>
    <row r="937" spans="1:12" ht="15" customHeight="1" x14ac:dyDescent="0.3">
      <c r="A937" s="4" t="s">
        <v>3948</v>
      </c>
      <c r="B937" s="4" t="s">
        <v>3949</v>
      </c>
      <c r="C937" s="4" t="s">
        <v>3950</v>
      </c>
      <c r="D937" s="4" t="s">
        <v>3951</v>
      </c>
      <c r="E937" s="4" t="s">
        <v>894</v>
      </c>
      <c r="F937" s="4" t="s">
        <v>3952</v>
      </c>
      <c r="G937" s="4" t="s">
        <v>138</v>
      </c>
      <c r="H937" s="4" t="s">
        <v>68</v>
      </c>
      <c r="I937" s="4" t="s">
        <v>299</v>
      </c>
      <c r="J937" s="4" t="s">
        <v>32</v>
      </c>
      <c r="K937" s="4" t="s">
        <v>3953</v>
      </c>
      <c r="L937" s="4" t="str">
        <f t="shared" si="14"/>
        <v>Different owner &amp; contact</v>
      </c>
    </row>
    <row r="938" spans="1:12" ht="15" customHeight="1" x14ac:dyDescent="0.3">
      <c r="A938" s="4" t="s">
        <v>3954</v>
      </c>
      <c r="B938" s="4" t="s">
        <v>3955</v>
      </c>
      <c r="C938" s="4" t="s">
        <v>3956</v>
      </c>
      <c r="D938" s="4" t="s">
        <v>3957</v>
      </c>
      <c r="E938" s="4" t="s">
        <v>27</v>
      </c>
      <c r="F938" s="4" t="s">
        <v>3958</v>
      </c>
      <c r="G938" s="4" t="s">
        <v>138</v>
      </c>
      <c r="H938" s="4" t="s">
        <v>68</v>
      </c>
      <c r="I938" s="4" t="s">
        <v>93</v>
      </c>
      <c r="J938" s="4" t="s">
        <v>102</v>
      </c>
      <c r="K938" s="4" t="s">
        <v>3959</v>
      </c>
      <c r="L938" s="4" t="str">
        <f t="shared" si="14"/>
        <v>Different owner &amp; contact</v>
      </c>
    </row>
    <row r="939" spans="1:12" ht="15" customHeight="1" x14ac:dyDescent="0.3">
      <c r="A939" s="4" t="s">
        <v>3960</v>
      </c>
      <c r="B939" s="4" t="s">
        <v>3961</v>
      </c>
      <c r="C939" s="4" t="s">
        <v>3962</v>
      </c>
      <c r="D939" s="4" t="s">
        <v>3963</v>
      </c>
      <c r="E939" s="4" t="s">
        <v>172</v>
      </c>
      <c r="F939" s="4" t="s">
        <v>3964</v>
      </c>
      <c r="G939" s="4" t="s">
        <v>58</v>
      </c>
      <c r="H939" s="4" t="s">
        <v>174</v>
      </c>
      <c r="I939" s="4" t="s">
        <v>3965</v>
      </c>
      <c r="J939" s="4" t="s">
        <v>176</v>
      </c>
      <c r="K939" s="4" t="s">
        <v>3966</v>
      </c>
      <c r="L939" s="4" t="str">
        <f t="shared" si="14"/>
        <v>Different owner &amp; contact</v>
      </c>
    </row>
    <row r="940" spans="1:12" ht="15" customHeight="1" x14ac:dyDescent="0.3">
      <c r="A940" s="4" t="s">
        <v>3967</v>
      </c>
      <c r="B940" s="4" t="s">
        <v>3961</v>
      </c>
      <c r="C940" s="4"/>
      <c r="D940" s="4" t="s">
        <v>3968</v>
      </c>
      <c r="E940" s="4" t="s">
        <v>172</v>
      </c>
      <c r="F940" s="4" t="s">
        <v>3964</v>
      </c>
      <c r="G940" s="4" t="s">
        <v>58</v>
      </c>
      <c r="H940" s="4" t="s">
        <v>174</v>
      </c>
      <c r="I940" s="4" t="s">
        <v>3965</v>
      </c>
      <c r="J940" s="4" t="s">
        <v>176</v>
      </c>
      <c r="K940" s="4" t="s">
        <v>3966</v>
      </c>
      <c r="L940" s="4" t="str">
        <f t="shared" si="14"/>
        <v>Different owner &amp; contact</v>
      </c>
    </row>
    <row r="941" spans="1:12" ht="15" customHeight="1" x14ac:dyDescent="0.3">
      <c r="A941" s="4" t="s">
        <v>3969</v>
      </c>
      <c r="B941" s="4" t="s">
        <v>3961</v>
      </c>
      <c r="C941" s="4"/>
      <c r="D941" s="4" t="s">
        <v>3970</v>
      </c>
      <c r="E941" s="4" t="s">
        <v>172</v>
      </c>
      <c r="F941" s="4" t="s">
        <v>3964</v>
      </c>
      <c r="G941" s="4" t="s">
        <v>58</v>
      </c>
      <c r="H941" s="4" t="s">
        <v>174</v>
      </c>
      <c r="I941" s="4" t="s">
        <v>3965</v>
      </c>
      <c r="J941" s="4" t="s">
        <v>176</v>
      </c>
      <c r="K941" s="4" t="s">
        <v>3966</v>
      </c>
      <c r="L941" s="4" t="str">
        <f t="shared" si="14"/>
        <v>Different owner &amp; contact</v>
      </c>
    </row>
    <row r="942" spans="1:12" ht="15" customHeight="1" x14ac:dyDescent="0.3">
      <c r="A942" s="4" t="s">
        <v>3971</v>
      </c>
      <c r="B942" s="4" t="s">
        <v>3972</v>
      </c>
      <c r="C942" s="4" t="s">
        <v>3973</v>
      </c>
      <c r="D942" s="4" t="s">
        <v>3974</v>
      </c>
      <c r="E942" s="4" t="s">
        <v>66</v>
      </c>
      <c r="F942" s="4" t="s">
        <v>3975</v>
      </c>
      <c r="G942" s="4" t="s">
        <v>40</v>
      </c>
      <c r="H942" s="4" t="s">
        <v>41</v>
      </c>
      <c r="I942" s="4" t="s">
        <v>516</v>
      </c>
      <c r="J942" s="4" t="s">
        <v>66</v>
      </c>
      <c r="K942" s="4" t="s">
        <v>3973</v>
      </c>
      <c r="L942" s="4" t="str">
        <f t="shared" si="14"/>
        <v>Match</v>
      </c>
    </row>
    <row r="943" spans="1:12" ht="15" customHeight="1" x14ac:dyDescent="0.3">
      <c r="A943" s="4" t="s">
        <v>3976</v>
      </c>
      <c r="B943" s="4" t="s">
        <v>3977</v>
      </c>
      <c r="C943" s="4" t="s">
        <v>3978</v>
      </c>
      <c r="D943" s="4" t="s">
        <v>3979</v>
      </c>
      <c r="E943" s="4" t="s">
        <v>91</v>
      </c>
      <c r="F943" s="4" t="s">
        <v>3980</v>
      </c>
      <c r="G943" s="4" t="s">
        <v>138</v>
      </c>
      <c r="H943" s="4" t="s">
        <v>41</v>
      </c>
      <c r="I943" s="4" t="s">
        <v>69</v>
      </c>
      <c r="J943" s="4" t="s">
        <v>32</v>
      </c>
      <c r="K943" s="4" t="s">
        <v>3978</v>
      </c>
      <c r="L943" s="4" t="str">
        <f t="shared" si="14"/>
        <v>Different owner</v>
      </c>
    </row>
    <row r="944" spans="1:12" ht="15" customHeight="1" x14ac:dyDescent="0.3">
      <c r="A944" s="4" t="s">
        <v>3981</v>
      </c>
      <c r="B944" s="4" t="s">
        <v>3982</v>
      </c>
      <c r="C944" s="4" t="s">
        <v>3983</v>
      </c>
      <c r="D944" s="4" t="s">
        <v>3984</v>
      </c>
      <c r="E944" s="4" t="s">
        <v>91</v>
      </c>
      <c r="F944" s="4" t="s">
        <v>3985</v>
      </c>
      <c r="G944" s="4" t="s">
        <v>29</v>
      </c>
      <c r="H944" s="4" t="s">
        <v>41</v>
      </c>
      <c r="I944" s="4" t="s">
        <v>3613</v>
      </c>
      <c r="J944" s="4" t="s">
        <v>32</v>
      </c>
      <c r="K944" s="4" t="s">
        <v>3983</v>
      </c>
      <c r="L944" s="4" t="str">
        <f t="shared" si="14"/>
        <v>Different owner</v>
      </c>
    </row>
    <row r="945" spans="1:12" ht="15" customHeight="1" x14ac:dyDescent="0.3">
      <c r="A945" s="4" t="s">
        <v>3986</v>
      </c>
      <c r="B945" s="4" t="s">
        <v>3987</v>
      </c>
      <c r="C945" s="4" t="s">
        <v>3988</v>
      </c>
      <c r="D945" s="4"/>
      <c r="E945" s="4" t="s">
        <v>27</v>
      </c>
      <c r="F945" s="4" t="s">
        <v>3989</v>
      </c>
      <c r="G945" s="4" t="s">
        <v>209</v>
      </c>
      <c r="H945" s="4" t="s">
        <v>68</v>
      </c>
      <c r="I945" s="4" t="s">
        <v>3990</v>
      </c>
      <c r="J945" s="4" t="s">
        <v>34</v>
      </c>
      <c r="K945" s="4" t="s">
        <v>3988</v>
      </c>
      <c r="L945" s="4" t="str">
        <f t="shared" si="14"/>
        <v>Different owner</v>
      </c>
    </row>
    <row r="946" spans="1:12" ht="15" customHeight="1" x14ac:dyDescent="0.3">
      <c r="A946" s="4" t="s">
        <v>3991</v>
      </c>
      <c r="B946" s="4" t="s">
        <v>3992</v>
      </c>
      <c r="C946" s="4"/>
      <c r="D946" s="4"/>
      <c r="E946" s="4" t="s">
        <v>34</v>
      </c>
      <c r="F946" s="4" t="s">
        <v>3993</v>
      </c>
      <c r="G946" s="4" t="s">
        <v>138</v>
      </c>
      <c r="H946" s="4" t="s">
        <v>68</v>
      </c>
      <c r="I946" s="4" t="s">
        <v>93</v>
      </c>
      <c r="J946" s="4" t="s">
        <v>34</v>
      </c>
      <c r="K946" s="4" t="s">
        <v>3994</v>
      </c>
      <c r="L946" s="4" t="str">
        <f t="shared" si="14"/>
        <v>Different contact</v>
      </c>
    </row>
    <row r="947" spans="1:12" ht="15" customHeight="1" x14ac:dyDescent="0.3">
      <c r="A947" s="4" t="s">
        <v>3995</v>
      </c>
      <c r="B947" s="4" t="s">
        <v>3996</v>
      </c>
      <c r="C947" s="4" t="s">
        <v>3997</v>
      </c>
      <c r="D947" s="4" t="s">
        <v>3998</v>
      </c>
      <c r="E947" s="4" t="s">
        <v>52</v>
      </c>
      <c r="F947" s="4" t="s">
        <v>3999</v>
      </c>
      <c r="G947" s="4" t="s">
        <v>209</v>
      </c>
      <c r="H947" s="4" t="s">
        <v>41</v>
      </c>
      <c r="I947" s="4" t="s">
        <v>638</v>
      </c>
      <c r="J947" s="4" t="s">
        <v>52</v>
      </c>
      <c r="K947" s="4" t="s">
        <v>4000</v>
      </c>
      <c r="L947" s="4" t="str">
        <f t="shared" si="14"/>
        <v>Different contact</v>
      </c>
    </row>
    <row r="948" spans="1:12" ht="15" customHeight="1" x14ac:dyDescent="0.3">
      <c r="A948" s="4" t="s">
        <v>4001</v>
      </c>
      <c r="B948" s="4" t="s">
        <v>4002</v>
      </c>
      <c r="C948" s="4" t="s">
        <v>4003</v>
      </c>
      <c r="D948" s="4" t="s">
        <v>4004</v>
      </c>
      <c r="E948" s="4" t="s">
        <v>52</v>
      </c>
      <c r="F948" s="4" t="s">
        <v>4005</v>
      </c>
      <c r="G948" s="4" t="s">
        <v>29</v>
      </c>
      <c r="H948" s="4" t="s">
        <v>41</v>
      </c>
      <c r="I948" s="4" t="s">
        <v>4006</v>
      </c>
      <c r="J948" s="4" t="s">
        <v>34</v>
      </c>
      <c r="K948" s="4" t="s">
        <v>4007</v>
      </c>
      <c r="L948" s="4" t="str">
        <f t="shared" si="14"/>
        <v>Different owner &amp; contact</v>
      </c>
    </row>
    <row r="949" spans="1:12" ht="15" customHeight="1" x14ac:dyDescent="0.3">
      <c r="A949" s="4" t="s">
        <v>4008</v>
      </c>
      <c r="B949" s="4" t="s">
        <v>4002</v>
      </c>
      <c r="C949" s="4"/>
      <c r="D949" s="4"/>
      <c r="E949" s="4" t="s">
        <v>34</v>
      </c>
      <c r="F949" s="4" t="s">
        <v>4005</v>
      </c>
      <c r="G949" s="4" t="s">
        <v>29</v>
      </c>
      <c r="H949" s="4" t="s">
        <v>41</v>
      </c>
      <c r="I949" s="4" t="s">
        <v>4006</v>
      </c>
      <c r="J949" s="4" t="s">
        <v>34</v>
      </c>
      <c r="K949" s="4" t="s">
        <v>4007</v>
      </c>
      <c r="L949" s="4" t="str">
        <f t="shared" si="14"/>
        <v>Different contact</v>
      </c>
    </row>
    <row r="950" spans="1:12" ht="15" customHeight="1" x14ac:dyDescent="0.3">
      <c r="A950" s="4" t="s">
        <v>4009</v>
      </c>
      <c r="B950" s="4" t="s">
        <v>4002</v>
      </c>
      <c r="C950" s="4"/>
      <c r="D950" s="4" t="s">
        <v>4010</v>
      </c>
      <c r="E950" s="4" t="s">
        <v>385</v>
      </c>
      <c r="F950" s="4" t="s">
        <v>4005</v>
      </c>
      <c r="G950" s="4" t="s">
        <v>29</v>
      </c>
      <c r="H950" s="4" t="s">
        <v>41</v>
      </c>
      <c r="I950" s="4" t="s">
        <v>4006</v>
      </c>
      <c r="J950" s="4" t="s">
        <v>34</v>
      </c>
      <c r="K950" s="4" t="s">
        <v>4007</v>
      </c>
      <c r="L950" s="4" t="str">
        <f t="shared" si="14"/>
        <v>Different owner &amp; contact</v>
      </c>
    </row>
    <row r="951" spans="1:12" ht="15" customHeight="1" x14ac:dyDescent="0.3">
      <c r="A951" s="4" t="s">
        <v>4011</v>
      </c>
      <c r="B951" s="4" t="s">
        <v>4012</v>
      </c>
      <c r="C951" s="4" t="s">
        <v>4013</v>
      </c>
      <c r="D951" s="4"/>
      <c r="E951" s="4" t="s">
        <v>52</v>
      </c>
      <c r="F951" s="4" t="s">
        <v>4014</v>
      </c>
      <c r="G951" s="4" t="s">
        <v>1326</v>
      </c>
      <c r="H951" s="4" t="s">
        <v>41</v>
      </c>
      <c r="I951" s="4" t="s">
        <v>1107</v>
      </c>
      <c r="J951" s="4" t="s">
        <v>52</v>
      </c>
      <c r="K951" s="4" t="s">
        <v>4013</v>
      </c>
      <c r="L951" s="4" t="str">
        <f t="shared" si="14"/>
        <v>Match</v>
      </c>
    </row>
    <row r="952" spans="1:12" ht="15" customHeight="1" x14ac:dyDescent="0.3">
      <c r="A952" s="4" t="s">
        <v>4015</v>
      </c>
      <c r="B952" s="4" t="s">
        <v>4016</v>
      </c>
      <c r="C952" s="4" t="s">
        <v>4017</v>
      </c>
      <c r="D952" s="4"/>
      <c r="E952" s="4" t="s">
        <v>52</v>
      </c>
      <c r="F952" s="4" t="s">
        <v>4018</v>
      </c>
      <c r="G952" s="4" t="s">
        <v>29</v>
      </c>
      <c r="H952" s="4" t="s">
        <v>41</v>
      </c>
      <c r="I952" s="4" t="s">
        <v>164</v>
      </c>
      <c r="J952" s="4" t="s">
        <v>102</v>
      </c>
      <c r="K952" s="4" t="s">
        <v>4017</v>
      </c>
      <c r="L952" s="4" t="str">
        <f t="shared" si="14"/>
        <v>Different owner</v>
      </c>
    </row>
    <row r="953" spans="1:12" ht="15" customHeight="1" x14ac:dyDescent="0.3">
      <c r="A953" s="4" t="s">
        <v>3124</v>
      </c>
      <c r="B953" s="4" t="s">
        <v>4019</v>
      </c>
      <c r="C953" s="4" t="s">
        <v>4020</v>
      </c>
      <c r="D953" s="4" t="s">
        <v>4021</v>
      </c>
      <c r="E953" s="4" t="s">
        <v>27</v>
      </c>
      <c r="F953" s="4" t="s">
        <v>4022</v>
      </c>
      <c r="G953" s="4" t="s">
        <v>29</v>
      </c>
      <c r="H953" s="4" t="s">
        <v>500</v>
      </c>
      <c r="I953" s="4" t="s">
        <v>1587</v>
      </c>
      <c r="J953" s="4" t="s">
        <v>34</v>
      </c>
      <c r="K953" s="4" t="s">
        <v>4023</v>
      </c>
      <c r="L953" s="4" t="str">
        <f t="shared" si="14"/>
        <v>Different owner &amp; contact</v>
      </c>
    </row>
    <row r="954" spans="1:12" ht="15" customHeight="1" x14ac:dyDescent="0.3">
      <c r="A954" s="4" t="s">
        <v>3124</v>
      </c>
      <c r="B954" s="4" t="s">
        <v>4019</v>
      </c>
      <c r="C954" s="4"/>
      <c r="D954" s="4"/>
      <c r="E954" s="4" t="s">
        <v>34</v>
      </c>
      <c r="F954" s="4" t="s">
        <v>4022</v>
      </c>
      <c r="G954" s="4" t="s">
        <v>29</v>
      </c>
      <c r="H954" s="4" t="s">
        <v>500</v>
      </c>
      <c r="I954" s="4" t="s">
        <v>1587</v>
      </c>
      <c r="J954" s="4" t="s">
        <v>34</v>
      </c>
      <c r="K954" s="4" t="s">
        <v>4023</v>
      </c>
      <c r="L954" s="4" t="str">
        <f t="shared" si="14"/>
        <v>Different contact</v>
      </c>
    </row>
    <row r="955" spans="1:12" ht="15" customHeight="1" x14ac:dyDescent="0.3">
      <c r="A955" s="4" t="s">
        <v>4024</v>
      </c>
      <c r="B955" s="4" t="s">
        <v>4025</v>
      </c>
      <c r="C955" s="4"/>
      <c r="D955" s="4" t="s">
        <v>4026</v>
      </c>
      <c r="E955" s="4" t="s">
        <v>32</v>
      </c>
      <c r="F955" s="4" t="s">
        <v>4027</v>
      </c>
      <c r="G955" s="4" t="s">
        <v>29</v>
      </c>
      <c r="H955" s="4" t="s">
        <v>68</v>
      </c>
      <c r="I955" s="4" t="s">
        <v>1083</v>
      </c>
      <c r="J955" s="4" t="s">
        <v>32</v>
      </c>
      <c r="K955" s="4" t="s">
        <v>4028</v>
      </c>
      <c r="L955" s="4" t="str">
        <f t="shared" si="14"/>
        <v>Different contact</v>
      </c>
    </row>
    <row r="956" spans="1:12" ht="15" customHeight="1" x14ac:dyDescent="0.3">
      <c r="A956" s="4" t="s">
        <v>4029</v>
      </c>
      <c r="B956" s="4" t="s">
        <v>4025</v>
      </c>
      <c r="C956" s="4" t="s">
        <v>4028</v>
      </c>
      <c r="D956" s="4"/>
      <c r="E956" s="4" t="s">
        <v>52</v>
      </c>
      <c r="F956" s="4" t="s">
        <v>4027</v>
      </c>
      <c r="G956" s="4" t="s">
        <v>29</v>
      </c>
      <c r="H956" s="4" t="s">
        <v>68</v>
      </c>
      <c r="I956" s="4" t="s">
        <v>1083</v>
      </c>
      <c r="J956" s="4" t="s">
        <v>32</v>
      </c>
      <c r="K956" s="4" t="s">
        <v>4028</v>
      </c>
      <c r="L956" s="4" t="str">
        <f t="shared" si="14"/>
        <v>Different owner</v>
      </c>
    </row>
    <row r="957" spans="1:12" ht="15" customHeight="1" x14ac:dyDescent="0.3">
      <c r="A957" s="4" t="s">
        <v>4030</v>
      </c>
      <c r="B957" s="4" t="s">
        <v>4025</v>
      </c>
      <c r="C957" s="4"/>
      <c r="D957" s="4"/>
      <c r="E957" s="4" t="s">
        <v>34</v>
      </c>
      <c r="F957" s="4" t="s">
        <v>4027</v>
      </c>
      <c r="G957" s="4" t="s">
        <v>29</v>
      </c>
      <c r="H957" s="4" t="s">
        <v>68</v>
      </c>
      <c r="I957" s="4" t="s">
        <v>1083</v>
      </c>
      <c r="J957" s="4" t="s">
        <v>32</v>
      </c>
      <c r="K957" s="4" t="s">
        <v>4028</v>
      </c>
      <c r="L957" s="4" t="str">
        <f t="shared" si="14"/>
        <v>Different owner &amp; contact</v>
      </c>
    </row>
    <row r="958" spans="1:12" ht="15" customHeight="1" x14ac:dyDescent="0.3">
      <c r="A958" s="4" t="s">
        <v>4031</v>
      </c>
      <c r="B958" s="4" t="s">
        <v>4032</v>
      </c>
      <c r="C958" s="4" t="s">
        <v>4033</v>
      </c>
      <c r="D958" s="4"/>
      <c r="E958" s="4" t="s">
        <v>343</v>
      </c>
      <c r="F958" s="4" t="s">
        <v>4034</v>
      </c>
      <c r="G958" s="4" t="s">
        <v>361</v>
      </c>
      <c r="H958" s="4" t="s">
        <v>50</v>
      </c>
      <c r="I958" s="4" t="s">
        <v>196</v>
      </c>
      <c r="J958" s="4" t="s">
        <v>114</v>
      </c>
      <c r="K958" s="4" t="s">
        <v>4033</v>
      </c>
      <c r="L958" s="4" t="str">
        <f t="shared" si="14"/>
        <v>Different owner</v>
      </c>
    </row>
    <row r="959" spans="1:12" ht="15" customHeight="1" x14ac:dyDescent="0.3">
      <c r="A959" s="4" t="s">
        <v>4035</v>
      </c>
      <c r="B959" s="4" t="s">
        <v>4036</v>
      </c>
      <c r="C959" s="4" t="s">
        <v>4037</v>
      </c>
      <c r="D959" s="4"/>
      <c r="E959" s="4" t="s">
        <v>66</v>
      </c>
      <c r="F959" s="4" t="s">
        <v>4038</v>
      </c>
      <c r="G959" s="4" t="s">
        <v>58</v>
      </c>
      <c r="H959" s="4" t="s">
        <v>41</v>
      </c>
      <c r="I959" s="4" t="s">
        <v>101</v>
      </c>
      <c r="J959" s="4" t="s">
        <v>32</v>
      </c>
      <c r="K959" s="4" t="s">
        <v>4039</v>
      </c>
      <c r="L959" s="4" t="str">
        <f t="shared" si="14"/>
        <v>Different owner &amp; contact</v>
      </c>
    </row>
    <row r="960" spans="1:12" ht="15" customHeight="1" x14ac:dyDescent="0.3">
      <c r="A960" s="4" t="s">
        <v>4040</v>
      </c>
      <c r="B960" s="4" t="s">
        <v>4036</v>
      </c>
      <c r="C960" s="4" t="s">
        <v>4041</v>
      </c>
      <c r="D960" s="4" t="s">
        <v>4042</v>
      </c>
      <c r="E960" s="4" t="s">
        <v>66</v>
      </c>
      <c r="F960" s="4" t="s">
        <v>4038</v>
      </c>
      <c r="G960" s="4" t="s">
        <v>58</v>
      </c>
      <c r="H960" s="4" t="s">
        <v>41</v>
      </c>
      <c r="I960" s="4" t="s">
        <v>101</v>
      </c>
      <c r="J960" s="4" t="s">
        <v>32</v>
      </c>
      <c r="K960" s="4" t="s">
        <v>4039</v>
      </c>
      <c r="L960" s="4" t="str">
        <f t="shared" si="14"/>
        <v>Different owner &amp; contact</v>
      </c>
    </row>
    <row r="961" spans="1:12" ht="15" customHeight="1" x14ac:dyDescent="0.3">
      <c r="A961" s="4" t="s">
        <v>4043</v>
      </c>
      <c r="B961" s="4" t="s">
        <v>4036</v>
      </c>
      <c r="C961" s="4" t="s">
        <v>4044</v>
      </c>
      <c r="D961" s="4" t="s">
        <v>4045</v>
      </c>
      <c r="E961" s="4" t="s">
        <v>66</v>
      </c>
      <c r="F961" s="4" t="s">
        <v>4038</v>
      </c>
      <c r="G961" s="4" t="s">
        <v>58</v>
      </c>
      <c r="H961" s="4" t="s">
        <v>41</v>
      </c>
      <c r="I961" s="4" t="s">
        <v>101</v>
      </c>
      <c r="J961" s="4" t="s">
        <v>32</v>
      </c>
      <c r="K961" s="4" t="s">
        <v>4039</v>
      </c>
      <c r="L961" s="4" t="str">
        <f t="shared" si="14"/>
        <v>Different owner &amp; contact</v>
      </c>
    </row>
    <row r="962" spans="1:12" ht="15" customHeight="1" x14ac:dyDescent="0.3">
      <c r="A962" s="4" t="s">
        <v>4046</v>
      </c>
      <c r="B962" s="4" t="s">
        <v>4047</v>
      </c>
      <c r="C962" s="4" t="s">
        <v>4048</v>
      </c>
      <c r="D962" s="4" t="s">
        <v>4049</v>
      </c>
      <c r="E962" s="4" t="s">
        <v>47</v>
      </c>
      <c r="F962" s="4" t="s">
        <v>4050</v>
      </c>
      <c r="G962" s="4" t="s">
        <v>1326</v>
      </c>
      <c r="H962" s="4" t="s">
        <v>41</v>
      </c>
      <c r="I962" s="4" t="s">
        <v>734</v>
      </c>
      <c r="J962" s="4" t="s">
        <v>32</v>
      </c>
      <c r="K962" s="4" t="s">
        <v>4051</v>
      </c>
      <c r="L962" s="4" t="str">
        <f t="shared" ref="L962:L1025" si="15">IF(AND(TRIM(LOWER(E962))=TRIM(LOWER(J962)),TRIM(LOWER(C962))=TRIM(LOWER(K962))),"Match",IF(AND(NOT(TRIM(LOWER(E962))=TRIM(LOWER(J962))),TRIM(LOWER(C962))=TRIM(LOWER(K962))),"Different owner",IF(AND(TRIM(LOWER(E962))=TRIM(LOWER(J962)),NOT(TRIM(LOWER(C962))=TRIM(LOWER(K962)))),"Different contact","Different owner &amp; contact")))</f>
        <v>Different owner &amp; contact</v>
      </c>
    </row>
    <row r="963" spans="1:12" ht="15" customHeight="1" x14ac:dyDescent="0.3">
      <c r="A963" s="4" t="s">
        <v>4052</v>
      </c>
      <c r="B963" s="4" t="s">
        <v>4047</v>
      </c>
      <c r="C963" s="4"/>
      <c r="D963" s="4" t="s">
        <v>4053</v>
      </c>
      <c r="E963" s="4" t="s">
        <v>34</v>
      </c>
      <c r="F963" s="4" t="s">
        <v>4050</v>
      </c>
      <c r="G963" s="4" t="s">
        <v>1326</v>
      </c>
      <c r="H963" s="4" t="s">
        <v>41</v>
      </c>
      <c r="I963" s="4" t="s">
        <v>734</v>
      </c>
      <c r="J963" s="4" t="s">
        <v>32</v>
      </c>
      <c r="K963" s="4" t="s">
        <v>4051</v>
      </c>
      <c r="L963" s="4" t="str">
        <f t="shared" si="15"/>
        <v>Different owner &amp; contact</v>
      </c>
    </row>
    <row r="964" spans="1:12" ht="15" customHeight="1" x14ac:dyDescent="0.3">
      <c r="A964" s="4" t="s">
        <v>4054</v>
      </c>
      <c r="B964" s="4" t="s">
        <v>4055</v>
      </c>
      <c r="C964" s="4" t="s">
        <v>4056</v>
      </c>
      <c r="D964" s="4"/>
      <c r="E964" s="4" t="s">
        <v>47</v>
      </c>
      <c r="F964" s="4" t="s">
        <v>4057</v>
      </c>
      <c r="G964" s="4" t="s">
        <v>124</v>
      </c>
      <c r="H964" s="4" t="s">
        <v>68</v>
      </c>
      <c r="I964" s="4" t="s">
        <v>714</v>
      </c>
      <c r="J964" s="4" t="s">
        <v>32</v>
      </c>
      <c r="K964" s="4" t="s">
        <v>4056</v>
      </c>
      <c r="L964" s="4" t="str">
        <f t="shared" si="15"/>
        <v>Different owner</v>
      </c>
    </row>
    <row r="965" spans="1:12" ht="15" customHeight="1" x14ac:dyDescent="0.3">
      <c r="A965" s="4" t="s">
        <v>4058</v>
      </c>
      <c r="B965" s="4" t="s">
        <v>4059</v>
      </c>
      <c r="C965" s="4" t="s">
        <v>4060</v>
      </c>
      <c r="D965" s="4"/>
      <c r="E965" s="4" t="s">
        <v>91</v>
      </c>
      <c r="F965" s="4" t="s">
        <v>4061</v>
      </c>
      <c r="G965" s="4" t="s">
        <v>49</v>
      </c>
      <c r="H965" s="4" t="s">
        <v>68</v>
      </c>
      <c r="I965" s="4" t="s">
        <v>93</v>
      </c>
      <c r="J965" s="4" t="s">
        <v>32</v>
      </c>
      <c r="K965" s="4" t="s">
        <v>4060</v>
      </c>
      <c r="L965" s="4" t="str">
        <f t="shared" si="15"/>
        <v>Different owner</v>
      </c>
    </row>
    <row r="966" spans="1:12" ht="15" customHeight="1" x14ac:dyDescent="0.3">
      <c r="A966" s="4" t="s">
        <v>4062</v>
      </c>
      <c r="B966" s="4" t="s">
        <v>4063</v>
      </c>
      <c r="C966" s="4" t="s">
        <v>4064</v>
      </c>
      <c r="D966" s="4"/>
      <c r="E966" s="4" t="s">
        <v>47</v>
      </c>
      <c r="F966" s="4" t="s">
        <v>4065</v>
      </c>
      <c r="G966" s="4" t="s">
        <v>29</v>
      </c>
      <c r="H966" s="4" t="s">
        <v>68</v>
      </c>
      <c r="I966" s="4" t="s">
        <v>101</v>
      </c>
      <c r="J966" s="4" t="s">
        <v>106</v>
      </c>
      <c r="K966" s="4" t="s">
        <v>4066</v>
      </c>
      <c r="L966" s="4" t="str">
        <f t="shared" si="15"/>
        <v>Different owner &amp; contact</v>
      </c>
    </row>
    <row r="967" spans="1:12" ht="15" customHeight="1" x14ac:dyDescent="0.3">
      <c r="A967" s="4" t="s">
        <v>4067</v>
      </c>
      <c r="B967" s="4" t="s">
        <v>4063</v>
      </c>
      <c r="C967" s="4" t="s">
        <v>4068</v>
      </c>
      <c r="D967" s="4" t="s">
        <v>4069</v>
      </c>
      <c r="E967" s="4" t="s">
        <v>91</v>
      </c>
      <c r="F967" s="4" t="s">
        <v>4065</v>
      </c>
      <c r="G967" s="4" t="s">
        <v>29</v>
      </c>
      <c r="H967" s="4" t="s">
        <v>68</v>
      </c>
      <c r="I967" s="4" t="s">
        <v>101</v>
      </c>
      <c r="J967" s="4" t="s">
        <v>106</v>
      </c>
      <c r="K967" s="4" t="s">
        <v>4066</v>
      </c>
      <c r="L967" s="4" t="str">
        <f t="shared" si="15"/>
        <v>Different owner &amp; contact</v>
      </c>
    </row>
    <row r="968" spans="1:12" ht="15" customHeight="1" x14ac:dyDescent="0.3">
      <c r="A968" s="4" t="s">
        <v>4070</v>
      </c>
      <c r="B968" s="4" t="s">
        <v>4071</v>
      </c>
      <c r="C968" s="4" t="s">
        <v>4072</v>
      </c>
      <c r="D968" s="4" t="s">
        <v>4073</v>
      </c>
      <c r="E968" s="4" t="s">
        <v>91</v>
      </c>
      <c r="F968" s="4" t="s">
        <v>4074</v>
      </c>
      <c r="G968" s="4" t="s">
        <v>29</v>
      </c>
      <c r="H968" s="4" t="s">
        <v>1106</v>
      </c>
      <c r="I968" s="4" t="s">
        <v>1107</v>
      </c>
      <c r="J968" s="4" t="s">
        <v>765</v>
      </c>
      <c r="K968" s="4" t="s">
        <v>4072</v>
      </c>
      <c r="L968" s="4" t="str">
        <f t="shared" si="15"/>
        <v>Different owner</v>
      </c>
    </row>
    <row r="969" spans="1:12" ht="15" customHeight="1" x14ac:dyDescent="0.3">
      <c r="A969" s="4" t="s">
        <v>2167</v>
      </c>
      <c r="B969" s="4" t="s">
        <v>4075</v>
      </c>
      <c r="C969" s="4" t="s">
        <v>4076</v>
      </c>
      <c r="D969" s="4" t="s">
        <v>4077</v>
      </c>
      <c r="E969" s="4" t="s">
        <v>52</v>
      </c>
      <c r="F969" s="4" t="s">
        <v>4078</v>
      </c>
      <c r="G969" s="4" t="s">
        <v>1326</v>
      </c>
      <c r="H969" s="4" t="s">
        <v>41</v>
      </c>
      <c r="I969" s="4" t="s">
        <v>101</v>
      </c>
      <c r="J969" s="4" t="s">
        <v>52</v>
      </c>
      <c r="K969" s="4" t="s">
        <v>4079</v>
      </c>
      <c r="L969" s="4" t="str">
        <f t="shared" si="15"/>
        <v>Different contact</v>
      </c>
    </row>
    <row r="970" spans="1:12" ht="15" customHeight="1" x14ac:dyDescent="0.3">
      <c r="A970" s="4" t="s">
        <v>4080</v>
      </c>
      <c r="B970" s="4" t="s">
        <v>4081</v>
      </c>
      <c r="C970" s="4" t="s">
        <v>4082</v>
      </c>
      <c r="D970" s="4"/>
      <c r="E970" s="4" t="s">
        <v>343</v>
      </c>
      <c r="F970" s="4" t="s">
        <v>4083</v>
      </c>
      <c r="G970" s="4" t="s">
        <v>58</v>
      </c>
      <c r="H970" s="4" t="s">
        <v>41</v>
      </c>
      <c r="I970" s="4" t="s">
        <v>149</v>
      </c>
      <c r="J970" s="4" t="s">
        <v>34</v>
      </c>
      <c r="K970" s="4" t="s">
        <v>4084</v>
      </c>
      <c r="L970" s="4" t="str">
        <f t="shared" si="15"/>
        <v>Different owner &amp; contact</v>
      </c>
    </row>
    <row r="971" spans="1:12" ht="15" customHeight="1" x14ac:dyDescent="0.3">
      <c r="A971" s="4" t="s">
        <v>4085</v>
      </c>
      <c r="B971" s="4" t="s">
        <v>4081</v>
      </c>
      <c r="C971" s="4" t="s">
        <v>4084</v>
      </c>
      <c r="D971" s="4"/>
      <c r="E971" s="4" t="s">
        <v>52</v>
      </c>
      <c r="F971" s="4" t="s">
        <v>4083</v>
      </c>
      <c r="G971" s="4" t="s">
        <v>58</v>
      </c>
      <c r="H971" s="4" t="s">
        <v>41</v>
      </c>
      <c r="I971" s="4" t="s">
        <v>149</v>
      </c>
      <c r="J971" s="4" t="s">
        <v>34</v>
      </c>
      <c r="K971" s="4" t="s">
        <v>4084</v>
      </c>
      <c r="L971" s="4" t="str">
        <f t="shared" si="15"/>
        <v>Different owner</v>
      </c>
    </row>
    <row r="972" spans="1:12" ht="15" customHeight="1" x14ac:dyDescent="0.3">
      <c r="A972" s="4" t="s">
        <v>4086</v>
      </c>
      <c r="B972" s="4" t="s">
        <v>4087</v>
      </c>
      <c r="C972" s="4" t="s">
        <v>4088</v>
      </c>
      <c r="D972" s="4" t="s">
        <v>4089</v>
      </c>
      <c r="E972" s="4" t="s">
        <v>91</v>
      </c>
      <c r="F972" s="4" t="s">
        <v>4090</v>
      </c>
      <c r="G972" s="4" t="s">
        <v>84</v>
      </c>
      <c r="H972" s="4" t="s">
        <v>68</v>
      </c>
      <c r="I972" s="4" t="s">
        <v>538</v>
      </c>
      <c r="J972" s="4" t="s">
        <v>94</v>
      </c>
      <c r="K972" s="4" t="s">
        <v>4091</v>
      </c>
      <c r="L972" s="4" t="str">
        <f t="shared" si="15"/>
        <v>Different owner &amp; contact</v>
      </c>
    </row>
    <row r="973" spans="1:12" ht="15" customHeight="1" x14ac:dyDescent="0.3">
      <c r="A973" s="4" t="s">
        <v>4092</v>
      </c>
      <c r="B973" s="4" t="s">
        <v>4093</v>
      </c>
      <c r="C973" s="4" t="s">
        <v>4094</v>
      </c>
      <c r="D973" s="4" t="s">
        <v>4095</v>
      </c>
      <c r="E973" s="4" t="s">
        <v>106</v>
      </c>
      <c r="F973" s="4" t="s">
        <v>4096</v>
      </c>
      <c r="G973" s="4" t="s">
        <v>29</v>
      </c>
      <c r="H973" s="4" t="s">
        <v>30</v>
      </c>
      <c r="I973" s="4" t="s">
        <v>101</v>
      </c>
      <c r="J973" s="4" t="s">
        <v>106</v>
      </c>
      <c r="K973" s="4" t="s">
        <v>4097</v>
      </c>
      <c r="L973" s="4" t="str">
        <f t="shared" si="15"/>
        <v>Different contact</v>
      </c>
    </row>
    <row r="974" spans="1:12" ht="15" customHeight="1" x14ac:dyDescent="0.3">
      <c r="A974" s="4" t="s">
        <v>4098</v>
      </c>
      <c r="B974" s="4" t="s">
        <v>4099</v>
      </c>
      <c r="C974" s="4" t="s">
        <v>4100</v>
      </c>
      <c r="D974" s="4" t="s">
        <v>4101</v>
      </c>
      <c r="E974" s="4" t="s">
        <v>27</v>
      </c>
      <c r="F974" s="4" t="s">
        <v>4102</v>
      </c>
      <c r="G974" s="4" t="s">
        <v>58</v>
      </c>
      <c r="H974" s="4" t="s">
        <v>41</v>
      </c>
      <c r="I974" s="4" t="s">
        <v>883</v>
      </c>
      <c r="J974" s="4" t="s">
        <v>52</v>
      </c>
      <c r="K974" s="4" t="s">
        <v>4103</v>
      </c>
      <c r="L974" s="4" t="str">
        <f t="shared" si="15"/>
        <v>Different owner &amp; contact</v>
      </c>
    </row>
    <row r="975" spans="1:12" ht="15" customHeight="1" x14ac:dyDescent="0.3">
      <c r="A975" s="4" t="s">
        <v>4104</v>
      </c>
      <c r="B975" s="4" t="s">
        <v>4105</v>
      </c>
      <c r="C975" s="4" t="s">
        <v>4106</v>
      </c>
      <c r="D975" s="4"/>
      <c r="E975" s="4" t="s">
        <v>172</v>
      </c>
      <c r="F975" s="4" t="s">
        <v>4107</v>
      </c>
      <c r="G975" s="4" t="s">
        <v>58</v>
      </c>
      <c r="H975" s="4" t="s">
        <v>174</v>
      </c>
      <c r="I975" s="4" t="s">
        <v>175</v>
      </c>
      <c r="J975" s="4" t="s">
        <v>176</v>
      </c>
      <c r="K975" s="4" t="s">
        <v>4108</v>
      </c>
      <c r="L975" s="4" t="str">
        <f t="shared" si="15"/>
        <v>Different owner &amp; contact</v>
      </c>
    </row>
    <row r="976" spans="1:12" ht="15" customHeight="1" x14ac:dyDescent="0.3">
      <c r="A976" s="4" t="s">
        <v>4109</v>
      </c>
      <c r="B976" s="4" t="s">
        <v>4105</v>
      </c>
      <c r="C976" s="4" t="s">
        <v>4110</v>
      </c>
      <c r="D976" s="4" t="s">
        <v>4111</v>
      </c>
      <c r="E976" s="4" t="s">
        <v>172</v>
      </c>
      <c r="F976" s="4" t="s">
        <v>4107</v>
      </c>
      <c r="G976" s="4" t="s">
        <v>58</v>
      </c>
      <c r="H976" s="4" t="s">
        <v>174</v>
      </c>
      <c r="I976" s="4" t="s">
        <v>175</v>
      </c>
      <c r="J976" s="4" t="s">
        <v>176</v>
      </c>
      <c r="K976" s="4" t="s">
        <v>4108</v>
      </c>
      <c r="L976" s="4" t="str">
        <f t="shared" si="15"/>
        <v>Different owner &amp; contact</v>
      </c>
    </row>
    <row r="977" spans="1:12" ht="15" customHeight="1" x14ac:dyDescent="0.3">
      <c r="A977" s="4" t="s">
        <v>4112</v>
      </c>
      <c r="B977" s="4" t="s">
        <v>4113</v>
      </c>
      <c r="C977" s="4" t="s">
        <v>4114</v>
      </c>
      <c r="D977" s="4"/>
      <c r="E977" s="4" t="s">
        <v>56</v>
      </c>
      <c r="F977" s="4" t="s">
        <v>4115</v>
      </c>
      <c r="G977" s="4" t="s">
        <v>58</v>
      </c>
      <c r="H977" s="4" t="s">
        <v>1603</v>
      </c>
      <c r="I977" s="4" t="s">
        <v>432</v>
      </c>
      <c r="J977" s="4" t="s">
        <v>32</v>
      </c>
      <c r="K977" s="4" t="s">
        <v>4116</v>
      </c>
      <c r="L977" s="4" t="str">
        <f t="shared" si="15"/>
        <v>Different owner &amp; contact</v>
      </c>
    </row>
    <row r="978" spans="1:12" ht="15" customHeight="1" x14ac:dyDescent="0.3">
      <c r="A978" s="4" t="s">
        <v>4112</v>
      </c>
      <c r="B978" s="4" t="s">
        <v>4113</v>
      </c>
      <c r="C978" s="4" t="s">
        <v>4116</v>
      </c>
      <c r="D978" s="4"/>
      <c r="E978" s="4" t="s">
        <v>343</v>
      </c>
      <c r="F978" s="4" t="s">
        <v>4115</v>
      </c>
      <c r="G978" s="4" t="s">
        <v>58</v>
      </c>
      <c r="H978" s="4" t="s">
        <v>1603</v>
      </c>
      <c r="I978" s="4" t="s">
        <v>432</v>
      </c>
      <c r="J978" s="4" t="s">
        <v>32</v>
      </c>
      <c r="K978" s="4" t="s">
        <v>4116</v>
      </c>
      <c r="L978" s="4" t="str">
        <f t="shared" si="15"/>
        <v>Different owner</v>
      </c>
    </row>
    <row r="979" spans="1:12" ht="15" customHeight="1" x14ac:dyDescent="0.3">
      <c r="A979" s="4" t="s">
        <v>4117</v>
      </c>
      <c r="B979" s="4" t="s">
        <v>4113</v>
      </c>
      <c r="C979" s="4"/>
      <c r="D979" s="4"/>
      <c r="E979" s="4" t="s">
        <v>56</v>
      </c>
      <c r="F979" s="4" t="s">
        <v>4115</v>
      </c>
      <c r="G979" s="4" t="s">
        <v>58</v>
      </c>
      <c r="H979" s="4" t="s">
        <v>1603</v>
      </c>
      <c r="I979" s="4" t="s">
        <v>432</v>
      </c>
      <c r="J979" s="4" t="s">
        <v>32</v>
      </c>
      <c r="K979" s="4" t="s">
        <v>4116</v>
      </c>
      <c r="L979" s="4" t="str">
        <f t="shared" si="15"/>
        <v>Different owner &amp; contact</v>
      </c>
    </row>
    <row r="980" spans="1:12" ht="15" customHeight="1" x14ac:dyDescent="0.3">
      <c r="A980" s="4" t="s">
        <v>4118</v>
      </c>
      <c r="B980" s="4" t="s">
        <v>4119</v>
      </c>
      <c r="C980" s="4" t="s">
        <v>4120</v>
      </c>
      <c r="D980" s="4"/>
      <c r="E980" s="4" t="s">
        <v>343</v>
      </c>
      <c r="F980" s="4" t="s">
        <v>4121</v>
      </c>
      <c r="G980" s="4" t="s">
        <v>58</v>
      </c>
      <c r="H980" s="4" t="s">
        <v>68</v>
      </c>
      <c r="I980" s="4" t="s">
        <v>538</v>
      </c>
      <c r="J980" s="4" t="s">
        <v>32</v>
      </c>
      <c r="K980" s="4" t="s">
        <v>4122</v>
      </c>
      <c r="L980" s="4" t="str">
        <f t="shared" si="15"/>
        <v>Different owner &amp; contact</v>
      </c>
    </row>
    <row r="981" spans="1:12" ht="15" customHeight="1" x14ac:dyDescent="0.3">
      <c r="A981" s="4" t="s">
        <v>4123</v>
      </c>
      <c r="B981" s="4" t="s">
        <v>4124</v>
      </c>
      <c r="C981" s="4" t="s">
        <v>4125</v>
      </c>
      <c r="D981" s="4" t="s">
        <v>1365</v>
      </c>
      <c r="E981" s="4" t="s">
        <v>52</v>
      </c>
      <c r="F981" s="4" t="s">
        <v>4126</v>
      </c>
      <c r="G981" s="4" t="s">
        <v>58</v>
      </c>
      <c r="H981" s="4" t="s">
        <v>41</v>
      </c>
      <c r="I981" s="4" t="s">
        <v>69</v>
      </c>
      <c r="J981" s="4" t="s">
        <v>52</v>
      </c>
      <c r="K981" s="4" t="s">
        <v>4127</v>
      </c>
      <c r="L981" s="4" t="str">
        <f t="shared" si="15"/>
        <v>Different contact</v>
      </c>
    </row>
    <row r="982" spans="1:12" ht="15" customHeight="1" x14ac:dyDescent="0.3">
      <c r="A982" s="4" t="s">
        <v>4123</v>
      </c>
      <c r="B982" s="4" t="s">
        <v>4124</v>
      </c>
      <c r="C982" s="4" t="s">
        <v>4128</v>
      </c>
      <c r="D982" s="4"/>
      <c r="E982" s="4" t="s">
        <v>343</v>
      </c>
      <c r="F982" s="4" t="s">
        <v>4126</v>
      </c>
      <c r="G982" s="4" t="s">
        <v>58</v>
      </c>
      <c r="H982" s="4" t="s">
        <v>41</v>
      </c>
      <c r="I982" s="4" t="s">
        <v>69</v>
      </c>
      <c r="J982" s="4" t="s">
        <v>52</v>
      </c>
      <c r="K982" s="4" t="s">
        <v>4127</v>
      </c>
      <c r="L982" s="4" t="str">
        <f t="shared" si="15"/>
        <v>Different owner &amp; contact</v>
      </c>
    </row>
    <row r="983" spans="1:12" ht="15" customHeight="1" x14ac:dyDescent="0.3">
      <c r="A983" s="4" t="s">
        <v>4129</v>
      </c>
      <c r="B983" s="4" t="s">
        <v>4124</v>
      </c>
      <c r="C983" s="4" t="s">
        <v>4130</v>
      </c>
      <c r="D983" s="4"/>
      <c r="E983" s="4" t="s">
        <v>52</v>
      </c>
      <c r="F983" s="4" t="s">
        <v>4126</v>
      </c>
      <c r="G983" s="4" t="s">
        <v>58</v>
      </c>
      <c r="H983" s="4" t="s">
        <v>41</v>
      </c>
      <c r="I983" s="4" t="s">
        <v>69</v>
      </c>
      <c r="J983" s="4" t="s">
        <v>52</v>
      </c>
      <c r="K983" s="4" t="s">
        <v>4127</v>
      </c>
      <c r="L983" s="4" t="str">
        <f t="shared" si="15"/>
        <v>Different contact</v>
      </c>
    </row>
    <row r="984" spans="1:12" ht="15" customHeight="1" x14ac:dyDescent="0.3">
      <c r="A984" s="4" t="s">
        <v>4131</v>
      </c>
      <c r="B984" s="4" t="s">
        <v>4132</v>
      </c>
      <c r="C984" s="4" t="s">
        <v>4133</v>
      </c>
      <c r="D984" s="4"/>
      <c r="E984" s="4" t="s">
        <v>91</v>
      </c>
      <c r="F984" s="4" t="s">
        <v>4134</v>
      </c>
      <c r="G984" s="4" t="s">
        <v>29</v>
      </c>
      <c r="H984" s="4" t="s">
        <v>41</v>
      </c>
      <c r="I984" s="4" t="s">
        <v>59</v>
      </c>
      <c r="J984" s="4" t="s">
        <v>94</v>
      </c>
      <c r="K984" s="4" t="s">
        <v>4133</v>
      </c>
      <c r="L984" s="4" t="str">
        <f t="shared" si="15"/>
        <v>Different owner</v>
      </c>
    </row>
    <row r="985" spans="1:12" ht="15" customHeight="1" x14ac:dyDescent="0.3">
      <c r="A985" s="4" t="s">
        <v>4135</v>
      </c>
      <c r="B985" s="4" t="s">
        <v>4136</v>
      </c>
      <c r="C985" s="4" t="s">
        <v>4137</v>
      </c>
      <c r="D985" s="4" t="s">
        <v>4138</v>
      </c>
      <c r="E985" s="4" t="s">
        <v>91</v>
      </c>
      <c r="F985" s="4" t="s">
        <v>4139</v>
      </c>
      <c r="G985" s="4" t="s">
        <v>1326</v>
      </c>
      <c r="H985" s="4" t="s">
        <v>30</v>
      </c>
      <c r="I985" s="4" t="s">
        <v>228</v>
      </c>
      <c r="J985" s="4" t="s">
        <v>102</v>
      </c>
      <c r="K985" s="4" t="s">
        <v>4140</v>
      </c>
      <c r="L985" s="4" t="str">
        <f t="shared" si="15"/>
        <v>Different owner &amp; contact</v>
      </c>
    </row>
    <row r="986" spans="1:12" ht="15" customHeight="1" x14ac:dyDescent="0.3">
      <c r="A986" s="4" t="s">
        <v>4141</v>
      </c>
      <c r="B986" s="4" t="s">
        <v>4142</v>
      </c>
      <c r="C986" s="4" t="s">
        <v>4143</v>
      </c>
      <c r="D986" s="4" t="s">
        <v>4144</v>
      </c>
      <c r="E986" s="4" t="s">
        <v>106</v>
      </c>
      <c r="F986" s="4" t="s">
        <v>4145</v>
      </c>
      <c r="G986" s="4" t="s">
        <v>577</v>
      </c>
      <c r="H986" s="4" t="s">
        <v>41</v>
      </c>
      <c r="I986" s="4" t="s">
        <v>228</v>
      </c>
      <c r="J986" s="4" t="s">
        <v>32</v>
      </c>
      <c r="K986" s="4" t="s">
        <v>4146</v>
      </c>
      <c r="L986" s="4" t="str">
        <f t="shared" si="15"/>
        <v>Different owner &amp; contact</v>
      </c>
    </row>
    <row r="987" spans="1:12" ht="15" customHeight="1" x14ac:dyDescent="0.3">
      <c r="A987" s="4" t="s">
        <v>4147</v>
      </c>
      <c r="B987" s="4" t="s">
        <v>4148</v>
      </c>
      <c r="C987" s="4" t="s">
        <v>4149</v>
      </c>
      <c r="D987" s="4" t="s">
        <v>4150</v>
      </c>
      <c r="E987" s="4" t="s">
        <v>66</v>
      </c>
      <c r="F987" s="4" t="s">
        <v>4151</v>
      </c>
      <c r="G987" s="4" t="s">
        <v>40</v>
      </c>
      <c r="H987" s="4" t="s">
        <v>30</v>
      </c>
      <c r="I987" s="4" t="s">
        <v>125</v>
      </c>
      <c r="J987" s="4" t="s">
        <v>32</v>
      </c>
      <c r="K987" s="4" t="s">
        <v>4149</v>
      </c>
      <c r="L987" s="4" t="str">
        <f t="shared" si="15"/>
        <v>Different owner</v>
      </c>
    </row>
    <row r="988" spans="1:12" ht="15" customHeight="1" x14ac:dyDescent="0.3">
      <c r="A988" s="4" t="s">
        <v>4152</v>
      </c>
      <c r="B988" s="4" t="s">
        <v>4153</v>
      </c>
      <c r="C988" s="4" t="s">
        <v>4154</v>
      </c>
      <c r="D988" s="4" t="s">
        <v>4155</v>
      </c>
      <c r="E988" s="4" t="s">
        <v>172</v>
      </c>
      <c r="F988" s="4" t="s">
        <v>4156</v>
      </c>
      <c r="G988" s="4" t="s">
        <v>361</v>
      </c>
      <c r="H988" s="4" t="s">
        <v>174</v>
      </c>
      <c r="I988" s="4" t="s">
        <v>175</v>
      </c>
      <c r="J988" s="4" t="s">
        <v>176</v>
      </c>
      <c r="K988" s="4" t="s">
        <v>4157</v>
      </c>
      <c r="L988" s="4" t="str">
        <f t="shared" si="15"/>
        <v>Different owner &amp; contact</v>
      </c>
    </row>
    <row r="989" spans="1:12" ht="15" customHeight="1" x14ac:dyDescent="0.3">
      <c r="A989" s="4" t="s">
        <v>4158</v>
      </c>
      <c r="B989" s="4" t="s">
        <v>4159</v>
      </c>
      <c r="C989" s="4" t="s">
        <v>4160</v>
      </c>
      <c r="D989" s="4"/>
      <c r="E989" s="4" t="s">
        <v>66</v>
      </c>
      <c r="F989" s="4" t="s">
        <v>4161</v>
      </c>
      <c r="G989" s="4" t="s">
        <v>40</v>
      </c>
      <c r="H989" s="4" t="s">
        <v>68</v>
      </c>
      <c r="I989" s="4" t="s">
        <v>538</v>
      </c>
      <c r="J989" s="4" t="s">
        <v>32</v>
      </c>
      <c r="K989" s="4" t="s">
        <v>4160</v>
      </c>
      <c r="L989" s="4" t="str">
        <f t="shared" si="15"/>
        <v>Different owner</v>
      </c>
    </row>
    <row r="990" spans="1:12" ht="15" customHeight="1" x14ac:dyDescent="0.3">
      <c r="A990" s="4" t="s">
        <v>4162</v>
      </c>
      <c r="B990" s="4" t="s">
        <v>4163</v>
      </c>
      <c r="C990" s="4" t="s">
        <v>4164</v>
      </c>
      <c r="D990" s="4" t="s">
        <v>4165</v>
      </c>
      <c r="E990" s="4" t="s">
        <v>91</v>
      </c>
      <c r="F990" s="4" t="s">
        <v>4166</v>
      </c>
      <c r="G990" s="4" t="s">
        <v>29</v>
      </c>
      <c r="H990" s="4" t="s">
        <v>41</v>
      </c>
      <c r="I990" s="4" t="s">
        <v>101</v>
      </c>
      <c r="J990" s="4" t="s">
        <v>94</v>
      </c>
      <c r="K990" s="4" t="s">
        <v>4164</v>
      </c>
      <c r="L990" s="4" t="str">
        <f t="shared" si="15"/>
        <v>Different owner</v>
      </c>
    </row>
    <row r="991" spans="1:12" ht="15" customHeight="1" x14ac:dyDescent="0.3">
      <c r="A991" s="4" t="s">
        <v>4167</v>
      </c>
      <c r="B991" s="4" t="s">
        <v>4168</v>
      </c>
      <c r="C991" s="4" t="s">
        <v>4169</v>
      </c>
      <c r="D991" s="4" t="s">
        <v>4170</v>
      </c>
      <c r="E991" s="4" t="s">
        <v>52</v>
      </c>
      <c r="F991" s="4" t="s">
        <v>4171</v>
      </c>
      <c r="G991" s="4" t="s">
        <v>138</v>
      </c>
      <c r="H991" s="4" t="s">
        <v>68</v>
      </c>
      <c r="I991" s="4" t="s">
        <v>1089</v>
      </c>
      <c r="J991" s="4" t="s">
        <v>102</v>
      </c>
      <c r="K991" s="4" t="s">
        <v>4169</v>
      </c>
      <c r="L991" s="4" t="str">
        <f t="shared" si="15"/>
        <v>Different owner</v>
      </c>
    </row>
    <row r="992" spans="1:12" ht="15" customHeight="1" x14ac:dyDescent="0.3">
      <c r="A992" s="4" t="s">
        <v>4172</v>
      </c>
      <c r="B992" s="4" t="s">
        <v>4173</v>
      </c>
      <c r="C992" s="4" t="s">
        <v>4174</v>
      </c>
      <c r="D992" s="4"/>
      <c r="E992" s="4" t="s">
        <v>343</v>
      </c>
      <c r="F992" s="4" t="s">
        <v>4175</v>
      </c>
      <c r="G992" s="4" t="s">
        <v>361</v>
      </c>
      <c r="H992" s="4" t="s">
        <v>41</v>
      </c>
      <c r="I992" s="4" t="s">
        <v>210</v>
      </c>
      <c r="J992" s="4" t="s">
        <v>32</v>
      </c>
      <c r="K992" s="4" t="s">
        <v>4174</v>
      </c>
      <c r="L992" s="4" t="str">
        <f t="shared" si="15"/>
        <v>Different owner</v>
      </c>
    </row>
    <row r="993" spans="1:12" ht="15" customHeight="1" x14ac:dyDescent="0.3">
      <c r="A993" s="4" t="s">
        <v>4176</v>
      </c>
      <c r="B993" s="4" t="s">
        <v>4173</v>
      </c>
      <c r="C993" s="4"/>
      <c r="D993" s="4" t="s">
        <v>4177</v>
      </c>
      <c r="E993" s="4" t="s">
        <v>32</v>
      </c>
      <c r="F993" s="4" t="s">
        <v>4175</v>
      </c>
      <c r="G993" s="4" t="s">
        <v>361</v>
      </c>
      <c r="H993" s="4" t="s">
        <v>41</v>
      </c>
      <c r="I993" s="4" t="s">
        <v>210</v>
      </c>
      <c r="J993" s="4" t="s">
        <v>32</v>
      </c>
      <c r="K993" s="4" t="s">
        <v>4174</v>
      </c>
      <c r="L993" s="4" t="str">
        <f t="shared" si="15"/>
        <v>Different contact</v>
      </c>
    </row>
    <row r="994" spans="1:12" ht="15" customHeight="1" x14ac:dyDescent="0.3">
      <c r="A994" s="4" t="s">
        <v>4178</v>
      </c>
      <c r="B994" s="4" t="s">
        <v>4179</v>
      </c>
      <c r="C994" s="4" t="s">
        <v>4180</v>
      </c>
      <c r="D994" s="4" t="s">
        <v>4181</v>
      </c>
      <c r="E994" s="4" t="s">
        <v>91</v>
      </c>
      <c r="F994" s="4" t="s">
        <v>4182</v>
      </c>
      <c r="G994" s="4" t="s">
        <v>138</v>
      </c>
      <c r="H994" s="4" t="s">
        <v>68</v>
      </c>
      <c r="I994" s="4"/>
      <c r="J994" s="4" t="s">
        <v>94</v>
      </c>
      <c r="K994" s="4" t="s">
        <v>4180</v>
      </c>
      <c r="L994" s="4" t="str">
        <f t="shared" si="15"/>
        <v>Different owner</v>
      </c>
    </row>
    <row r="995" spans="1:12" ht="15" customHeight="1" x14ac:dyDescent="0.3">
      <c r="A995" s="4" t="s">
        <v>4183</v>
      </c>
      <c r="B995" s="4" t="s">
        <v>4184</v>
      </c>
      <c r="C995" s="4" t="s">
        <v>4185</v>
      </c>
      <c r="D995" s="4" t="s">
        <v>4186</v>
      </c>
      <c r="E995" s="4" t="s">
        <v>114</v>
      </c>
      <c r="F995" s="4" t="s">
        <v>4187</v>
      </c>
      <c r="G995" s="4" t="s">
        <v>58</v>
      </c>
      <c r="H995" s="4" t="s">
        <v>50</v>
      </c>
      <c r="I995" s="4" t="s">
        <v>196</v>
      </c>
      <c r="J995" s="4" t="s">
        <v>114</v>
      </c>
      <c r="K995" s="4" t="s">
        <v>4185</v>
      </c>
      <c r="L995" s="4" t="str">
        <f t="shared" si="15"/>
        <v>Match</v>
      </c>
    </row>
    <row r="996" spans="1:12" ht="15" customHeight="1" x14ac:dyDescent="0.3">
      <c r="A996" s="4" t="s">
        <v>4188</v>
      </c>
      <c r="B996" s="4" t="s">
        <v>4189</v>
      </c>
      <c r="C996" s="4" t="s">
        <v>4190</v>
      </c>
      <c r="D996" s="4"/>
      <c r="E996" s="4" t="s">
        <v>91</v>
      </c>
      <c r="F996" s="4" t="s">
        <v>4191</v>
      </c>
      <c r="G996" s="4" t="s">
        <v>49</v>
      </c>
      <c r="H996" s="4" t="s">
        <v>68</v>
      </c>
      <c r="I996" s="4" t="s">
        <v>570</v>
      </c>
      <c r="J996" s="4" t="s">
        <v>32</v>
      </c>
      <c r="K996" s="4" t="s">
        <v>4192</v>
      </c>
      <c r="L996" s="4" t="str">
        <f t="shared" si="15"/>
        <v>Different owner &amp; contact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Matched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Kithome</cp:lastModifiedBy>
  <cp:revision>2</cp:revision>
  <dcterms:created xsi:type="dcterms:W3CDTF">2026-07-21T08:54:51Z</dcterms:created>
  <dcterms:modified xsi:type="dcterms:W3CDTF">2026-07-21T12:13:20Z</dcterms:modified>
  <dc:language>en-US</dc:language>
</cp:coreProperties>
</file>