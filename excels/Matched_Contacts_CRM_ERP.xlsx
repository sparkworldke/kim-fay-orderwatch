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atched Contac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<sst xmlns="http://schemas.openxmlformats.org/spreadsheetml/2006/main" count="10369" uniqueCount="4191">
  <si>
    <t xml:space="preserve">CRM × ERP Matched Contacts Summary</t>
  </si>
  <si>
    <t xml:space="preserve">Contacts present in both the CRM contact list and the active ERP customer list, matched by account/customer name.</t>
  </si>
  <si>
    <t xml:space="preserve">Metric</t>
  </si>
  <si>
    <t xml:space="preserve">Count</t>
  </si>
  <si>
    <t xml:space="preserve">% of matched</t>
  </si>
  <si>
    <t xml:space="preserve">Matched contacts (this sheet)</t>
  </si>
  <si>
    <t xml:space="preserve">Unique accounts represented</t>
  </si>
  <si>
    <t xml:space="preserve">Owner match (CRM = ERP rep)</t>
  </si>
  <si>
    <t xml:space="preserve">Owner different</t>
  </si>
  <si>
    <t xml:space="preserve">Contact Name</t>
  </si>
  <si>
    <t xml:space="preserve">Account Name</t>
  </si>
  <si>
    <t xml:space="preserve">Contact Email</t>
  </si>
  <si>
    <t xml:space="preserve">Contact Phone</t>
  </si>
  <si>
    <t xml:space="preserve">CRM Contact Owner</t>
  </si>
  <si>
    <t xml:space="preserve">Customer ID</t>
  </si>
  <si>
    <t xml:space="preserve">Customer Class</t>
  </si>
  <si>
    <t xml:space="preserve">Customer Region</t>
  </si>
  <si>
    <t xml:space="preserve">Route Name</t>
  </si>
  <si>
    <t xml:space="preserve">ERP Sales Rep</t>
  </si>
  <si>
    <t xml:space="preserve">ERP Account Email</t>
  </si>
  <si>
    <t xml:space="preserve">Owner Match</t>
  </si>
  <si>
    <t xml:space="preserve">Faith Aganda</t>
  </si>
  <si>
    <t xml:space="preserve">254 Brewing Company</t>
  </si>
  <si>
    <t xml:space="preserve">procurement@global-slacker.com</t>
  </si>
  <si>
    <t xml:space="preserve">0726150112</t>
  </si>
  <si>
    <t xml:space="preserve">Susan Ngina</t>
  </si>
  <si>
    <t xml:space="preserve">CUST102400</t>
  </si>
  <si>
    <t xml:space="preserve">KPSERVICE</t>
  </si>
  <si>
    <t xml:space="preserve">Nairobi Central</t>
  </si>
  <si>
    <t xml:space="preserve">Kikuyu Town</t>
  </si>
  <si>
    <t xml:space="preserve">Diana Wendy</t>
  </si>
  <si>
    <t xml:space="preserve">Lilian</t>
  </si>
  <si>
    <t xml:space="preserve">Berna Piwang</t>
  </si>
  <si>
    <t xml:space="preserve">Samantha</t>
  </si>
  <si>
    <t xml:space="preserve">Mercy Wamboi</t>
  </si>
  <si>
    <t xml:space="preserve">5Th Avenue Management Office</t>
  </si>
  <si>
    <t xml:space="preserve">0708017933</t>
  </si>
  <si>
    <t xml:space="preserve">CUST100003</t>
  </si>
  <si>
    <t xml:space="preserve">KPPMGR</t>
  </si>
  <si>
    <t xml:space="preserve">Nairobi West</t>
  </si>
  <si>
    <t xml:space="preserve">Ngong Road</t>
  </si>
  <si>
    <t xml:space="preserve">5thavenuemgmt@gmail.com</t>
  </si>
  <si>
    <t xml:space="preserve">Mirriam Waithera</t>
  </si>
  <si>
    <t xml:space="preserve">A.I.C Cure International Hospital</t>
  </si>
  <si>
    <t xml:space="preserve">mirriam.waithera@cureinternational.org</t>
  </si>
  <si>
    <t xml:space="preserve">Maureen</t>
  </si>
  <si>
    <t xml:space="preserve">CUST101927</t>
  </si>
  <si>
    <t xml:space="preserve">KPHEALTH</t>
  </si>
  <si>
    <t xml:space="preserve">South Rift</t>
  </si>
  <si>
    <t xml:space="preserve">Kijabe</t>
  </si>
  <si>
    <t xml:space="preserve">June Chesire</t>
  </si>
  <si>
    <t xml:space="preserve">Kevin Wasike</t>
  </si>
  <si>
    <t xml:space="preserve">AACC Guest House</t>
  </si>
  <si>
    <t xml:space="preserve">kevin@aacc-ceta.org</t>
  </si>
  <si>
    <t xml:space="preserve">Mercy Irungu</t>
  </si>
  <si>
    <t xml:space="preserve">CUST100007</t>
  </si>
  <si>
    <t xml:space="preserve">KPHOTEL</t>
  </si>
  <si>
    <t xml:space="preserve">Waiyaki Way</t>
  </si>
  <si>
    <t xml:space="preserve">Mercyline Kemunto</t>
  </si>
  <si>
    <t xml:space="preserve">stores@aacc-ceta.org</t>
  </si>
  <si>
    <t xml:space="preserve">Allan Were</t>
  </si>
  <si>
    <t xml:space="preserve">AAR Hospital Limited</t>
  </si>
  <si>
    <t xml:space="preserve">allan.were@aarhospital.com</t>
  </si>
  <si>
    <t xml:space="preserve">0725880147</t>
  </si>
  <si>
    <t xml:space="preserve">Doreen Mugwika</t>
  </si>
  <si>
    <t xml:space="preserve">CUST101857</t>
  </si>
  <si>
    <t xml:space="preserve">Nairobi East</t>
  </si>
  <si>
    <t xml:space="preserve">Kiambu</t>
  </si>
  <si>
    <t xml:space="preserve">james.mwaura@aarhospital.com</t>
  </si>
  <si>
    <t xml:space="preserve">Chris Otieno</t>
  </si>
  <si>
    <t xml:space="preserve">chris.otieno@aarhospital.com</t>
  </si>
  <si>
    <t xml:space="preserve">Christine muema</t>
  </si>
  <si>
    <t xml:space="preserve">Christine.muema@aarhospital.com</t>
  </si>
  <si>
    <t xml:space="preserve">0793 410 850</t>
  </si>
  <si>
    <t xml:space="preserve">Sylvia Njeru</t>
  </si>
  <si>
    <t xml:space="preserve">sylvia.njeru@aarhospital.com</t>
  </si>
  <si>
    <t xml:space="preserve">0723346023</t>
  </si>
  <si>
    <t xml:space="preserve">Teresa Maina</t>
  </si>
  <si>
    <t xml:space="preserve">AAR Insurance Kenya Limited</t>
  </si>
  <si>
    <t xml:space="preserve">teresa.maina@aar.co.ke</t>
  </si>
  <si>
    <t xml:space="preserve">0736691196</t>
  </si>
  <si>
    <t xml:space="preserve">CUST100008</t>
  </si>
  <si>
    <t xml:space="preserve">KPINDUSTRY</t>
  </si>
  <si>
    <t xml:space="preserve">Upper Hill</t>
  </si>
  <si>
    <t xml:space="preserve">rkisese@aar.co.ke</t>
  </si>
  <si>
    <t xml:space="preserve">Benard Kambutu</t>
  </si>
  <si>
    <t xml:space="preserve">AHN Kenya Limited</t>
  </si>
  <si>
    <t xml:space="preserve">benard@africahealthcarenetwork.com</t>
  </si>
  <si>
    <t xml:space="preserve">0796258271</t>
  </si>
  <si>
    <t xml:space="preserve">Yvonne Otieno</t>
  </si>
  <si>
    <t xml:space="preserve">CUST100043</t>
  </si>
  <si>
    <t xml:space="preserve">Mombasa Road</t>
  </si>
  <si>
    <t xml:space="preserve">Yvonne Achieng</t>
  </si>
  <si>
    <t xml:space="preserve">donie@africahealthcarenetwork.com</t>
  </si>
  <si>
    <t xml:space="preserve">Gillian Kibugi</t>
  </si>
  <si>
    <t xml:space="preserve">AIG Kenya Insurance Company Ltd</t>
  </si>
  <si>
    <t xml:space="preserve">gillian.kibugi@aig.com</t>
  </si>
  <si>
    <t xml:space="preserve">CUST100045</t>
  </si>
  <si>
    <t xml:space="preserve">KPBANK</t>
  </si>
  <si>
    <t xml:space="preserve">Westlands</t>
  </si>
  <si>
    <t xml:space="preserve">Shirleen Chebet</t>
  </si>
  <si>
    <t xml:space="preserve">Patrick Angoiya</t>
  </si>
  <si>
    <t xml:space="preserve">AMREF Health Africa</t>
  </si>
  <si>
    <t xml:space="preserve">patrick.angoiya@amref.org</t>
  </si>
  <si>
    <t xml:space="preserve">Irene Luketelo</t>
  </si>
  <si>
    <t xml:space="preserve">CUST100067</t>
  </si>
  <si>
    <t xml:space="preserve">Langata Road</t>
  </si>
  <si>
    <t xml:space="preserve">samuel.amwata@amref.org</t>
  </si>
  <si>
    <t xml:space="preserve">Kennedy .</t>
  </si>
  <si>
    <t xml:space="preserve">Abai Lodges Limited</t>
  </si>
  <si>
    <t xml:space="preserve">info@abailodges.com</t>
  </si>
  <si>
    <t xml:space="preserve">0707222555</t>
  </si>
  <si>
    <t xml:space="preserve">John Kaguai</t>
  </si>
  <si>
    <t xml:space="preserve">CUST102706</t>
  </si>
  <si>
    <t xml:space="preserve">Lower Mountain</t>
  </si>
  <si>
    <t xml:space="preserve">Kerugoya</t>
  </si>
  <si>
    <t xml:space="preserve">accounts@abailodges.com</t>
  </si>
  <si>
    <t xml:space="preserve">Winnie Mwangi</t>
  </si>
  <si>
    <t xml:space="preserve">Abgai Hygiene Ltd</t>
  </si>
  <si>
    <t xml:space="preserve">waynmuhia@gmail.com</t>
  </si>
  <si>
    <t xml:space="preserve">0712636287</t>
  </si>
  <si>
    <t xml:space="preserve">CUST103185</t>
  </si>
  <si>
    <t xml:space="preserve">KPCCLNRS</t>
  </si>
  <si>
    <t xml:space="preserve">CBD</t>
  </si>
  <si>
    <t xml:space="preserve">Tabitha Tabitha</t>
  </si>
  <si>
    <t xml:space="preserve">Academy Of Dance And Arts Ltd</t>
  </si>
  <si>
    <t xml:space="preserve">origins@academyonline.me</t>
  </si>
  <si>
    <t xml:space="preserve">CUST100010</t>
  </si>
  <si>
    <t xml:space="preserve">KPEDU</t>
  </si>
  <si>
    <t xml:space="preserve">Karen</t>
  </si>
  <si>
    <t xml:space="preserve">dance@academyonline.me</t>
  </si>
  <si>
    <t xml:space="preserve">Jane Awuor</t>
  </si>
  <si>
    <t xml:space="preserve">Adamji Multi Supplies Limited</t>
  </si>
  <si>
    <t xml:space="preserve">finance@adamji.co.ke</t>
  </si>
  <si>
    <t xml:space="preserve">0732673200</t>
  </si>
  <si>
    <t xml:space="preserve">CUST100012</t>
  </si>
  <si>
    <t xml:space="preserve">KPDIST</t>
  </si>
  <si>
    <t xml:space="preserve">Jane Jane</t>
  </si>
  <si>
    <t xml:space="preserve">stockcontrol@adamji.co.ke</t>
  </si>
  <si>
    <t xml:space="preserve">Winnie</t>
  </si>
  <si>
    <t xml:space="preserve">Adams Brown &amp; Company Ltd</t>
  </si>
  <si>
    <t xml:space="preserve">info@abc-place.com</t>
  </si>
  <si>
    <t xml:space="preserve">0721619018</t>
  </si>
  <si>
    <t xml:space="preserve">CUST100013</t>
  </si>
  <si>
    <t xml:space="preserve">Emma and Tyrus</t>
  </si>
  <si>
    <t xml:space="preserve">Adlife Management Company Ltd</t>
  </si>
  <si>
    <t xml:space="preserve">CUST100014</t>
  </si>
  <si>
    <t xml:space="preserve">Hurlingham</t>
  </si>
  <si>
    <t xml:space="preserve">wenceslaus@adlifeplaza.com</t>
  </si>
  <si>
    <t xml:space="preserve">Ann Wanjira</t>
  </si>
  <si>
    <t xml:space="preserve">Adrian Kenya Ltd</t>
  </si>
  <si>
    <t xml:space="preserve">ann.wanjira@adriankenya.com</t>
  </si>
  <si>
    <t xml:space="preserve">0726339919</t>
  </si>
  <si>
    <t xml:space="preserve">CUST100015</t>
  </si>
  <si>
    <t xml:space="preserve">adrianpayables@adriankenya.com</t>
  </si>
  <si>
    <t xml:space="preserve">Veronica Wanjema</t>
  </si>
  <si>
    <t xml:space="preserve">v.wanjema@adriankenya.com</t>
  </si>
  <si>
    <t xml:space="preserve">Mercy Njane</t>
  </si>
  <si>
    <t xml:space="preserve">Aero Club East Africa Ltd</t>
  </si>
  <si>
    <t xml:space="preserve">admin@aeroclubea.com</t>
  </si>
  <si>
    <t xml:space="preserve">CUST100017</t>
  </si>
  <si>
    <t xml:space="preserve">KPAIRLINE</t>
  </si>
  <si>
    <t xml:space="preserve">Wilson Airport</t>
  </si>
  <si>
    <t xml:space="preserve">purchasing@aeroclubea.com</t>
  </si>
  <si>
    <t xml:space="preserve">Ruth Ndege</t>
  </si>
  <si>
    <t xml:space="preserve">Afex Kenya Ltd</t>
  </si>
  <si>
    <t xml:space="preserve">ruth.ndege@afexgroup.com</t>
  </si>
  <si>
    <t xml:space="preserve">CUST100018</t>
  </si>
  <si>
    <t xml:space="preserve">Joseph Leorso</t>
  </si>
  <si>
    <t xml:space="preserve">Afri-Sine Limited T/A Nyali Golf View Residence</t>
  </si>
  <si>
    <t xml:space="preserve">Lucy Gakii</t>
  </si>
  <si>
    <t xml:space="preserve">CUST101487</t>
  </si>
  <si>
    <t xml:space="preserve">Coast</t>
  </si>
  <si>
    <t xml:space="preserve">Mombasa</t>
  </si>
  <si>
    <t xml:space="preserve">Lucy Rimberia</t>
  </si>
  <si>
    <t xml:space="preserve">afrisineltd@gmail.com</t>
  </si>
  <si>
    <t xml:space="preserve">Laban Zewe</t>
  </si>
  <si>
    <t xml:space="preserve">laban@afrisine.co.ke</t>
  </si>
  <si>
    <t xml:space="preserve">0714423826</t>
  </si>
  <si>
    <t xml:space="preserve">Grace A</t>
  </si>
  <si>
    <t xml:space="preserve">Afri-Trail Ventures Ltd</t>
  </si>
  <si>
    <t xml:space="preserve">gracem@gmail.com</t>
  </si>
  <si>
    <t xml:space="preserve">0722773443</t>
  </si>
  <si>
    <t xml:space="preserve">CUST100030</t>
  </si>
  <si>
    <t xml:space="preserve">afritrail@gmail.com</t>
  </si>
  <si>
    <t xml:space="preserve">Davina Ngina</t>
  </si>
  <si>
    <t xml:space="preserve">Africa Reit</t>
  </si>
  <si>
    <t xml:space="preserve">info@africareit.com</t>
  </si>
  <si>
    <t xml:space="preserve">CUST100019</t>
  </si>
  <si>
    <t xml:space="preserve">accounts@africareit.com</t>
  </si>
  <si>
    <t xml:space="preserve">Eric Njenga</t>
  </si>
  <si>
    <t xml:space="preserve">African Forest Lodges Ltd</t>
  </si>
  <si>
    <t xml:space="preserve">procurement@theforest.co.ke</t>
  </si>
  <si>
    <t xml:space="preserve">CUST100023</t>
  </si>
  <si>
    <t xml:space="preserve">Naivasha</t>
  </si>
  <si>
    <t xml:space="preserve">njengaeric1@gmail.com</t>
  </si>
  <si>
    <t xml:space="preserve">Christine</t>
  </si>
  <si>
    <t xml:space="preserve">African Fund For Endagered Wildlife Afew</t>
  </si>
  <si>
    <t xml:space="preserve">admin@giraffecentre.org</t>
  </si>
  <si>
    <t xml:space="preserve">0723934980</t>
  </si>
  <si>
    <t xml:space="preserve">CUST100024</t>
  </si>
  <si>
    <t xml:space="preserve">solomon@giraffecentre.org</t>
  </si>
  <si>
    <t xml:space="preserve">Bethsheba Getanda</t>
  </si>
  <si>
    <t xml:space="preserve">African Population &amp; Health Research Centre</t>
  </si>
  <si>
    <t xml:space="preserve">bgetanda@aphrc.org</t>
  </si>
  <si>
    <t xml:space="preserve">0720359978</t>
  </si>
  <si>
    <t xml:space="preserve">CUST100026</t>
  </si>
  <si>
    <t xml:space="preserve">KPNGO</t>
  </si>
  <si>
    <t xml:space="preserve">Lower Kabete</t>
  </si>
  <si>
    <t xml:space="preserve">guest234@aphrc.org</t>
  </si>
  <si>
    <t xml:space="preserve">Sophie Muoni</t>
  </si>
  <si>
    <t xml:space="preserve">African Tulip Ltd C/O Knight Frank</t>
  </si>
  <si>
    <t xml:space="preserve">Sophie.Muoni@ke.knightfrank.com</t>
  </si>
  <si>
    <t xml:space="preserve">CUST100028</t>
  </si>
  <si>
    <t xml:space="preserve">Peter Belo</t>
  </si>
  <si>
    <t xml:space="preserve">Aga Khan Academy Mombasa</t>
  </si>
  <si>
    <t xml:space="preserve">belo@agakhanacademies.org</t>
  </si>
  <si>
    <t xml:space="preserve">0780505044</t>
  </si>
  <si>
    <t xml:space="preserve">CUST100032</t>
  </si>
  <si>
    <t xml:space="preserve">sameer.hanif@agakhanacademies.org; vincent.kwendo@oshwalacademy.sc.ke</t>
  </si>
  <si>
    <t xml:space="preserve">Sameer Hanif</t>
  </si>
  <si>
    <t xml:space="preserve">sameer.hanif@agakhanacademies.org</t>
  </si>
  <si>
    <t xml:space="preserve">shamim damji</t>
  </si>
  <si>
    <t xml:space="preserve">Aga Khan Academy Senior School Nairobi</t>
  </si>
  <si>
    <t xml:space="preserve">shamim.damji@akesk.org</t>
  </si>
  <si>
    <t xml:space="preserve">CUST100033</t>
  </si>
  <si>
    <t xml:space="preserve">Parklands</t>
  </si>
  <si>
    <t xml:space="preserve">sismail@akesk.org</t>
  </si>
  <si>
    <t xml:space="preserve">Gulzar Suleiman</t>
  </si>
  <si>
    <t xml:space="preserve">Aga Khan Development Network - Kenya</t>
  </si>
  <si>
    <t xml:space="preserve">gulzar.suleman@akdn.org</t>
  </si>
  <si>
    <t xml:space="preserve">CUST100034</t>
  </si>
  <si>
    <t xml:space="preserve">gulzar.suleman@akdnkenya.org</t>
  </si>
  <si>
    <t xml:space="preserve">Gulzar Suleman</t>
  </si>
  <si>
    <t xml:space="preserve">Alice Kariuki</t>
  </si>
  <si>
    <t xml:space="preserve">Aga Khan Health Service Kenya</t>
  </si>
  <si>
    <t xml:space="preserve">alice.kariuki@aku.edu</t>
  </si>
  <si>
    <t xml:space="preserve">CUST100035</t>
  </si>
  <si>
    <t xml:space="preserve">anne.nyambura@aku.edu</t>
  </si>
  <si>
    <t xml:space="preserve">Anne Nyambura</t>
  </si>
  <si>
    <t xml:space="preserve">Gady Onyango</t>
  </si>
  <si>
    <t xml:space="preserve">gady.onyango@aku.edu</t>
  </si>
  <si>
    <t xml:space="preserve">0711092611</t>
  </si>
  <si>
    <t xml:space="preserve">Mr Keval</t>
  </si>
  <si>
    <t xml:space="preserve">Aga Khan Sports Centre</t>
  </si>
  <si>
    <t xml:space="preserve">kp@aksc.co.ke</t>
  </si>
  <si>
    <t xml:space="preserve">0724710486</t>
  </si>
  <si>
    <t xml:space="preserve">CUST100038</t>
  </si>
  <si>
    <t xml:space="preserve">info@aksc.co.ke</t>
  </si>
  <si>
    <t xml:space="preserve">salome mirenja</t>
  </si>
  <si>
    <t xml:space="preserve">Agra</t>
  </si>
  <si>
    <t xml:space="preserve">smirenja@agra.org</t>
  </si>
  <si>
    <t xml:space="preserve">CUST100040</t>
  </si>
  <si>
    <t xml:space="preserve">sgaitho@agra.org</t>
  </si>
  <si>
    <t xml:space="preserve">Estherke Kimonyi</t>
  </si>
  <si>
    <t xml:space="preserve">Airkenya Express Ltd</t>
  </si>
  <si>
    <t xml:space="preserve">catering@airkenya.com</t>
  </si>
  <si>
    <t xml:space="preserve">CUST100046</t>
  </si>
  <si>
    <t xml:space="preserve">judith.mwaka@airkenya.com</t>
  </si>
  <si>
    <t xml:space="preserve">Boston</t>
  </si>
  <si>
    <t xml:space="preserve">Airmarc Ltd T/A Fourpoints By Sheraton</t>
  </si>
  <si>
    <t xml:space="preserve">CUST100047</t>
  </si>
  <si>
    <t xml:space="preserve">JKIA</t>
  </si>
  <si>
    <t xml:space="preserve">finance@fourpointsnairobiairport.co.ke</t>
  </si>
  <si>
    <t xml:space="preserve">Boston Ouna</t>
  </si>
  <si>
    <t xml:space="preserve">accounts@fourpointsnairobiairport.co.ke</t>
  </si>
  <si>
    <t xml:space="preserve">0715897067</t>
  </si>
  <si>
    <t xml:space="preserve">David Opar</t>
  </si>
  <si>
    <t xml:space="preserve">stores@fourpointsnairobiairport.co.ke</t>
  </si>
  <si>
    <t xml:space="preserve">0709760000</t>
  </si>
  <si>
    <t xml:space="preserve">Kevin Omondi</t>
  </si>
  <si>
    <t xml:space="preserve">purchase@fourpointsnairobiairport.co.ke</t>
  </si>
  <si>
    <t xml:space="preserve">0740031202</t>
  </si>
  <si>
    <t xml:space="preserve">Mr. Joseph</t>
  </si>
  <si>
    <t xml:space="preserve">Airport Landing Hotel</t>
  </si>
  <si>
    <t xml:space="preserve">accounts@airportlandinghotel.com</t>
  </si>
  <si>
    <t xml:space="preserve">0703887777</t>
  </si>
  <si>
    <t xml:space="preserve">CUST100048</t>
  </si>
  <si>
    <t xml:space="preserve">Embakasi</t>
  </si>
  <si>
    <t xml:space="preserve">Ms. Wambui</t>
  </si>
  <si>
    <t xml:space="preserve">airportlanding254@gmail.com</t>
  </si>
  <si>
    <t xml:space="preserve">0722960407</t>
  </si>
  <si>
    <t xml:space="preserve">Bessy Muthuri</t>
  </si>
  <si>
    <t xml:space="preserve">Al Jazeera Kiswahili Limited</t>
  </si>
  <si>
    <t xml:space="preserve">bessy.muthuri@aljazeera.net</t>
  </si>
  <si>
    <t xml:space="preserve">CUST100052</t>
  </si>
  <si>
    <t xml:space="preserve">Raphael Kigo</t>
  </si>
  <si>
    <t xml:space="preserve">All Africa Conference Of Churches</t>
  </si>
  <si>
    <t xml:space="preserve">raphael@aacc-ceta.org</t>
  </si>
  <si>
    <t xml:space="preserve">0724253354</t>
  </si>
  <si>
    <t xml:space="preserve">CUST100056</t>
  </si>
  <si>
    <t xml:space="preserve">KPRELGS</t>
  </si>
  <si>
    <t xml:space="preserve">Naomi Wangare</t>
  </si>
  <si>
    <t xml:space="preserve">All And Sundry Services</t>
  </si>
  <si>
    <t xml:space="preserve">allandsundriesservices@gmail.com</t>
  </si>
  <si>
    <t xml:space="preserve">0721534305</t>
  </si>
  <si>
    <t xml:space="preserve">CUST100057</t>
  </si>
  <si>
    <t xml:space="preserve">Thika Road</t>
  </si>
  <si>
    <t xml:space="preserve">allandsundryservices@gmail.com</t>
  </si>
  <si>
    <t xml:space="preserve">Wilfred Thiong'o</t>
  </si>
  <si>
    <t xml:space="preserve">All Saints Cathedral Church.</t>
  </si>
  <si>
    <t xml:space="preserve">wthiongo@allsaintsnairobi.org</t>
  </si>
  <si>
    <t xml:space="preserve">0702645062</t>
  </si>
  <si>
    <t xml:space="preserve">CUST100058</t>
  </si>
  <si>
    <t xml:space="preserve">Jeremiah Katonde</t>
  </si>
  <si>
    <t xml:space="preserve">Allterrain Services Kenya Ltd</t>
  </si>
  <si>
    <t xml:space="preserve">jkatonde@tsebo.com</t>
  </si>
  <si>
    <t xml:space="preserve">0723557914</t>
  </si>
  <si>
    <t xml:space="preserve">CUST100059</t>
  </si>
  <si>
    <t xml:space="preserve">Ruiru</t>
  </si>
  <si>
    <t xml:space="preserve">akungu@tsebo.com; bogaga@tsebo.com</t>
  </si>
  <si>
    <t xml:space="preserve">James Macharia</t>
  </si>
  <si>
    <t xml:space="preserve">Althaus Services Ltd</t>
  </si>
  <si>
    <t xml:space="preserve">james@althaus.co.ke</t>
  </si>
  <si>
    <t xml:space="preserve">0724437445</t>
  </si>
  <si>
    <t xml:space="preserve">CUST100061</t>
  </si>
  <si>
    <t xml:space="preserve">stephen@althaus.co.ke; mike.kimathi@althaus.co.ke; margaret@althaus.co.ke</t>
  </si>
  <si>
    <t xml:space="preserve">Peris Mureithi</t>
  </si>
  <si>
    <t xml:space="preserve">Amadeus GTD Ltd</t>
  </si>
  <si>
    <t xml:space="preserve">pmureithi@amadeus.co.ke</t>
  </si>
  <si>
    <t xml:space="preserve">0717704826</t>
  </si>
  <si>
    <t xml:space="preserve">CUST100063</t>
  </si>
  <si>
    <t xml:space="preserve">peris.mureithi@amadeus.com</t>
  </si>
  <si>
    <t xml:space="preserve">Rueben Gitonga</t>
  </si>
  <si>
    <t xml:space="preserve">Amani Ya Juu Foundation</t>
  </si>
  <si>
    <t xml:space="preserve">cafe.assistant@amaniafrica.org</t>
  </si>
  <si>
    <t xml:space="preserve">0710572892</t>
  </si>
  <si>
    <t xml:space="preserve">CUST101436</t>
  </si>
  <si>
    <t xml:space="preserve">gardencafe@amaniafrica.org</t>
  </si>
  <si>
    <t xml:space="preserve">Chris Rwamwejo</t>
  </si>
  <si>
    <t xml:space="preserve">Amtoll Rwanda</t>
  </si>
  <si>
    <t xml:space="preserve">chris@byudagroup.com</t>
  </si>
  <si>
    <t xml:space="preserve">+250 783 202 777</t>
  </si>
  <si>
    <t xml:space="preserve">Florence Karaya</t>
  </si>
  <si>
    <t xml:space="preserve">CUST100069</t>
  </si>
  <si>
    <t xml:space="preserve">KPEXP</t>
  </si>
  <si>
    <t xml:space="preserve">Rwanda</t>
  </si>
  <si>
    <t xml:space="preserve">jacky.amtoll.rw@gmail.com</t>
  </si>
  <si>
    <t xml:space="preserve">Alvin Mutama</t>
  </si>
  <si>
    <t xml:space="preserve">And Beyond Kenya Limited</t>
  </si>
  <si>
    <t xml:space="preserve">alvin.mutama@andbeyond.com</t>
  </si>
  <si>
    <t xml:space="preserve">VQL</t>
  </si>
  <si>
    <t xml:space="preserve">CUST100071</t>
  </si>
  <si>
    <t xml:space="preserve">triza.njeri@andBeyond.com</t>
  </si>
  <si>
    <t xml:space="preserve">Peterson Muraya</t>
  </si>
  <si>
    <t xml:space="preserve">peterson.muraya@andbeyond.com</t>
  </si>
  <si>
    <t xml:space="preserve">Hellen Kaberere</t>
  </si>
  <si>
    <t xml:space="preserve">Andela Kenya Ltd</t>
  </si>
  <si>
    <t xml:space="preserve">hellen.kaberere@andela.com</t>
  </si>
  <si>
    <t xml:space="preserve">CUST100072</t>
  </si>
  <si>
    <t xml:space="preserve">Israel wachira</t>
  </si>
  <si>
    <t xml:space="preserve">Androse Enterprises Ltd</t>
  </si>
  <si>
    <t xml:space="preserve">israel.wachira05@gmail.com</t>
  </si>
  <si>
    <t xml:space="preserve">0727903059</t>
  </si>
  <si>
    <t xml:space="preserve">CUST100073</t>
  </si>
  <si>
    <t xml:space="preserve">androsenterprisesltd@gmail.com</t>
  </si>
  <si>
    <t xml:space="preserve">Angela procurement</t>
  </si>
  <si>
    <t xml:space="preserve">Ankole Grill Limited</t>
  </si>
  <si>
    <t xml:space="preserve">CUST100077</t>
  </si>
  <si>
    <t xml:space="preserve">KPREST</t>
  </si>
  <si>
    <t xml:space="preserve">accounts@ankole.co.ke</t>
  </si>
  <si>
    <t xml:space="preserve">Mercy Birech</t>
  </si>
  <si>
    <t xml:space="preserve">procurement@ankole.co.ke</t>
  </si>
  <si>
    <t xml:space="preserve">0748465776</t>
  </si>
  <si>
    <t xml:space="preserve">Vincent Odhiambo Oyugi</t>
  </si>
  <si>
    <t xml:space="preserve">stores.kitisuru@ankole.co.ke</t>
  </si>
  <si>
    <t xml:space="preserve">0723335043</t>
  </si>
  <si>
    <t xml:space="preserve">Careena Careena</t>
  </si>
  <si>
    <t xml:space="preserve">Aquadrom Restaurant</t>
  </si>
  <si>
    <t xml:space="preserve">0702436500</t>
  </si>
  <si>
    <t xml:space="preserve">CUST100079</t>
  </si>
  <si>
    <t xml:space="preserve">aquadromlimited@gmail.com</t>
  </si>
  <si>
    <t xml:space="preserve">Vivian Vivian</t>
  </si>
  <si>
    <t xml:space="preserve">yulspurchasing@gmail.com</t>
  </si>
  <si>
    <t xml:space="preserve">mufaddal mufaddal</t>
  </si>
  <si>
    <t xml:space="preserve">0722566336</t>
  </si>
  <si>
    <t xml:space="preserve">Elizabeth Kamene</t>
  </si>
  <si>
    <t xml:space="preserve">Arichem Ltd</t>
  </si>
  <si>
    <t xml:space="preserve">elizabeth@arichem.co.ke</t>
  </si>
  <si>
    <t xml:space="preserve">CUST100081</t>
  </si>
  <si>
    <t xml:space="preserve">fkirimi@arichem.co.ke</t>
  </si>
  <si>
    <t xml:space="preserve">Lydia</t>
  </si>
  <si>
    <t xml:space="preserve">Art Investments Ltd C/O Knight Frank Kenya Ltd</t>
  </si>
  <si>
    <t xml:space="preserve">Collins Kazee</t>
  </si>
  <si>
    <t xml:space="preserve">CUST100083</t>
  </si>
  <si>
    <t xml:space="preserve">lydia-ndichu@ke.knightfrank.com</t>
  </si>
  <si>
    <t xml:space="preserve">Lydia Ndichu</t>
  </si>
  <si>
    <t xml:space="preserve">Cosmas Munene</t>
  </si>
  <si>
    <t xml:space="preserve">Artcafe Coffee &amp; Bakery Ltd</t>
  </si>
  <si>
    <t xml:space="preserve">cosmas.munene@artcaffe.co.ke</t>
  </si>
  <si>
    <t xml:space="preserve">0727735356</t>
  </si>
  <si>
    <t xml:space="preserve">CUST100084</t>
  </si>
  <si>
    <t xml:space="preserve">Susan Mwathi</t>
  </si>
  <si>
    <t xml:space="preserve">grace@artcaffe.co.ke</t>
  </si>
  <si>
    <t xml:space="preserve">Francis Mutuku</t>
  </si>
  <si>
    <t xml:space="preserve">francis.mutuku@artcaffe.co.ke</t>
  </si>
  <si>
    <t xml:space="preserve">Grace Njeru</t>
  </si>
  <si>
    <t xml:space="preserve">0727545962</t>
  </si>
  <si>
    <t xml:space="preserve">Anne</t>
  </si>
  <si>
    <t xml:space="preserve">Asefah Ltd</t>
  </si>
  <si>
    <t xml:space="preserve">0722-727390</t>
  </si>
  <si>
    <t xml:space="preserve">CUST100085</t>
  </si>
  <si>
    <t xml:space="preserve">South C</t>
  </si>
  <si>
    <t xml:space="preserve">stores@ngonghillshotel.com</t>
  </si>
  <si>
    <t xml:space="preserve">Anne Kiragu</t>
  </si>
  <si>
    <t xml:space="preserve">annek@asefah.com</t>
  </si>
  <si>
    <t xml:space="preserve">Mike Mike</t>
  </si>
  <si>
    <t xml:space="preserve">Ashnil Hotels Ltd</t>
  </si>
  <si>
    <t xml:space="preserve">mike@ashnilhotels.com</t>
  </si>
  <si>
    <t xml:space="preserve">0733713713</t>
  </si>
  <si>
    <t xml:space="preserve">CUST100086</t>
  </si>
  <si>
    <t xml:space="preserve">accounts@ashnilhotels.com</t>
  </si>
  <si>
    <t xml:space="preserve">Mike Mutuku</t>
  </si>
  <si>
    <t xml:space="preserve">Nixon</t>
  </si>
  <si>
    <t xml:space="preserve">Julie</t>
  </si>
  <si>
    <t xml:space="preserve">August 7Th Memorial Trust</t>
  </si>
  <si>
    <t xml:space="preserve">admin@memorialparkkenya.org</t>
  </si>
  <si>
    <t xml:space="preserve">0722323302</t>
  </si>
  <si>
    <t xml:space="preserve">CUST100088</t>
  </si>
  <si>
    <t xml:space="preserve">Nick Nyoike</t>
  </si>
  <si>
    <t xml:space="preserve">Australian High Commission - Nairobi</t>
  </si>
  <si>
    <t xml:space="preserve">nick.nyoike@dfat.gov.au</t>
  </si>
  <si>
    <t xml:space="preserve">020 4277100</t>
  </si>
  <si>
    <t xml:space="preserve">CUST100089</t>
  </si>
  <si>
    <t xml:space="preserve">nairobi.property@dfat.gov.au</t>
  </si>
  <si>
    <t xml:space="preserve">Caroline Manyinsa</t>
  </si>
  <si>
    <t xml:space="preserve">Avenue Healthcare Ltd</t>
  </si>
  <si>
    <t xml:space="preserve">foodservice@avenuehealthcare.com</t>
  </si>
  <si>
    <t xml:space="preserve">0723932855</t>
  </si>
  <si>
    <t xml:space="preserve">CUST100091</t>
  </si>
  <si>
    <t xml:space="preserve">Kisumu</t>
  </si>
  <si>
    <t xml:space="preserve">okeyo@avenuehealthcare.com</t>
  </si>
  <si>
    <t xml:space="preserve">Catherine Mbugua</t>
  </si>
  <si>
    <t xml:space="preserve">kmbugua@avenueahealthcare.com</t>
  </si>
  <si>
    <t xml:space="preserve">0110088083</t>
  </si>
  <si>
    <t xml:space="preserve">kmbugua@avenuehealthcare.com</t>
  </si>
  <si>
    <t xml:space="preserve">110088083</t>
  </si>
  <si>
    <t xml:space="preserve">Catherine Olande</t>
  </si>
  <si>
    <t xml:space="preserve">admin.kisumu@avenuehealthcare.com</t>
  </si>
  <si>
    <t xml:space="preserve">0718860200</t>
  </si>
  <si>
    <t xml:space="preserve">Collins Omondi</t>
  </si>
  <si>
    <t xml:space="preserve">collins.omondi@avenuehealthcare.com</t>
  </si>
  <si>
    <t xml:space="preserve">Felx Osano</t>
  </si>
  <si>
    <t xml:space="preserve">felix.osano@evercaregroup.com</t>
  </si>
  <si>
    <t xml:space="preserve">0722727560</t>
  </si>
  <si>
    <t xml:space="preserve">Fred Mutisya</t>
  </si>
  <si>
    <t xml:space="preserve">fredrick@avenuehealthcare.com</t>
  </si>
  <si>
    <t xml:space="preserve">0724642222</t>
  </si>
  <si>
    <t xml:space="preserve">Hezron Okeyo</t>
  </si>
  <si>
    <t xml:space="preserve">0732175000</t>
  </si>
  <si>
    <t xml:space="preserve">Judy Omondi</t>
  </si>
  <si>
    <t xml:space="preserve">0711060720</t>
  </si>
  <si>
    <t xml:space="preserve">Lucy Macharia</t>
  </si>
  <si>
    <t xml:space="preserve">0707569328</t>
  </si>
  <si>
    <t xml:space="preserve">CAROL CAROL</t>
  </si>
  <si>
    <t xml:space="preserve">Avenue Healthcare Ltd - Mombasa</t>
  </si>
  <si>
    <t xml:space="preserve">reception@avenuehealthcare.com</t>
  </si>
  <si>
    <t xml:space="preserve">0714831195</t>
  </si>
  <si>
    <t xml:space="preserve">CUST101132</t>
  </si>
  <si>
    <t xml:space="preserve">Carol Carol</t>
  </si>
  <si>
    <t xml:space="preserve">reception.mombasa@avenuehealthcare.com</t>
  </si>
  <si>
    <t xml:space="preserve">Dr. Esther Ajowi</t>
  </si>
  <si>
    <t xml:space="preserve">esther.ajowi@avenuehealthcare.com</t>
  </si>
  <si>
    <t xml:space="preserve">+254 732 175 230</t>
  </si>
  <si>
    <t xml:space="preserve">Jackline Mumbi</t>
  </si>
  <si>
    <t xml:space="preserve">jackline.mumbi@avenuehealthcare.com</t>
  </si>
  <si>
    <t xml:space="preserve">0726681314</t>
  </si>
  <si>
    <t xml:space="preserve">Niral Haria</t>
  </si>
  <si>
    <t xml:space="preserve">Bahati Ventures Ltd</t>
  </si>
  <si>
    <t xml:space="preserve">niralharia@hotmail.com</t>
  </si>
  <si>
    <t xml:space="preserve">0735584325</t>
  </si>
  <si>
    <t xml:space="preserve">CUST100096</t>
  </si>
  <si>
    <t xml:space="preserve">info@bahati.co.ke</t>
  </si>
  <si>
    <t xml:space="preserve">Pankaj Haria</t>
  </si>
  <si>
    <t xml:space="preserve">pankajharia@yahoo.com</t>
  </si>
  <si>
    <t xml:space="preserve">0722349972</t>
  </si>
  <si>
    <t xml:space="preserve">James oballa</t>
  </si>
  <si>
    <t xml:space="preserve">Baobab Beach Resort</t>
  </si>
  <si>
    <t xml:space="preserve">purchasing@baobab-beach-resort.com</t>
  </si>
  <si>
    <t xml:space="preserve">0722524160</t>
  </si>
  <si>
    <t xml:space="preserve">CUST101131</t>
  </si>
  <si>
    <t xml:space="preserve">payables@baobab-beach-resort.com</t>
  </si>
  <si>
    <t xml:space="preserve">Jeff Mukolwe</t>
  </si>
  <si>
    <t xml:space="preserve">gm@baobabbeachresort.com</t>
  </si>
  <si>
    <t xml:space="preserve">0725777025</t>
  </si>
  <si>
    <t xml:space="preserve">Linet Linet</t>
  </si>
  <si>
    <t xml:space="preserve">hk@baobabbeachresort.com</t>
  </si>
  <si>
    <t xml:space="preserve">0722439306</t>
  </si>
  <si>
    <t xml:space="preserve">Gladstone Muchira</t>
  </si>
  <si>
    <t xml:space="preserve">Baraka Lodges Ltd T/A JW Marriot Maasai Mara Lodge</t>
  </si>
  <si>
    <t xml:space="preserve">gladstone.muchira@jwmarriottmasaimara.com</t>
  </si>
  <si>
    <t xml:space="preserve">0798-645-848</t>
  </si>
  <si>
    <t xml:space="preserve">CUST102804</t>
  </si>
  <si>
    <t xml:space="preserve">anne.vengi@crownplazanairobiairport.com</t>
  </si>
  <si>
    <t xml:space="preserve">Eric Kinaka</t>
  </si>
  <si>
    <t xml:space="preserve">Becky's Cafe</t>
  </si>
  <si>
    <t xml:space="preserve">bekysuites@gmail.com</t>
  </si>
  <si>
    <t xml:space="preserve">CUST101823</t>
  </si>
  <si>
    <t xml:space="preserve">Eastern</t>
  </si>
  <si>
    <t xml:space="preserve">Machakos</t>
  </si>
  <si>
    <t xml:space="preserve">Erick Kinaka</t>
  </si>
  <si>
    <t xml:space="preserve">beckyssuites@gmail.com</t>
  </si>
  <si>
    <t xml:space="preserve">+254 720 709926</t>
  </si>
  <si>
    <t xml:space="preserve">Sharone Gakii</t>
  </si>
  <si>
    <t xml:space="preserve">Berra Lounge Hotel Ltd</t>
  </si>
  <si>
    <t xml:space="preserve">info@berraloungehotel.co.ke</t>
  </si>
  <si>
    <t xml:space="preserve">CUST100108</t>
  </si>
  <si>
    <t xml:space="preserve">Ngong</t>
  </si>
  <si>
    <t xml:space="preserve">Maurice Makau</t>
  </si>
  <si>
    <t xml:space="preserve">Bethel Corner</t>
  </si>
  <si>
    <t xml:space="preserve">thebethelcorner@gmail.com</t>
  </si>
  <si>
    <t xml:space="preserve">0114 033371</t>
  </si>
  <si>
    <t xml:space="preserve">CUST103223</t>
  </si>
  <si>
    <t xml:space="preserve">KPWHSALE</t>
  </si>
  <si>
    <t xml:space="preserve">Ruaka</t>
  </si>
  <si>
    <t xml:space="preserve">Rajan Mote</t>
  </si>
  <si>
    <t xml:space="preserve">Bilashaka Flowers Ltd</t>
  </si>
  <si>
    <t xml:space="preserve">stores.bilashaka@zuurbier.com</t>
  </si>
  <si>
    <t xml:space="preserve">CUST100117</t>
  </si>
  <si>
    <t xml:space="preserve">KPAGRI</t>
  </si>
  <si>
    <t xml:space="preserve">Josh Ochieng</t>
  </si>
  <si>
    <t xml:space="preserve">Blixen Court</t>
  </si>
  <si>
    <t xml:space="preserve">blixencourt@gmail.com</t>
  </si>
  <si>
    <t xml:space="preserve">0723814503</t>
  </si>
  <si>
    <t xml:space="preserve">CUST100122</t>
  </si>
  <si>
    <t xml:space="preserve">oscar@propertylinkafrica.com</t>
  </si>
  <si>
    <t xml:space="preserve">Nancy Admin</t>
  </si>
  <si>
    <t xml:space="preserve">Bluesky Outsourcing Ltd</t>
  </si>
  <si>
    <t xml:space="preserve">blueskyoutsourcinglimited@gmail.com</t>
  </si>
  <si>
    <t xml:space="preserve">0726865471</t>
  </si>
  <si>
    <t xml:space="preserve">CUST100123</t>
  </si>
  <si>
    <t xml:space="preserve">Kilimani</t>
  </si>
  <si>
    <t xml:space="preserve">Everlyn Awour</t>
  </si>
  <si>
    <t xml:space="preserve">Boc Kenya Plc</t>
  </si>
  <si>
    <t xml:space="preserve">everlyne.awuor@boc.com</t>
  </si>
  <si>
    <t xml:space="preserve">CUST100124</t>
  </si>
  <si>
    <t xml:space="preserve">Industrial Area</t>
  </si>
  <si>
    <t xml:space="preserve">nnale@monarchinsurance.co.ke</t>
  </si>
  <si>
    <t xml:space="preserve">Neema Adam</t>
  </si>
  <si>
    <t xml:space="preserve">Bomu Hospital</t>
  </si>
  <si>
    <t xml:space="preserve">info@bomuhospital.org</t>
  </si>
  <si>
    <t xml:space="preserve">0724332200</t>
  </si>
  <si>
    <t xml:space="preserve">CUST100126</t>
  </si>
  <si>
    <t xml:space="preserve">Becky Rebbeca</t>
  </si>
  <si>
    <t xml:space="preserve">Boresha Africa Ltd</t>
  </si>
  <si>
    <t xml:space="preserve">boreshaafrica@gmail.com</t>
  </si>
  <si>
    <t xml:space="preserve">0722211046</t>
  </si>
  <si>
    <t xml:space="preserve">CUST101425</t>
  </si>
  <si>
    <t xml:space="preserve">sales@boreshafrica.com</t>
  </si>
  <si>
    <t xml:space="preserve">Phylis Kiggima</t>
  </si>
  <si>
    <t xml:space="preserve">Bosphorous Company Ltd</t>
  </si>
  <si>
    <t xml:space="preserve">ltdbosphorus@yahoo.com</t>
  </si>
  <si>
    <t xml:space="preserve">CUST100128</t>
  </si>
  <si>
    <t xml:space="preserve">Phyllis Bos</t>
  </si>
  <si>
    <t xml:space="preserve">0727803973</t>
  </si>
  <si>
    <t xml:space="preserve">Phyllis Kiggima</t>
  </si>
  <si>
    <t xml:space="preserve">ltdbosphorus@gmail.com</t>
  </si>
  <si>
    <t xml:space="preserve">0727 803973</t>
  </si>
  <si>
    <t xml:space="preserve">Rajesh Gudka</t>
  </si>
  <si>
    <t xml:space="preserve">Brandables E.A Limited</t>
  </si>
  <si>
    <t xml:space="preserve">raju@debenhamfear.com</t>
  </si>
  <si>
    <t xml:space="preserve">0722203319</t>
  </si>
  <si>
    <t xml:space="preserve">CUST100129</t>
  </si>
  <si>
    <t xml:space="preserve">info@brandables.co.ke</t>
  </si>
  <si>
    <t xml:space="preserve">Beatrice Karimi</t>
  </si>
  <si>
    <t xml:space="preserve">Brandworld Communications Ltd</t>
  </si>
  <si>
    <t xml:space="preserve">beatrice.karimi@brandworld.co.ke</t>
  </si>
  <si>
    <t xml:space="preserve">CUST100130</t>
  </si>
  <si>
    <t xml:space="preserve">South B</t>
  </si>
  <si>
    <t xml:space="preserve">beatrice.karimi@brandworld.co.ke; Faith.mutuku@brandworld.co.ke</t>
  </si>
  <si>
    <t xml:space="preserve">Edwin Ongeri</t>
  </si>
  <si>
    <t xml:space="preserve">Brico Chemicals Ltd</t>
  </si>
  <si>
    <t xml:space="preserve">bricochemicals@gmail.com</t>
  </si>
  <si>
    <t xml:space="preserve">0721538682</t>
  </si>
  <si>
    <t xml:space="preserve">CUST102526</t>
  </si>
  <si>
    <t xml:space="preserve">KPCASH</t>
  </si>
  <si>
    <t xml:space="preserve">Marvin Bridgeworld College</t>
  </si>
  <si>
    <t xml:space="preserve">Bridgeworld College</t>
  </si>
  <si>
    <t xml:space="preserve">CUST100132</t>
  </si>
  <si>
    <t xml:space="preserve">wambuikarongo@gmail.com</t>
  </si>
  <si>
    <t xml:space="preserve">Wambui Karongo</t>
  </si>
  <si>
    <t xml:space="preserve">Patience Kosgei</t>
  </si>
  <si>
    <t xml:space="preserve">Broncep Investment Company Ltd</t>
  </si>
  <si>
    <t xml:space="preserve">broncepinvestment@gmail.com</t>
  </si>
  <si>
    <t xml:space="preserve">0710631469</t>
  </si>
  <si>
    <t xml:space="preserve">CUST101803</t>
  </si>
  <si>
    <t xml:space="preserve">Ann Muriu</t>
  </si>
  <si>
    <t xml:space="preserve">Brookhouse School - Karen</t>
  </si>
  <si>
    <t xml:space="preserve">amuriu@brookhouse.ac.ke</t>
  </si>
  <si>
    <t xml:space="preserve">0724240908</t>
  </si>
  <si>
    <t xml:space="preserve">CUST100140</t>
  </si>
  <si>
    <t xml:space="preserve">accountsdept@brookhouse.ac.ke</t>
  </si>
  <si>
    <t xml:space="preserve">Carol Gacheru</t>
  </si>
  <si>
    <t xml:space="preserve">Buffalo Mall Naivasha Ltd</t>
  </si>
  <si>
    <t xml:space="preserve">carol.gacheru@buffalomallnaivasha.com</t>
  </si>
  <si>
    <t xml:space="preserve">0716328384</t>
  </si>
  <si>
    <t xml:space="preserve">CUST100145</t>
  </si>
  <si>
    <t xml:space="preserve">esther.kirigo@buffalomalldevelopments.com</t>
  </si>
  <si>
    <t xml:space="preserve">Esther Kirigo</t>
  </si>
  <si>
    <t xml:space="preserve">Juliana Nchebere</t>
  </si>
  <si>
    <t xml:space="preserve">juliana.nchebere@buffalomalldevelopments.com</t>
  </si>
  <si>
    <t xml:space="preserve">GEORGE NJENGA</t>
  </si>
  <si>
    <t xml:space="preserve">Bussem Ltd Trading -The Apartments</t>
  </si>
  <si>
    <t xml:space="preserve">accassistant5@yaya.co.ke</t>
  </si>
  <si>
    <t xml:space="preserve">0722200427</t>
  </si>
  <si>
    <t xml:space="preserve">CUST101464</t>
  </si>
  <si>
    <t xml:space="preserve">AccAssistant2@yaya.co.ke</t>
  </si>
  <si>
    <t xml:space="preserve">DENNIS OKONJI</t>
  </si>
  <si>
    <t xml:space="preserve">Bussem Ltd Trading -The Shopping Centre</t>
  </si>
  <si>
    <t xml:space="preserve">accassistant3@yaya.co.ke</t>
  </si>
  <si>
    <t xml:space="preserve">CUST101463</t>
  </si>
  <si>
    <t xml:space="preserve">Edna Fernandes</t>
  </si>
  <si>
    <t xml:space="preserve">Bussem Ltd Trading As Yaya Towers</t>
  </si>
  <si>
    <t xml:space="preserve">gm@yaya.co.ke</t>
  </si>
  <si>
    <t xml:space="preserve">0722520702</t>
  </si>
  <si>
    <t xml:space="preserve">CUST100148</t>
  </si>
  <si>
    <t xml:space="preserve">sanyal</t>
  </si>
  <si>
    <t xml:space="preserve">Buyline Industries Ltd</t>
  </si>
  <si>
    <t xml:space="preserve">sanyal@buylineindustries.com</t>
  </si>
  <si>
    <t xml:space="preserve">CUST100149</t>
  </si>
  <si>
    <t xml:space="preserve">buyline@kenyaweb.com</t>
  </si>
  <si>
    <t xml:space="preserve">Noel Ogot</t>
  </si>
  <si>
    <t xml:space="preserve">Cafesserie Ltd</t>
  </si>
  <si>
    <t xml:space="preserve">noelo@cafesserie.com</t>
  </si>
  <si>
    <t xml:space="preserve">0202609338</t>
  </si>
  <si>
    <t xml:space="preserve">CUST100154</t>
  </si>
  <si>
    <t xml:space="preserve">Christine Ngure</t>
  </si>
  <si>
    <t xml:space="preserve">Calltronix Kenya Ltd</t>
  </si>
  <si>
    <t xml:space="preserve">christine.ngure@calltronix.com</t>
  </si>
  <si>
    <t xml:space="preserve">0737294074</t>
  </si>
  <si>
    <t xml:space="preserve">CUST100155</t>
  </si>
  <si>
    <t xml:space="preserve">finance@calltronix.com</t>
  </si>
  <si>
    <t xml:space="preserve">Brenda Kiambi</t>
  </si>
  <si>
    <t xml:space="preserve">Canadian High Commission</t>
  </si>
  <si>
    <t xml:space="preserve">Brenda.Kiambi@international.gc.ca</t>
  </si>
  <si>
    <t xml:space="preserve">CUST100156</t>
  </si>
  <si>
    <t xml:space="preserve">Gigiri</t>
  </si>
  <si>
    <t xml:space="preserve">Hiral Shah</t>
  </si>
  <si>
    <t xml:space="preserve">Capital Square Limited</t>
  </si>
  <si>
    <t xml:space="preserve">hiral.shah@capitalsquare.co.ke</t>
  </si>
  <si>
    <t xml:space="preserve">CUST101393</t>
  </si>
  <si>
    <t xml:space="preserve">David Kilui</t>
  </si>
  <si>
    <t xml:space="preserve">Capital West Limited C/O Knight Frank Kenya</t>
  </si>
  <si>
    <t xml:space="preserve">DAVID.KILUI@KE.KNIGHTFRANK.COM</t>
  </si>
  <si>
    <t xml:space="preserve">CUST100159</t>
  </si>
  <si>
    <t xml:space="preserve">rita.ntara@ke.knightfrank.com</t>
  </si>
  <si>
    <t xml:space="preserve">Paul Abiud</t>
  </si>
  <si>
    <t xml:space="preserve">Capricon Group Ltd</t>
  </si>
  <si>
    <t xml:space="preserve">paulabiud@gmail.com</t>
  </si>
  <si>
    <t xml:space="preserve">CUST100160</t>
  </si>
  <si>
    <t xml:space="preserve">Simon Muya</t>
  </si>
  <si>
    <t xml:space="preserve">Caribbean Food Court</t>
  </si>
  <si>
    <t xml:space="preserve">muyasimon11@gmail.com</t>
  </si>
  <si>
    <t xml:space="preserve">CUST100161</t>
  </si>
  <si>
    <t xml:space="preserve">Carrosel Cleaning Services Carrosel Cleaning Services</t>
  </si>
  <si>
    <t xml:space="preserve">Carrosel Cleaning Services</t>
  </si>
  <si>
    <t xml:space="preserve">CUST100163</t>
  </si>
  <si>
    <t xml:space="preserve">ssakura@carrosel.co.ke</t>
  </si>
  <si>
    <t xml:space="preserve">John</t>
  </si>
  <si>
    <t xml:space="preserve">0705194125</t>
  </si>
  <si>
    <t xml:space="preserve">Susan Veronicah Gikonyo</t>
  </si>
  <si>
    <t xml:space="preserve">Cash and Carry Packaging</t>
  </si>
  <si>
    <t xml:space="preserve">cashandcarrypackaging@gmail.com</t>
  </si>
  <si>
    <t xml:space="preserve">0714219388</t>
  </si>
  <si>
    <t xml:space="preserve">CUST102336</t>
  </si>
  <si>
    <t xml:space="preserve">Dennis Mwitwari</t>
  </si>
  <si>
    <t xml:space="preserve">Cedar Mall Ltd C/O Knight Frank Kenya Ltd</t>
  </si>
  <si>
    <t xml:space="preserve">Dennis.NMwitwari@ke.knightfrank.com</t>
  </si>
  <si>
    <t xml:space="preserve">0725120340</t>
  </si>
  <si>
    <t xml:space="preserve">CUST100165</t>
  </si>
  <si>
    <t xml:space="preserve">Nanyuki</t>
  </si>
  <si>
    <t xml:space="preserve">joy.mugure@ke.knightfrank.com</t>
  </si>
  <si>
    <t xml:space="preserve">Joy Mugure</t>
  </si>
  <si>
    <t xml:space="preserve">Maureen Ndiba.</t>
  </si>
  <si>
    <t xml:space="preserve">Cellulant Kenya Ltd</t>
  </si>
  <si>
    <t xml:space="preserve">ndiba.maureen@cellulant.io</t>
  </si>
  <si>
    <t xml:space="preserve">0725295579</t>
  </si>
  <si>
    <t xml:space="preserve">CUST100166</t>
  </si>
  <si>
    <t xml:space="preserve">Uhuru Highway</t>
  </si>
  <si>
    <t xml:space="preserve">patricia.kioga@cellulant.io</t>
  </si>
  <si>
    <t xml:space="preserve">Samson Natembeya</t>
  </si>
  <si>
    <t xml:space="preserve">samson.natembeya@cellulant.io</t>
  </si>
  <si>
    <t xml:space="preserve">0720 996366</t>
  </si>
  <si>
    <t xml:space="preserve">Kenneth Amugune</t>
  </si>
  <si>
    <t xml:space="preserve">Central Bank Of Kenya</t>
  </si>
  <si>
    <t xml:space="preserve">Amugune@centralban.go.ke</t>
  </si>
  <si>
    <t xml:space="preserve">0722952491</t>
  </si>
  <si>
    <t xml:space="preserve">CUST100167</t>
  </si>
  <si>
    <t xml:space="preserve">KPGOVT</t>
  </si>
  <si>
    <t xml:space="preserve">kamurenjb@centralbank.go.ke</t>
  </si>
  <si>
    <t xml:space="preserve">Kihanya</t>
  </si>
  <si>
    <t xml:space="preserve">Edith Kainyu</t>
  </si>
  <si>
    <t xml:space="preserve">Centrale Humanitaire Medico Pharmaceutique</t>
  </si>
  <si>
    <t xml:space="preserve">reception@chmp-kenya.org</t>
  </si>
  <si>
    <t xml:space="preserve">07279241848</t>
  </si>
  <si>
    <t xml:space="preserve">CUST100168</t>
  </si>
  <si>
    <t xml:space="preserve">logistics.kenya@chmp.org</t>
  </si>
  <si>
    <t xml:space="preserve">Paul Mwangi</t>
  </si>
  <si>
    <t xml:space="preserve">Chaka Ranch Ltd</t>
  </si>
  <si>
    <t xml:space="preserve">paul.mwangi@chakaranch.com</t>
  </si>
  <si>
    <t xml:space="preserve">CUST100170</t>
  </si>
  <si>
    <t xml:space="preserve">Nyeri</t>
  </si>
  <si>
    <t xml:space="preserve">phenny.chiro@chakaranch.com</t>
  </si>
  <si>
    <t xml:space="preserve">Jenifer Njau</t>
  </si>
  <si>
    <t xml:space="preserve">Chania Cleaners Ltd</t>
  </si>
  <si>
    <t xml:space="preserve">info@chaniacleaners.com</t>
  </si>
  <si>
    <t xml:space="preserve">0721992106</t>
  </si>
  <si>
    <t xml:space="preserve">CUST100172</t>
  </si>
  <si>
    <t xml:space="preserve">Edward Mburu</t>
  </si>
  <si>
    <t xml:space="preserve">Chap Chap Ventures</t>
  </si>
  <si>
    <t xml:space="preserve">chapchapventures@gmail.com</t>
  </si>
  <si>
    <t xml:space="preserve">CUST100173</t>
  </si>
  <si>
    <t xml:space="preserve">Pangani</t>
  </si>
  <si>
    <t xml:space="preserve">Mo Verjee</t>
  </si>
  <si>
    <t xml:space="preserve">Cheli &amp; Peacock Management Ltd</t>
  </si>
  <si>
    <t xml:space="preserve">mo.verjee@elewana.com</t>
  </si>
  <si>
    <t xml:space="preserve">0731001174</t>
  </si>
  <si>
    <t xml:space="preserve">CUST100175</t>
  </si>
  <si>
    <t xml:space="preserve">winnie.mbithe@elewana.com</t>
  </si>
  <si>
    <t xml:space="preserve">Salim Bholla</t>
  </si>
  <si>
    <t xml:space="preserve">Salim.Bholla@sopalodges.com</t>
  </si>
  <si>
    <t xml:space="preserve">+254 793 305 015</t>
  </si>
  <si>
    <t xml:space="preserve">Doreen Ltd</t>
  </si>
  <si>
    <t xml:space="preserve">Chemserve Ltd.</t>
  </si>
  <si>
    <t xml:space="preserve">dateyu@chemserve.co.ke</t>
  </si>
  <si>
    <t xml:space="preserve">0799871027</t>
  </si>
  <si>
    <t xml:space="preserve">CUST100176</t>
  </si>
  <si>
    <t xml:space="preserve">rnjoroge@chemserve.co.ke</t>
  </si>
  <si>
    <t xml:space="preserve">Steve Omwenga</t>
  </si>
  <si>
    <t xml:space="preserve">China Zhong Tian Investment Ltd</t>
  </si>
  <si>
    <t xml:space="preserve">finance.lenana@swissinternationalhotels.com</t>
  </si>
  <si>
    <t xml:space="preserve">CUST100182</t>
  </si>
  <si>
    <t xml:space="preserve">Milimani</t>
  </si>
  <si>
    <t xml:space="preserve">Edith Ndichu</t>
  </si>
  <si>
    <t xml:space="preserve">Chiropractic &amp; Physiotherapy Health Centre</t>
  </si>
  <si>
    <t xml:space="preserve">edith@chirophysic.co.ke</t>
  </si>
  <si>
    <t xml:space="preserve">0735052653</t>
  </si>
  <si>
    <t xml:space="preserve">CUST100184</t>
  </si>
  <si>
    <t xml:space="preserve">info@chirophysic.co.ke</t>
  </si>
  <si>
    <t xml:space="preserve">Nazarite Chelamet</t>
  </si>
  <si>
    <t xml:space="preserve">Chirways Limited</t>
  </si>
  <si>
    <t xml:space="preserve">0725174914</t>
  </si>
  <si>
    <t xml:space="preserve">CUST103202</t>
  </si>
  <si>
    <t xml:space="preserve">South Nyanza</t>
  </si>
  <si>
    <t xml:space="preserve">Bomet</t>
  </si>
  <si>
    <t xml:space="preserve">hosea@gmail.com</t>
  </si>
  <si>
    <t xml:space="preserve">gaucho johnny</t>
  </si>
  <si>
    <t xml:space="preserve">Churrasco Gaucho Limited</t>
  </si>
  <si>
    <t xml:space="preserve">CUST100185</t>
  </si>
  <si>
    <t xml:space="preserve">fogogauchofinance@gmail.com</t>
  </si>
  <si>
    <t xml:space="preserve">mr Jonny</t>
  </si>
  <si>
    <t xml:space="preserve">churrascogauchoaccts@gmail.com</t>
  </si>
  <si>
    <t xml:space="preserve">0715414141</t>
  </si>
  <si>
    <t xml:space="preserve">Milton Shivashi</t>
  </si>
  <si>
    <t xml:space="preserve">City Lodge At Two Rivers</t>
  </si>
  <si>
    <t xml:space="preserve">cltworivers.plc@clhg.com</t>
  </si>
  <si>
    <t xml:space="preserve">CUST100186</t>
  </si>
  <si>
    <t xml:space="preserve">edgar.kahenzi@holidayinnnairobi.com</t>
  </si>
  <si>
    <t xml:space="preserve">jane lily jane</t>
  </si>
  <si>
    <t xml:space="preserve">City Professional Cleaners Ltd</t>
  </si>
  <si>
    <t xml:space="preserve">lily@cityprofessionalcleaners.com</t>
  </si>
  <si>
    <t xml:space="preserve">0724379003</t>
  </si>
  <si>
    <t xml:space="preserve">CUST100188</t>
  </si>
  <si>
    <t xml:space="preserve">Litigation Accounts</t>
  </si>
  <si>
    <t xml:space="preserve">Mr. Josphat</t>
  </si>
  <si>
    <t xml:space="preserve">Clarence House Apartments Ltd</t>
  </si>
  <si>
    <t xml:space="preserve">stores@clarencehousenairobi.com</t>
  </si>
  <si>
    <t xml:space="preserve">0729354919</t>
  </si>
  <si>
    <t xml:space="preserve">CUST100190</t>
  </si>
  <si>
    <t xml:space="preserve">accounts@clarencehousenairobi.com</t>
  </si>
  <si>
    <t xml:space="preserve">Joab Clarion</t>
  </si>
  <si>
    <t xml:space="preserve">Clarion Hotel</t>
  </si>
  <si>
    <t xml:space="preserve">0717619652</t>
  </si>
  <si>
    <t xml:space="preserve">CUST100191</t>
  </si>
  <si>
    <t xml:space="preserve">finance@theclarionhotel.co.ke</t>
  </si>
  <si>
    <t xml:space="preserve">Joab Ochieng</t>
  </si>
  <si>
    <t xml:space="preserve">procurement@theclarionhotel.co.ke</t>
  </si>
  <si>
    <t xml:space="preserve">Joan Ochieng</t>
  </si>
  <si>
    <t xml:space="preserve">Fatuma Noor</t>
  </si>
  <si>
    <t xml:space="preserve">Cleanco Investment Ltd</t>
  </si>
  <si>
    <t xml:space="preserve">cleancoinv@gmail.com</t>
  </si>
  <si>
    <t xml:space="preserve">0722281193</t>
  </si>
  <si>
    <t xml:space="preserve">CUST100193</t>
  </si>
  <si>
    <t xml:space="preserve">.</t>
  </si>
  <si>
    <t xml:space="preserve">Cleanmark Limited</t>
  </si>
  <si>
    <t xml:space="preserve">0711877877</t>
  </si>
  <si>
    <t xml:space="preserve">CUST102322</t>
  </si>
  <si>
    <t xml:space="preserve">cleanmarklimited@gmail.com</t>
  </si>
  <si>
    <t xml:space="preserve">Cleanmark</t>
  </si>
  <si>
    <t xml:space="preserve">Zack korir</t>
  </si>
  <si>
    <t xml:space="preserve">James Wambugu</t>
  </si>
  <si>
    <t xml:space="preserve">Clique Limited</t>
  </si>
  <si>
    <t xml:space="preserve">stores@clique.co.ke</t>
  </si>
  <si>
    <t xml:space="preserve">CUST100196</t>
  </si>
  <si>
    <t xml:space="preserve">info@clique.co.ke</t>
  </si>
  <si>
    <t xml:space="preserve">Abel Karanja</t>
  </si>
  <si>
    <t xml:space="preserve">Cold Springs Hotel</t>
  </si>
  <si>
    <t xml:space="preserve">abelkaranja6@gmail.com</t>
  </si>
  <si>
    <t xml:space="preserve">0712449429</t>
  </si>
  <si>
    <t xml:space="preserve">CUST100197</t>
  </si>
  <si>
    <t xml:space="preserve">info@coldspringshotels.com</t>
  </si>
  <si>
    <t xml:space="preserve">Mary Mwendwa</t>
  </si>
  <si>
    <t xml:space="preserve">College Of Human Resource Management</t>
  </si>
  <si>
    <t xml:space="preserve">mary.mwendwa@ihrm.or.ke</t>
  </si>
  <si>
    <t xml:space="preserve">CUST100198</t>
  </si>
  <si>
    <t xml:space="preserve">LOICE ACHIENG</t>
  </si>
  <si>
    <t xml:space="preserve">College Of Insurance</t>
  </si>
  <si>
    <t xml:space="preserve">lachieng@coi.ac.ke</t>
  </si>
  <si>
    <t xml:space="preserve">0726342331</t>
  </si>
  <si>
    <t xml:space="preserve">CUST100199</t>
  </si>
  <si>
    <t xml:space="preserve">Joan Imelda</t>
  </si>
  <si>
    <t xml:space="preserve">Colnet Limited</t>
  </si>
  <si>
    <t xml:space="preserve">payablesaccounts@colnet.co.ke</t>
  </si>
  <si>
    <t xml:space="preserve">0782555537</t>
  </si>
  <si>
    <t xml:space="preserve">CUST103187</t>
  </si>
  <si>
    <t xml:space="preserve">stores@colnet.co.ke</t>
  </si>
  <si>
    <t xml:space="preserve">Moureen N</t>
  </si>
  <si>
    <t xml:space="preserve">Columbia Africa Healthcare Ltd</t>
  </si>
  <si>
    <t xml:space="preserve">moureen.n@columbiaafrica.com</t>
  </si>
  <si>
    <t xml:space="preserve">254 709 496 000</t>
  </si>
  <si>
    <t xml:space="preserve">CUST100200</t>
  </si>
  <si>
    <t xml:space="preserve">Lavington</t>
  </si>
  <si>
    <t xml:space="preserve">irene Jabanda</t>
  </si>
  <si>
    <t xml:space="preserve">Compassion International INC</t>
  </si>
  <si>
    <t xml:space="preserve">IRmuri@ke.ci.org</t>
  </si>
  <si>
    <t xml:space="preserve">0720209079</t>
  </si>
  <si>
    <t xml:space="preserve">CUST100202</t>
  </si>
  <si>
    <t xml:space="preserve">rmuiru@ke.ci.org</t>
  </si>
  <si>
    <t xml:space="preserve">Miss Rahma</t>
  </si>
  <si>
    <t xml:space="preserve">Comprehensive Diabetes Centre</t>
  </si>
  <si>
    <t xml:space="preserve">cdiabetescentre@gmail.com</t>
  </si>
  <si>
    <t xml:space="preserve">+254 711 781299</t>
  </si>
  <si>
    <t xml:space="preserve">CUST103448</t>
  </si>
  <si>
    <t xml:space="preserve">cdiabetescentre@gmail.com; rahma@cdiabetescentre.com</t>
  </si>
  <si>
    <t xml:space="preserve">Jones Aranda</t>
  </si>
  <si>
    <t xml:space="preserve">Concern Worldwide</t>
  </si>
  <si>
    <t xml:space="preserve">jones.aranda@concern.net</t>
  </si>
  <si>
    <t xml:space="preserve">CUST100203</t>
  </si>
  <si>
    <t xml:space="preserve">rose.shaviya@concern.net</t>
  </si>
  <si>
    <t xml:space="preserve">Frank Muluma</t>
  </si>
  <si>
    <t xml:space="preserve">Connect Coffee</t>
  </si>
  <si>
    <t xml:space="preserve">orders@connectcoffee.net</t>
  </si>
  <si>
    <t xml:space="preserve">0748812404</t>
  </si>
  <si>
    <t xml:space="preserve">CUST101504</t>
  </si>
  <si>
    <t xml:space="preserve">accounts@connectcoffee.net</t>
  </si>
  <si>
    <t xml:space="preserve">Kevin None</t>
  </si>
  <si>
    <t xml:space="preserve">Back office</t>
  </si>
  <si>
    <t xml:space="preserve">Erick Kimuyu</t>
  </si>
  <si>
    <t xml:space="preserve">Convent International Hotel Ltd</t>
  </si>
  <si>
    <t xml:space="preserve">accounts@cigh.co.ke</t>
  </si>
  <si>
    <t xml:space="preserve">CUST100204</t>
  </si>
  <si>
    <t xml:space="preserve">info@cigh.co.ke</t>
  </si>
  <si>
    <t xml:space="preserve">Janet</t>
  </si>
  <si>
    <t xml:space="preserve">Salome Mwasi</t>
  </si>
  <si>
    <t xml:space="preserve">procurement@cigh.co.ke</t>
  </si>
  <si>
    <t xml:space="preserve">0723665525</t>
  </si>
  <si>
    <t xml:space="preserve">Goddie Goddy</t>
  </si>
  <si>
    <t xml:space="preserve">Coromandele Resort Limited</t>
  </si>
  <si>
    <t xml:space="preserve">stores@kinondo-kwetu.com</t>
  </si>
  <si>
    <t xml:space="preserve">0768184569</t>
  </si>
  <si>
    <t xml:space="preserve">CUST100207</t>
  </si>
  <si>
    <t xml:space="preserve">Diani</t>
  </si>
  <si>
    <t xml:space="preserve">accounting@kinundo-kwetu.com</t>
  </si>
  <si>
    <t xml:space="preserve">0717006899</t>
  </si>
  <si>
    <t xml:space="preserve">0724999293</t>
  </si>
  <si>
    <t xml:space="preserve">Muturi</t>
  </si>
  <si>
    <t xml:space="preserve">Cossta Caffee</t>
  </si>
  <si>
    <t xml:space="preserve">CUST100208</t>
  </si>
  <si>
    <t xml:space="preserve">cosstacaffe@gmail.com</t>
  </si>
  <si>
    <t xml:space="preserve">Sebastian</t>
  </si>
  <si>
    <t xml:space="preserve">Craft Silicon Ltd</t>
  </si>
  <si>
    <t xml:space="preserve">CUST100212</t>
  </si>
  <si>
    <t xml:space="preserve">finance@craftsilicon.com</t>
  </si>
  <si>
    <t xml:space="preserve">Tejash Joshi</t>
  </si>
  <si>
    <t xml:space="preserve">tejash.joshi@craftsilicon.com</t>
  </si>
  <si>
    <t xml:space="preserve">0737840343</t>
  </si>
  <si>
    <t xml:space="preserve">Fiona Mutheu</t>
  </si>
  <si>
    <t xml:space="preserve">Cranch Africa Ltd</t>
  </si>
  <si>
    <t xml:space="preserve">fionare@yahoo.com</t>
  </si>
  <si>
    <t xml:space="preserve">0720924233</t>
  </si>
  <si>
    <t xml:space="preserve">CUST102441</t>
  </si>
  <si>
    <t xml:space="preserve">Langata</t>
  </si>
  <si>
    <t xml:space="preserve">cranchafricaltd@gmail.com</t>
  </si>
  <si>
    <t xml:space="preserve">Rachel Wahito</t>
  </si>
  <si>
    <t xml:space="preserve">Crave Ltd</t>
  </si>
  <si>
    <t xml:space="preserve">rachel.wahito@gmail.com</t>
  </si>
  <si>
    <t xml:space="preserve">CUST100213</t>
  </si>
  <si>
    <t xml:space="preserve">Kawangware</t>
  </si>
  <si>
    <t xml:space="preserve">Herina Onyach</t>
  </si>
  <si>
    <t xml:space="preserve">Creative Cleaning Services Limited - Mombasa</t>
  </si>
  <si>
    <t xml:space="preserve">honyach@creativemgmt.co.ke</t>
  </si>
  <si>
    <t xml:space="preserve">0720026941</t>
  </si>
  <si>
    <t xml:space="preserve">Steve</t>
  </si>
  <si>
    <t xml:space="preserve">CUST101165</t>
  </si>
  <si>
    <t xml:space="preserve">Christine Wanjiru Ndung'u</t>
  </si>
  <si>
    <t xml:space="preserve">Cyfenna Company Limited</t>
  </si>
  <si>
    <t xml:space="preserve">info@cyfenna.co.ke</t>
  </si>
  <si>
    <t xml:space="preserve">0722254764</t>
  </si>
  <si>
    <t xml:space="preserve">CUST101869</t>
  </si>
  <si>
    <t xml:space="preserve">George Anyiri</t>
  </si>
  <si>
    <t xml:space="preserve">Cytonn Investments Management Ltd</t>
  </si>
  <si>
    <t xml:space="preserve">ganyiri@cytonn.com</t>
  </si>
  <si>
    <t xml:space="preserve">0712646 566</t>
  </si>
  <si>
    <t xml:space="preserve">CUST100218</t>
  </si>
  <si>
    <t xml:space="preserve">admin@cytonn.com.</t>
  </si>
  <si>
    <t xml:space="preserve">Noeline Kisang</t>
  </si>
  <si>
    <t xml:space="preserve">nkisang@cytonn.com</t>
  </si>
  <si>
    <t xml:space="preserve">0715584000</t>
  </si>
  <si>
    <t xml:space="preserve">Patrick Waweru</t>
  </si>
  <si>
    <t xml:space="preserve">D.T. Dobie</t>
  </si>
  <si>
    <t xml:space="preserve">pwaweru@cfao.com</t>
  </si>
  <si>
    <t xml:space="preserve">0723024244</t>
  </si>
  <si>
    <t xml:space="preserve">CUST100219</t>
  </si>
  <si>
    <t xml:space="preserve">wkuria@cfao.com</t>
  </si>
  <si>
    <t xml:space="preserve">Mary Macharia</t>
  </si>
  <si>
    <t xml:space="preserve">DIB Bank Kenya</t>
  </si>
  <si>
    <t xml:space="preserve">mary.macharia@dibkenya.co.ke</t>
  </si>
  <si>
    <t xml:space="preserve">0722349321</t>
  </si>
  <si>
    <t xml:space="preserve">CUST100239</t>
  </si>
  <si>
    <t xml:space="preserve">Betty Muthamia</t>
  </si>
  <si>
    <t xml:space="preserve">Dallas Premiere Hotel Limited</t>
  </si>
  <si>
    <t xml:space="preserve">betty@dallas.ke</t>
  </si>
  <si>
    <t xml:space="preserve">0722795173</t>
  </si>
  <si>
    <t xml:space="preserve">CUST103063</t>
  </si>
  <si>
    <t xml:space="preserve">Kisii</t>
  </si>
  <si>
    <t xml:space="preserve">joel@dallas.ke</t>
  </si>
  <si>
    <t xml:space="preserve">Cathrine wanjiru</t>
  </si>
  <si>
    <t xml:space="preserve">Dash Growth Cleaning Services</t>
  </si>
  <si>
    <t xml:space="preserve">dashgrowth@gmail.com</t>
  </si>
  <si>
    <t xml:space="preserve">0718929717</t>
  </si>
  <si>
    <t xml:space="preserve">CUST101905</t>
  </si>
  <si>
    <t xml:space="preserve">Runda</t>
  </si>
  <si>
    <t xml:space="preserve">Dash Growth cleaning services</t>
  </si>
  <si>
    <t xml:space="preserve">Olivia Mwangi</t>
  </si>
  <si>
    <t xml:space="preserve">Daykio Plantations Ltd</t>
  </si>
  <si>
    <t xml:space="preserve">info@daykio.com</t>
  </si>
  <si>
    <t xml:space="preserve">CUST100223</t>
  </si>
  <si>
    <t xml:space="preserve">Judith Angima</t>
  </si>
  <si>
    <t xml:space="preserve">Daystar University Enterprises</t>
  </si>
  <si>
    <t xml:space="preserve">del@daystar.ac.ke</t>
  </si>
  <si>
    <t xml:space="preserve">0738414150</t>
  </si>
  <si>
    <t xml:space="preserve">CUST100224</t>
  </si>
  <si>
    <t xml:space="preserve">Athi River</t>
  </si>
  <si>
    <t xml:space="preserve">sgithu@daystar.ac.ke</t>
  </si>
  <si>
    <t xml:space="preserve">CHRIS KAMAU</t>
  </si>
  <si>
    <t xml:space="preserve">De Chrip E A Ltd</t>
  </si>
  <si>
    <t xml:space="preserve">0725290796</t>
  </si>
  <si>
    <t xml:space="preserve">CUST100225</t>
  </si>
  <si>
    <t xml:space="preserve">dechripealimited@gmail.com</t>
  </si>
  <si>
    <t xml:space="preserve">Chris Kamau</t>
  </si>
  <si>
    <t xml:space="preserve">Caroline Wairimu</t>
  </si>
  <si>
    <t xml:space="preserve">De La Rue Kenya Epz Ltd</t>
  </si>
  <si>
    <t xml:space="preserve">caroline.wairimu@delarue.com</t>
  </si>
  <si>
    <t xml:space="preserve">CUST100226</t>
  </si>
  <si>
    <t xml:space="preserve">Kahawa</t>
  </si>
  <si>
    <t xml:space="preserve">nancy.kimuyu@delarue.com</t>
  </si>
  <si>
    <t xml:space="preserve">Frederick Agesa</t>
  </si>
  <si>
    <t xml:space="preserve">frederick.agesa@delarue.com</t>
  </si>
  <si>
    <t xml:space="preserve">Dominic Mwinzi</t>
  </si>
  <si>
    <t xml:space="preserve">Delta Corner Main Management C/O Knightfrank</t>
  </si>
  <si>
    <t xml:space="preserve">Dominic.Mwinzi@ke.knightfrank.com</t>
  </si>
  <si>
    <t xml:space="preserve">CUST100230</t>
  </si>
  <si>
    <t xml:space="preserve">Deluxe inks ltd</t>
  </si>
  <si>
    <t xml:space="preserve">Deluxe Inks Ltd</t>
  </si>
  <si>
    <t xml:space="preserve">CUST100231</t>
  </si>
  <si>
    <t xml:space="preserve">pb.finance@deluxeinks.com</t>
  </si>
  <si>
    <t xml:space="preserve">Alnoor Dhanjee</t>
  </si>
  <si>
    <t xml:space="preserve">Dhanjee Brothers</t>
  </si>
  <si>
    <t xml:space="preserve">dhanjee.brothers@gmail.com</t>
  </si>
  <si>
    <t xml:space="preserve">0722153863</t>
  </si>
  <si>
    <t xml:space="preserve">CUST100235</t>
  </si>
  <si>
    <t xml:space="preserve">John Matheri</t>
  </si>
  <si>
    <t xml:space="preserve">Diamond Sparkle Limited</t>
  </si>
  <si>
    <t xml:space="preserve">0790716658</t>
  </si>
  <si>
    <t xml:space="preserve">CUST101538</t>
  </si>
  <si>
    <t xml:space="preserve">unduku12@gmail.com</t>
  </si>
  <si>
    <t xml:space="preserve">Veronica Nduko</t>
  </si>
  <si>
    <t xml:space="preserve">info@diamondsparkle.co.ke</t>
  </si>
  <si>
    <t xml:space="preserve">James Otunga</t>
  </si>
  <si>
    <t xml:space="preserve">Diamond Trust Bank Kenya Ltd</t>
  </si>
  <si>
    <t xml:space="preserve">jotunga@dtbafrica.com</t>
  </si>
  <si>
    <t xml:space="preserve">0719031888</t>
  </si>
  <si>
    <t xml:space="preserve">CUST100238</t>
  </si>
  <si>
    <t xml:space="preserve">wkevelenge@dtbafrica.com</t>
  </si>
  <si>
    <t xml:space="preserve">Phyllis Mwangi</t>
  </si>
  <si>
    <t xml:space="preserve">Dion Wine &amp; Spirits E.A ltd</t>
  </si>
  <si>
    <t xml:space="preserve">phyllis@dionwinesea.com</t>
  </si>
  <si>
    <t xml:space="preserve">CUST101525</t>
  </si>
  <si>
    <t xml:space="preserve">WANJIRU</t>
  </si>
  <si>
    <t xml:space="preserve">Disposable Packaging Limited</t>
  </si>
  <si>
    <t xml:space="preserve">disposable@yahoo.com</t>
  </si>
  <si>
    <t xml:space="preserve">0725987997</t>
  </si>
  <si>
    <t xml:space="preserve">CUST101479</t>
  </si>
  <si>
    <t xml:space="preserve">Ngara</t>
  </si>
  <si>
    <t xml:space="preserve">dpackagingltd@gmail.com</t>
  </si>
  <si>
    <t xml:space="preserve">Denice Owoko.</t>
  </si>
  <si>
    <t xml:space="preserve">Diversey Eastern &amp; Central Africa Ltd</t>
  </si>
  <si>
    <t xml:space="preserve">denice.owoko@diversey.com</t>
  </si>
  <si>
    <t xml:space="preserve">0703 040000</t>
  </si>
  <si>
    <t xml:space="preserve">CUST100242</t>
  </si>
  <si>
    <t xml:space="preserve">wgachini@contractor.solenis.com</t>
  </si>
  <si>
    <t xml:space="preserve">John Ogweche</t>
  </si>
  <si>
    <t xml:space="preserve">john.ogweche@diversey.com</t>
  </si>
  <si>
    <t xml:space="preserve">Mark Gitonga</t>
  </si>
  <si>
    <t xml:space="preserve">Mark.Gitonga@diversey.com</t>
  </si>
  <si>
    <t xml:space="preserve">0703 040 236</t>
  </si>
  <si>
    <t xml:space="preserve">Immaculate Munyalo</t>
  </si>
  <si>
    <t xml:space="preserve">Dormans Coffee Ltd</t>
  </si>
  <si>
    <t xml:space="preserve">immaculate.munyalo@dormanscoffee.com</t>
  </si>
  <si>
    <t xml:space="preserve">CUST100248</t>
  </si>
  <si>
    <t xml:space="preserve">kevin@dorman.co.ke</t>
  </si>
  <si>
    <t xml:space="preserve">Francis Kinyua</t>
  </si>
  <si>
    <t xml:space="preserve">Dowaki Limited</t>
  </si>
  <si>
    <t xml:space="preserve">sales.dowaltd@gmail.com</t>
  </si>
  <si>
    <t xml:space="preserve">CUST101876</t>
  </si>
  <si>
    <t xml:space="preserve">sales.dowakiltd@gmail.com</t>
  </si>
  <si>
    <t xml:space="preserve">Nizar Verjee</t>
  </si>
  <si>
    <t xml:space="preserve">Dr Nizar J Verjee</t>
  </si>
  <si>
    <t xml:space="preserve">nizarverjee@gmail.com</t>
  </si>
  <si>
    <t xml:space="preserve">CUST100249</t>
  </si>
  <si>
    <t xml:space="preserve">Sharlene Cheruto</t>
  </si>
  <si>
    <t xml:space="preserve">Dr. Charles Kariuki - Nairobi Hospital</t>
  </si>
  <si>
    <t xml:space="preserve">payables.silversteinkariuki@gmail.com</t>
  </si>
  <si>
    <t xml:space="preserve">0733370057</t>
  </si>
  <si>
    <t xml:space="preserve">CUST100252</t>
  </si>
  <si>
    <t xml:space="preserve">ckaccnts@silversteinkariuki.com</t>
  </si>
  <si>
    <t xml:space="preserve">Habiba</t>
  </si>
  <si>
    <t xml:space="preserve">Dua Beauty Zone</t>
  </si>
  <si>
    <t xml:space="preserve">0727623589</t>
  </si>
  <si>
    <t xml:space="preserve">Mercy Gathua</t>
  </si>
  <si>
    <t xml:space="preserve">CUST100254</t>
  </si>
  <si>
    <t xml:space="preserve">Kariobangi south</t>
  </si>
  <si>
    <t xml:space="preserve">MUTSILILAH@GMAIL.COM</t>
  </si>
  <si>
    <t xml:space="preserve">shital shah</t>
  </si>
  <si>
    <t xml:space="preserve">Durham International Schools Ltd</t>
  </si>
  <si>
    <t xml:space="preserve">finance@durhamkenya.com</t>
  </si>
  <si>
    <t xml:space="preserve">0787387426</t>
  </si>
  <si>
    <t xml:space="preserve">CUST101410</t>
  </si>
  <si>
    <t xml:space="preserve">s.small@durhamkenya.com</t>
  </si>
  <si>
    <t xml:space="preserve">John Mutiso</t>
  </si>
  <si>
    <t xml:space="preserve">EAT 'N' GO LIMITED</t>
  </si>
  <si>
    <t xml:space="preserve">john.mutiso@eatngo-kenya.com</t>
  </si>
  <si>
    <t xml:space="preserve">CUST100707</t>
  </si>
  <si>
    <t xml:space="preserve">victorosore@omnomnomafrica.com</t>
  </si>
  <si>
    <t xml:space="preserve">johnmutiso@omnomnomafrica.com</t>
  </si>
  <si>
    <t xml:space="preserve">Stephen Musembi</t>
  </si>
  <si>
    <t xml:space="preserve">0729247987</t>
  </si>
  <si>
    <t xml:space="preserve">Victor Osore</t>
  </si>
  <si>
    <t xml:space="preserve">Caroline Watiri</t>
  </si>
  <si>
    <t xml:space="preserve">Eako Holding Ltd</t>
  </si>
  <si>
    <t xml:space="preserve">eakoholdingsltd@hotmail.com</t>
  </si>
  <si>
    <t xml:space="preserve">0780292138</t>
  </si>
  <si>
    <t xml:space="preserve">CUST101402</t>
  </si>
  <si>
    <t xml:space="preserve">Liz Liz</t>
  </si>
  <si>
    <t xml:space="preserve">East African Chains Ltd</t>
  </si>
  <si>
    <t xml:space="preserve">imports@eacl.co.ke</t>
  </si>
  <si>
    <t xml:space="preserve">CUST100256</t>
  </si>
  <si>
    <t xml:space="preserve">kenfire@kenyafire.com</t>
  </si>
  <si>
    <t xml:space="preserve">Polly Ntinyari Ntinyari</t>
  </si>
  <si>
    <t xml:space="preserve">Echo Network Africa Limited</t>
  </si>
  <si>
    <t xml:space="preserve">procurement@enafrica.org</t>
  </si>
  <si>
    <t xml:space="preserve">0727910000</t>
  </si>
  <si>
    <t xml:space="preserve">CUST100262</t>
  </si>
  <si>
    <t xml:space="preserve">vnagwalla@enafrica.org</t>
  </si>
  <si>
    <t xml:space="preserve">Collins Ombaso</t>
  </si>
  <si>
    <t xml:space="preserve">Ecolab East Africa</t>
  </si>
  <si>
    <t xml:space="preserve">collins.ombaso@ecolab.com</t>
  </si>
  <si>
    <t xml:space="preserve">CUST100264</t>
  </si>
  <si>
    <t xml:space="preserve">immaculate.matungu@ecolab.com</t>
  </si>
  <si>
    <t xml:space="preserve">Dorothy Achieng'</t>
  </si>
  <si>
    <t xml:space="preserve">dorothy.achieng@ecolab.com</t>
  </si>
  <si>
    <t xml:space="preserve">ANN Ann</t>
  </si>
  <si>
    <t xml:space="preserve">Ecoloo Africa Ltd</t>
  </si>
  <si>
    <t xml:space="preserve">admin@ecolooafrica.com</t>
  </si>
  <si>
    <t xml:space="preserve">0728643954</t>
  </si>
  <si>
    <t xml:space="preserve">CUST100265</t>
  </si>
  <si>
    <t xml:space="preserve">info@ecolooafrica.com</t>
  </si>
  <si>
    <t xml:space="preserve">Polycap Mwangi</t>
  </si>
  <si>
    <t xml:space="preserve">Eddor Limited</t>
  </si>
  <si>
    <t xml:space="preserve">eddorlimited@gmail.com</t>
  </si>
  <si>
    <t xml:space="preserve">CUST100266</t>
  </si>
  <si>
    <t xml:space="preserve">Jogoo road</t>
  </si>
  <si>
    <t xml:space="preserve">susan</t>
  </si>
  <si>
    <t xml:space="preserve">Edelvale Trust-Jamaa Home &amp;Mission Hospital</t>
  </si>
  <si>
    <t xml:space="preserve">jamaa@edelvaletrust.org</t>
  </si>
  <si>
    <t xml:space="preserve">0717242742</t>
  </si>
  <si>
    <t xml:space="preserve">CUST100267</t>
  </si>
  <si>
    <t xml:space="preserve">Buru buru</t>
  </si>
  <si>
    <t xml:space="preserve">Angela Mwangi</t>
  </si>
  <si>
    <t xml:space="preserve">Eden Heights Realty Ltd</t>
  </si>
  <si>
    <t xml:space="preserve">angela@edenheightsrealty.com</t>
  </si>
  <si>
    <t xml:space="preserve">0731 813 577</t>
  </si>
  <si>
    <t xml:space="preserve">CUST100268</t>
  </si>
  <si>
    <t xml:space="preserve">karengatavinnie@gmail.com</t>
  </si>
  <si>
    <t xml:space="preserve">Vinnie Karengeta</t>
  </si>
  <si>
    <t xml:space="preserve">Gathura Gachagua</t>
  </si>
  <si>
    <t xml:space="preserve">Edwards Trading Co Ltd</t>
  </si>
  <si>
    <t xml:space="preserve">gathuragachagua@gmail.com</t>
  </si>
  <si>
    <t xml:space="preserve">CUST100271</t>
  </si>
  <si>
    <t xml:space="preserve">Taita</t>
  </si>
  <si>
    <t xml:space="preserve">Nicholas Kirui</t>
  </si>
  <si>
    <t xml:space="preserve">Eka Hotel Ltd-Eldoret</t>
  </si>
  <si>
    <t xml:space="preserve">nkiriu@ekahotel.com</t>
  </si>
  <si>
    <t xml:space="preserve">CUST100273</t>
  </si>
  <si>
    <t xml:space="preserve">North Rift</t>
  </si>
  <si>
    <t xml:space="preserve">Eldoret</t>
  </si>
  <si>
    <t xml:space="preserve">voruoch@ekaeldoret.com</t>
  </si>
  <si>
    <t xml:space="preserve">Elizabeth Masheti</t>
  </si>
  <si>
    <t xml:space="preserve">Elgon Road Developments Ltd - Radisson Blu</t>
  </si>
  <si>
    <t xml:space="preserve">0717165279</t>
  </si>
  <si>
    <t xml:space="preserve">CUST100275</t>
  </si>
  <si>
    <t xml:space="preserve">receiving@radissonblunairobi.com</t>
  </si>
  <si>
    <t xml:space="preserve">Eric bob Otieno</t>
  </si>
  <si>
    <t xml:space="preserve">eric.otieno@radissonblunairobi.com</t>
  </si>
  <si>
    <t xml:space="preserve">0721829706</t>
  </si>
  <si>
    <t xml:space="preserve">James Mwaura</t>
  </si>
  <si>
    <t xml:space="preserve">james.mwaura@radissonblu.com</t>
  </si>
  <si>
    <t xml:space="preserve">Sally Askari</t>
  </si>
  <si>
    <t xml:space="preserve">Elizabeth Glaser Pediatric Aids Foundation</t>
  </si>
  <si>
    <t xml:space="preserve">saskari@pedaids.org</t>
  </si>
  <si>
    <t xml:space="preserve">0720874773</t>
  </si>
  <si>
    <t xml:space="preserve">CUST100276</t>
  </si>
  <si>
    <t xml:space="preserve">belseba@pedaids.org</t>
  </si>
  <si>
    <t xml:space="preserve">Mary njuguna</t>
  </si>
  <si>
    <t xml:space="preserve">Emmanuel Baptist Church</t>
  </si>
  <si>
    <t xml:space="preserve">admin@ebcnairobi.org</t>
  </si>
  <si>
    <t xml:space="preserve">CUST100280</t>
  </si>
  <si>
    <t xml:space="preserve">Louisa Bonareri Bonareri</t>
  </si>
  <si>
    <t xml:space="preserve">Empal Limited</t>
  </si>
  <si>
    <t xml:space="preserve">stella@ov.co.ke</t>
  </si>
  <si>
    <t xml:space="preserve">0723736530</t>
  </si>
  <si>
    <t xml:space="preserve">CUST102459</t>
  </si>
  <si>
    <t xml:space="preserve">empallimited@gmail.com</t>
  </si>
  <si>
    <t xml:space="preserve">Charles Maina</t>
  </si>
  <si>
    <t xml:space="preserve">Enashipai Resort &amp; Spa</t>
  </si>
  <si>
    <t xml:space="preserve">cmaina@enashipai.com</t>
  </si>
  <si>
    <t xml:space="preserve">CUST100281</t>
  </si>
  <si>
    <t xml:space="preserve">payables@enashipai.com</t>
  </si>
  <si>
    <t xml:space="preserve">Kizito Witaba</t>
  </si>
  <si>
    <t xml:space="preserve">kwitaba@enashipai.com</t>
  </si>
  <si>
    <t xml:space="preserve">Caroline Mathenge</t>
  </si>
  <si>
    <t xml:space="preserve">Enkorok Mara Camp Ltd</t>
  </si>
  <si>
    <t xml:space="preserve">reservations@enkorokmaracamp.com</t>
  </si>
  <si>
    <t xml:space="preserve">0726 684513</t>
  </si>
  <si>
    <t xml:space="preserve">CUST100283</t>
  </si>
  <si>
    <t xml:space="preserve">caroline@asiliadventuresafaris.com</t>
  </si>
  <si>
    <t xml:space="preserve">Edwin Oguna</t>
  </si>
  <si>
    <t xml:space="preserve">Envirocare General Agencies Ltd</t>
  </si>
  <si>
    <t xml:space="preserve">envirocarecleaningservices@gmail.com</t>
  </si>
  <si>
    <t xml:space="preserve">0717972032</t>
  </si>
  <si>
    <t xml:space="preserve">CUST100284</t>
  </si>
  <si>
    <t xml:space="preserve">info@envirocare.co.ke</t>
  </si>
  <si>
    <t xml:space="preserve">Benard Atita</t>
  </si>
  <si>
    <t xml:space="preserve">Equatorial Star Holdings Limited</t>
  </si>
  <si>
    <t xml:space="preserve">hk@okashhotel.com</t>
  </si>
  <si>
    <t xml:space="preserve">0759609822</t>
  </si>
  <si>
    <t xml:space="preserve">CUST102911</t>
  </si>
  <si>
    <t xml:space="preserve">gm@okashhotel.com</t>
  </si>
  <si>
    <t xml:space="preserve">Catherine Catherine</t>
  </si>
  <si>
    <t xml:space="preserve">0798691890</t>
  </si>
  <si>
    <t xml:space="preserve">Rose Oketch</t>
  </si>
  <si>
    <t xml:space="preserve">Equitorial Office Plus Ltd</t>
  </si>
  <si>
    <t xml:space="preserve">rose.oketch@equatorialofficeplus.com</t>
  </si>
  <si>
    <t xml:space="preserve">CUST100287</t>
  </si>
  <si>
    <t xml:space="preserve">Samuel Bari</t>
  </si>
  <si>
    <t xml:space="preserve">Equity Bank Ltd</t>
  </si>
  <si>
    <t xml:space="preserve">samuel.bari@equitybank.co.ke</t>
  </si>
  <si>
    <t xml:space="preserve">CUST100288</t>
  </si>
  <si>
    <t xml:space="preserve">Peter Mureithi</t>
  </si>
  <si>
    <t xml:space="preserve">Eris Industries</t>
  </si>
  <si>
    <t xml:space="preserve">erisind@yahoo.com</t>
  </si>
  <si>
    <t xml:space="preserve">0722913333</t>
  </si>
  <si>
    <t xml:space="preserve">CUST102378</t>
  </si>
  <si>
    <t xml:space="preserve">erisinde@yahoo.com</t>
  </si>
  <si>
    <t xml:space="preserve">Patrick Gachie</t>
  </si>
  <si>
    <t xml:space="preserve">Ernst and Young Ltd</t>
  </si>
  <si>
    <t xml:space="preserve">patrick.gachie@ke.ey.com</t>
  </si>
  <si>
    <t xml:space="preserve">CUST100290</t>
  </si>
  <si>
    <t xml:space="preserve">James Kamau</t>
  </si>
  <si>
    <t xml:space="preserve">Eseriani Resort Limited</t>
  </si>
  <si>
    <t xml:space="preserve">resort.controls@eserianihotels.co.ke</t>
  </si>
  <si>
    <t xml:space="preserve">0710813805</t>
  </si>
  <si>
    <t xml:space="preserve">CUST102774</t>
  </si>
  <si>
    <t xml:space="preserve">resorts.controls@eserianihotels.com</t>
  </si>
  <si>
    <t xml:space="preserve">Maggy Kanake</t>
  </si>
  <si>
    <t xml:space="preserve">Exciting Hotel</t>
  </si>
  <si>
    <t xml:space="preserve">maggykanake@gmail.com</t>
  </si>
  <si>
    <t xml:space="preserve">CUST101918</t>
  </si>
  <si>
    <t xml:space="preserve">Ongata Rongai</t>
  </si>
  <si>
    <t xml:space="preserve">Mehul mehul</t>
  </si>
  <si>
    <t xml:space="preserve">Executive Concepts Ltd</t>
  </si>
  <si>
    <t xml:space="preserve">mehul@executivekenya.com</t>
  </si>
  <si>
    <t xml:space="preserve">0722955416</t>
  </si>
  <si>
    <t xml:space="preserve">CUST100295</t>
  </si>
  <si>
    <t xml:space="preserve">Hita Kodak</t>
  </si>
  <si>
    <t xml:space="preserve">Executive Rentals Ltd</t>
  </si>
  <si>
    <t xml:space="preserve">CUST101428</t>
  </si>
  <si>
    <t xml:space="preserve">accounts@executiverentalsltd.com</t>
  </si>
  <si>
    <t xml:space="preserve">Hita Kotak</t>
  </si>
  <si>
    <t xml:space="preserve">hita@executiverentalsltd.com</t>
  </si>
  <si>
    <t xml:space="preserve">0708044003</t>
  </si>
  <si>
    <t xml:space="preserve">Joseph</t>
  </si>
  <si>
    <t xml:space="preserve">Fahari Hotels Ltd</t>
  </si>
  <si>
    <t xml:space="preserve">faharigardenshotel@gmail.com</t>
  </si>
  <si>
    <t xml:space="preserve">0779 312549</t>
  </si>
  <si>
    <t xml:space="preserve">CUST100299</t>
  </si>
  <si>
    <t xml:space="preserve">Utawala</t>
  </si>
  <si>
    <t xml:space="preserve">sales@faharigardenshotel.co.ke</t>
  </si>
  <si>
    <t xml:space="preserve">Peris Mbuthia</t>
  </si>
  <si>
    <t xml:space="preserve">faharigardens7@gmail.com</t>
  </si>
  <si>
    <t xml:space="preserve">0778585506</t>
  </si>
  <si>
    <t xml:space="preserve">Betty Mugweru</t>
  </si>
  <si>
    <t xml:space="preserve">Faida Investment Bank</t>
  </si>
  <si>
    <t xml:space="preserve">betty.mugweru@fib.co.ke</t>
  </si>
  <si>
    <t xml:space="preserve">CUST100300</t>
  </si>
  <si>
    <t xml:space="preserve">Rufus Mwangi</t>
  </si>
  <si>
    <t xml:space="preserve">Fairview Hotel</t>
  </si>
  <si>
    <t xml:space="preserve">fpurchasing@clhg.com</t>
  </si>
  <si>
    <t xml:space="preserve">CUST100301</t>
  </si>
  <si>
    <t xml:space="preserve">Community</t>
  </si>
  <si>
    <t xml:space="preserve">rufus.mwangi@fairviewkenya.com</t>
  </si>
  <si>
    <t xml:space="preserve">Humphrey Lusakia</t>
  </si>
  <si>
    <t xml:space="preserve">Falcon Heights Management Company</t>
  </si>
  <si>
    <t xml:space="preserve">stores@maiyan.co.ke</t>
  </si>
  <si>
    <t xml:space="preserve">0721463047</t>
  </si>
  <si>
    <t xml:space="preserve">CUST100303</t>
  </si>
  <si>
    <t xml:space="preserve">storesphm@gmail.com</t>
  </si>
  <si>
    <t xml:space="preserve">Annabelle Onyango</t>
  </si>
  <si>
    <t xml:space="preserve">Fameco Limited</t>
  </si>
  <si>
    <t xml:space="preserve">recstock@villagemarket-kenya.com</t>
  </si>
  <si>
    <t xml:space="preserve">0714 681 624</t>
  </si>
  <si>
    <t xml:space="preserve">CUST102898</t>
  </si>
  <si>
    <t xml:space="preserve">Esther</t>
  </si>
  <si>
    <t xml:space="preserve">Family Health International</t>
  </si>
  <si>
    <t xml:space="preserve">CUST100304</t>
  </si>
  <si>
    <t xml:space="preserve">emwangi@fhi36.org</t>
  </si>
  <si>
    <t xml:space="preserve">Bernard Lunalo</t>
  </si>
  <si>
    <t xml:space="preserve">Fao Somalia</t>
  </si>
  <si>
    <t xml:space="preserve">bernard.lunalo@fao.org</t>
  </si>
  <si>
    <t xml:space="preserve">CUST100306</t>
  </si>
  <si>
    <t xml:space="preserve">Thomas Nzii</t>
  </si>
  <si>
    <t xml:space="preserve">thomas.nzii@fao.org</t>
  </si>
  <si>
    <t xml:space="preserve">0722822050</t>
  </si>
  <si>
    <t xml:space="preserve">James Njenga</t>
  </si>
  <si>
    <t xml:space="preserve">Farmers Choice Ltd</t>
  </si>
  <si>
    <t xml:space="preserve">jnjenga@farmerschoice.co.ke</t>
  </si>
  <si>
    <t xml:space="preserve">0722321023</t>
  </si>
  <si>
    <t xml:space="preserve">CUST100308</t>
  </si>
  <si>
    <t xml:space="preserve">gmuchiri@farmerschoice.co.ke</t>
  </si>
  <si>
    <t xml:space="preserve">Moses Nderitu</t>
  </si>
  <si>
    <t xml:space="preserve">mnderitu@farmerschoice.co.ke</t>
  </si>
  <si>
    <t xml:space="preserve">0722331706</t>
  </si>
  <si>
    <t xml:space="preserve">Anastacia Ouma</t>
  </si>
  <si>
    <t xml:space="preserve">Faulu Microfinance Bank Ltd</t>
  </si>
  <si>
    <t xml:space="preserve">anastacia.ouma@faulukenya.com</t>
  </si>
  <si>
    <t xml:space="preserve">07992313-01</t>
  </si>
  <si>
    <t xml:space="preserve">CUST100310</t>
  </si>
  <si>
    <t xml:space="preserve">Kayole</t>
  </si>
  <si>
    <t xml:space="preserve">Procurement@Faulukenya.Com</t>
  </si>
  <si>
    <t xml:space="preserve">Martin Ngaruiya</t>
  </si>
  <si>
    <t xml:space="preserve">Fem Care Feminine Hygiene Sevices Ltd</t>
  </si>
  <si>
    <t xml:space="preserve">mngaruiya@fem-care.biz</t>
  </si>
  <si>
    <t xml:space="preserve">CUST100311</t>
  </si>
  <si>
    <t xml:space="preserve">Amos Mwiti</t>
  </si>
  <si>
    <t xml:space="preserve">Fides Kenya limited</t>
  </si>
  <si>
    <t xml:space="preserve">a.mwiti@dummenorange.com</t>
  </si>
  <si>
    <t xml:space="preserve">0720694628</t>
  </si>
  <si>
    <t xml:space="preserve">CUST102814</t>
  </si>
  <si>
    <t xml:space="preserve">Upper Mountain</t>
  </si>
  <si>
    <t xml:space="preserve">Embu</t>
  </si>
  <si>
    <t xml:space="preserve">info.ke@dummenorange.com</t>
  </si>
  <si>
    <t xml:space="preserve">Florence Mwebia</t>
  </si>
  <si>
    <t xml:space="preserve">Flogin East Africa LTD</t>
  </si>
  <si>
    <t xml:space="preserve">florencemwebia34@gmail.com</t>
  </si>
  <si>
    <t xml:space="preserve">CUST101845</t>
  </si>
  <si>
    <t xml:space="preserve">Yan liu</t>
  </si>
  <si>
    <t xml:space="preserve">For You Chinese Restaurant</t>
  </si>
  <si>
    <t xml:space="preserve">0736425302</t>
  </si>
  <si>
    <t xml:space="preserve">CUST100320</t>
  </si>
  <si>
    <t xml:space="preserve">SHEM AMWAYI</t>
  </si>
  <si>
    <t xml:space="preserve">Forestscape Limited</t>
  </si>
  <si>
    <t xml:space="preserve">dmugwika@kimfay.com</t>
  </si>
  <si>
    <t xml:space="preserve">+254 (0) 711 793 360</t>
  </si>
  <si>
    <t xml:space="preserve">CUST102954</t>
  </si>
  <si>
    <t xml:space="preserve">shem.amwayi@accor.com</t>
  </si>
  <si>
    <t xml:space="preserve">Cyprin Nyakundi</t>
  </si>
  <si>
    <t xml:space="preserve">Fostersey Africa Ltd</t>
  </si>
  <si>
    <t xml:space="preserve">cyprian@fostersey.com</t>
  </si>
  <si>
    <t xml:space="preserve">+254 722 215741</t>
  </si>
  <si>
    <t xml:space="preserve">CUST100322</t>
  </si>
  <si>
    <t xml:space="preserve">sales@fostersey.com</t>
  </si>
  <si>
    <t xml:space="preserve">Betty Kamunde</t>
  </si>
  <si>
    <t xml:space="preserve">Freds Academy Annexe</t>
  </si>
  <si>
    <t xml:space="preserve">betty.kamunde@fredsannexe.com</t>
  </si>
  <si>
    <t xml:space="preserve">CUST100325</t>
  </si>
  <si>
    <t xml:space="preserve">Meru</t>
  </si>
  <si>
    <t xml:space="preserve">Priscilla Salano</t>
  </si>
  <si>
    <t xml:space="preserve">Fresh Life Initiative</t>
  </si>
  <si>
    <t xml:space="preserve">priscilla.salano@saner.gy</t>
  </si>
  <si>
    <t xml:space="preserve">CUST100327</t>
  </si>
  <si>
    <t xml:space="preserve">procurement@fresh-life.org</t>
  </si>
  <si>
    <t xml:space="preserve">Abdullahi Ahmednoor Xirsi</t>
  </si>
  <si>
    <t xml:space="preserve">Freshtake Investment Limited</t>
  </si>
  <si>
    <t xml:space="preserve">procurement@freshtake.co.ke</t>
  </si>
  <si>
    <t xml:space="preserve">0721242156</t>
  </si>
  <si>
    <t xml:space="preserve">CUST100328</t>
  </si>
  <si>
    <t xml:space="preserve">CSWSALERS</t>
  </si>
  <si>
    <t xml:space="preserve">Clement Otieno</t>
  </si>
  <si>
    <t xml:space="preserve">Alpesh Doshi</t>
  </si>
  <si>
    <t xml:space="preserve">Friendship Container Manufacturers Ltd</t>
  </si>
  <si>
    <t xml:space="preserve">admin@friendship.co.ke</t>
  </si>
  <si>
    <t xml:space="preserve">0711390666</t>
  </si>
  <si>
    <t xml:space="preserve">CUST103333</t>
  </si>
  <si>
    <t xml:space="preserve">accounts@friendhip.co.ke</t>
  </si>
  <si>
    <t xml:space="preserve">Jacqueline Muturi</t>
  </si>
  <si>
    <t xml:space="preserve">GATEWAY CCI SEZ LIMITED</t>
  </si>
  <si>
    <t xml:space="preserve">jacqueline@grit.group</t>
  </si>
  <si>
    <t xml:space="preserve">0728239611</t>
  </si>
  <si>
    <t xml:space="preserve">CUST102952</t>
  </si>
  <si>
    <t xml:space="preserve">KPEPZ</t>
  </si>
  <si>
    <t xml:space="preserve">Jacqueline@grip.group</t>
  </si>
  <si>
    <t xml:space="preserve">Geoffrey</t>
  </si>
  <si>
    <t xml:space="preserve">Galaxy Paints &amp; Coating Limited</t>
  </si>
  <si>
    <t xml:space="preserve">CUST102199</t>
  </si>
  <si>
    <t xml:space="preserve">KPOFFICE</t>
  </si>
  <si>
    <t xml:space="preserve">purchasing@galaxypaints.co.ke</t>
  </si>
  <si>
    <t xml:space="preserve">0799162538</t>
  </si>
  <si>
    <t xml:space="preserve">Maureen Mwaura</t>
  </si>
  <si>
    <t xml:space="preserve">0715670386</t>
  </si>
  <si>
    <t xml:space="preserve">Evar Kathambi</t>
  </si>
  <si>
    <t xml:space="preserve">Garden Properties Ltd C/O Knight Frank Ltd</t>
  </si>
  <si>
    <t xml:space="preserve">evar.kathambi@ke.knightfrank.com</t>
  </si>
  <si>
    <t xml:space="preserve">CUST100337</t>
  </si>
  <si>
    <t xml:space="preserve">Gheysa</t>
  </si>
  <si>
    <t xml:space="preserve">Gauchos Ltd</t>
  </si>
  <si>
    <t xml:space="preserve">CUST100339</t>
  </si>
  <si>
    <t xml:space="preserve">fogogauchoaccts@gmail.com</t>
  </si>
  <si>
    <t xml:space="preserve">Irene Irene</t>
  </si>
  <si>
    <t xml:space="preserve">0712123456</t>
  </si>
  <si>
    <t xml:space="preserve">John n</t>
  </si>
  <si>
    <t xml:space="preserve">fogo@gmail.com</t>
  </si>
  <si>
    <t xml:space="preserve">0700211689</t>
  </si>
  <si>
    <t xml:space="preserve">Peter Githinji</t>
  </si>
  <si>
    <t xml:space="preserve">Gearbox Limited</t>
  </si>
  <si>
    <t xml:space="preserve">githinji@gearbox.co.ke</t>
  </si>
  <si>
    <t xml:space="preserve">0720245632</t>
  </si>
  <si>
    <t xml:space="preserve">CUST100341</t>
  </si>
  <si>
    <t xml:space="preserve">ACCOUNTS@GEARBOX.CO.KE</t>
  </si>
  <si>
    <t xml:space="preserve">Romy Madan</t>
  </si>
  <si>
    <t xml:space="preserve">General Foods Kenya Ltd</t>
  </si>
  <si>
    <t xml:space="preserve">gfk@africaonline.co.ke</t>
  </si>
  <si>
    <t xml:space="preserve">0722303758</t>
  </si>
  <si>
    <t xml:space="preserve">CUST100344</t>
  </si>
  <si>
    <t xml:space="preserve">Sanjay</t>
  </si>
  <si>
    <t xml:space="preserve">gfk@africaonline.com</t>
  </si>
  <si>
    <t xml:space="preserve">Patrick Muyodi</t>
  </si>
  <si>
    <t xml:space="preserve">German School Society</t>
  </si>
  <si>
    <t xml:space="preserve">facilitymanager@germanschool.co.ke</t>
  </si>
  <si>
    <t xml:space="preserve">(0) 733 445 685</t>
  </si>
  <si>
    <t xml:space="preserve">CUST100346</t>
  </si>
  <si>
    <t xml:space="preserve">Douglas Mugambi</t>
  </si>
  <si>
    <t xml:space="preserve">Gertrudes Garden Childrens Hospital</t>
  </si>
  <si>
    <t xml:space="preserve">dmugambi@gerties.org</t>
  </si>
  <si>
    <t xml:space="preserve">0722000000</t>
  </si>
  <si>
    <t xml:space="preserve">CUST100347</t>
  </si>
  <si>
    <t xml:space="preserve">Muthaiga</t>
  </si>
  <si>
    <t xml:space="preserve">emokonge@gerties.org</t>
  </si>
  <si>
    <t xml:space="preserve">Wairimu Njehia</t>
  </si>
  <si>
    <t xml:space="preserve">Gkay Supplies Ltd</t>
  </si>
  <si>
    <t xml:space="preserve">yrimunjehia@gmail.com</t>
  </si>
  <si>
    <t xml:space="preserve">+254 722 725407</t>
  </si>
  <si>
    <t xml:space="preserve">CUST100350</t>
  </si>
  <si>
    <t xml:space="preserve">gkaysupplies@gmail.com</t>
  </si>
  <si>
    <t xml:space="preserve">Janet Kisormoi</t>
  </si>
  <si>
    <t xml:space="preserve">Glaxosmithkline Pharmaceutical Kenya Ltd</t>
  </si>
  <si>
    <t xml:space="preserve">janet.j.kisormoi@gsk.com</t>
  </si>
  <si>
    <t xml:space="preserve">CUST100353</t>
  </si>
  <si>
    <t xml:space="preserve">Moses Kisovi</t>
  </si>
  <si>
    <t xml:space="preserve">moses.m.kisovi@gsk.com</t>
  </si>
  <si>
    <t xml:space="preserve">0726716272</t>
  </si>
  <si>
    <t xml:space="preserve">George G</t>
  </si>
  <si>
    <t xml:space="preserve">Glen Edmunds Performance Driving School</t>
  </si>
  <si>
    <t xml:space="preserve">operations@glenedmunds.com</t>
  </si>
  <si>
    <t xml:space="preserve">0725635687</t>
  </si>
  <si>
    <t xml:space="preserve">CUST101848</t>
  </si>
  <si>
    <t xml:space="preserve">Caroline Kauso</t>
  </si>
  <si>
    <t xml:space="preserve">Golden Jubilee Ltd</t>
  </si>
  <si>
    <t xml:space="preserve">caroline.kauso@cpnairobi.com</t>
  </si>
  <si>
    <t xml:space="preserve">CUST100359</t>
  </si>
  <si>
    <t xml:space="preserve">mathenge.samuel@accor.com</t>
  </si>
  <si>
    <t xml:space="preserve">Joyce Wadundwe</t>
  </si>
  <si>
    <t xml:space="preserve">Golf Course Hotel T/A Movenpick Hotel</t>
  </si>
  <si>
    <t xml:space="preserve">joyce.wadundwe@movenpick.com</t>
  </si>
  <si>
    <t xml:space="preserve">CUST100361</t>
  </si>
  <si>
    <t xml:space="preserve">Banice Muthoni</t>
  </si>
  <si>
    <t xml:space="preserve">Gordon Court Ltd</t>
  </si>
  <si>
    <t xml:space="preserve">banice.muthoni@apollocentre.org</t>
  </si>
  <si>
    <t xml:space="preserve">0733609123</t>
  </si>
  <si>
    <t xml:space="preserve">CUST100365</t>
  </si>
  <si>
    <t xml:space="preserve">info@apollocentre.org</t>
  </si>
  <si>
    <t xml:space="preserve">Simon Gochi</t>
  </si>
  <si>
    <t xml:space="preserve">Grab &amp; Go Cakes And Pastries</t>
  </si>
  <si>
    <t xml:space="preserve">simonngochi@gmail.com</t>
  </si>
  <si>
    <t xml:space="preserve">CUST100366</t>
  </si>
  <si>
    <t xml:space="preserve">Billian Odhiambo</t>
  </si>
  <si>
    <t xml:space="preserve">Grand West Hotel And Apartments</t>
  </si>
  <si>
    <t xml:space="preserve">astpurchasingmgr@bestwesternpluswestlands.com</t>
  </si>
  <si>
    <t xml:space="preserve">0724075360</t>
  </si>
  <si>
    <t xml:space="preserve">CUST100368</t>
  </si>
  <si>
    <t xml:space="preserve">accounts@bestwesternpluswestlands.com</t>
  </si>
  <si>
    <t xml:space="preserve">Grand West Hotel and Apartments Okinda</t>
  </si>
  <si>
    <t xml:space="preserve">0746444444</t>
  </si>
  <si>
    <t xml:space="preserve">Grand Pas Hotel</t>
  </si>
  <si>
    <t xml:space="preserve">Grandpa's Hotel Limited</t>
  </si>
  <si>
    <t xml:space="preserve">CUST101892</t>
  </si>
  <si>
    <t xml:space="preserve">penshikoh2013@gmail.com</t>
  </si>
  <si>
    <t xml:space="preserve">Solomon Ochieng</t>
  </si>
  <si>
    <t xml:space="preserve">Grant Thornton Management Ltd</t>
  </si>
  <si>
    <t xml:space="preserve">solomon.ochieng@ke.gt.com</t>
  </si>
  <si>
    <t xml:space="preserve">0728960963</t>
  </si>
  <si>
    <t xml:space="preserve">CUST100370</t>
  </si>
  <si>
    <t xml:space="preserve">Charles osano</t>
  </si>
  <si>
    <t xml:space="preserve">Great Rift Valley Lodge</t>
  </si>
  <si>
    <t xml:space="preserve">charles.osano@riftvalley-resort.co.ke</t>
  </si>
  <si>
    <t xml:space="preserve">0727552731</t>
  </si>
  <si>
    <t xml:space="preserve">CUST100371</t>
  </si>
  <si>
    <t xml:space="preserve">Nancy.Muthoni@riftvalley-resort.co.ke</t>
  </si>
  <si>
    <t xml:space="preserve">Japheth</t>
  </si>
  <si>
    <t xml:space="preserve">0726 441577</t>
  </si>
  <si>
    <t xml:space="preserve">Anne Ngige</t>
  </si>
  <si>
    <t xml:space="preserve">Greenspan Mall Ltd C/O Excellerate Kenya Limited.</t>
  </si>
  <si>
    <t xml:space="preserve">anne.ngige@cbreexcellerate.com</t>
  </si>
  <si>
    <t xml:space="preserve">CUST100373</t>
  </si>
  <si>
    <t xml:space="preserve">Donholm</t>
  </si>
  <si>
    <t xml:space="preserve">Catherine Wanderi</t>
  </si>
  <si>
    <t xml:space="preserve">Greenspan Mall Ltd C/O Knight Frank Kenya</t>
  </si>
  <si>
    <t xml:space="preserve">Catherine.Wanderi@ke.knightfrank.com</t>
  </si>
  <si>
    <t xml:space="preserve">CUST101529</t>
  </si>
  <si>
    <t xml:space="preserve">jane.wanjiru@ke.knightfrank.com</t>
  </si>
  <si>
    <t xml:space="preserve">Jane</t>
  </si>
  <si>
    <t xml:space="preserve">Gloria Mwende</t>
  </si>
  <si>
    <t xml:space="preserve">Greensteds School Ltd</t>
  </si>
  <si>
    <t xml:space="preserve">purchasing@greenstedsschool.com</t>
  </si>
  <si>
    <t xml:space="preserve">0796386476</t>
  </si>
  <si>
    <t xml:space="preserve">CUST100374</t>
  </si>
  <si>
    <t xml:space="preserve">Nakuru</t>
  </si>
  <si>
    <t xml:space="preserve">Cornellius Musa</t>
  </si>
  <si>
    <t xml:space="preserve">Gulf African Bank Ltd</t>
  </si>
  <si>
    <t xml:space="preserve">cornellius.musa@gab.co.ke</t>
  </si>
  <si>
    <t xml:space="preserve">0722540435</t>
  </si>
  <si>
    <t xml:space="preserve">CUST100375</t>
  </si>
  <si>
    <t xml:space="preserve">halima.adan@gab.co.ke</t>
  </si>
  <si>
    <t xml:space="preserve">Halima Mohamed</t>
  </si>
  <si>
    <t xml:space="preserve">halima.mohamed@gab.co.ke</t>
  </si>
  <si>
    <t xml:space="preserve">0711075000</t>
  </si>
  <si>
    <t xml:space="preserve">Monica Some</t>
  </si>
  <si>
    <t xml:space="preserve">Gulf Energy Holdings Limited</t>
  </si>
  <si>
    <t xml:space="preserve">monica.some@gulfenergy.co.ke</t>
  </si>
  <si>
    <t xml:space="preserve">CUST100376</t>
  </si>
  <si>
    <t xml:space="preserve">lydiam@gulfenergy.co.ke; monica.some@gulfenergy.co.ke; info@gulfenergy.co.ke</t>
  </si>
  <si>
    <t xml:space="preserve">Evelyn Oigo</t>
  </si>
  <si>
    <t xml:space="preserve">Guru Nanak Hospital</t>
  </si>
  <si>
    <t xml:space="preserve">evelyn.oigo@gnrsh.co.ke</t>
  </si>
  <si>
    <t xml:space="preserve">0721838103</t>
  </si>
  <si>
    <t xml:space="preserve">CUST100377</t>
  </si>
  <si>
    <t xml:space="preserve">info@gnrsh.co.ke</t>
  </si>
  <si>
    <t xml:space="preserve">Nazira Daya</t>
  </si>
  <si>
    <t xml:space="preserve">H H Prince Aga Khan Shia Imami Ismaili Council</t>
  </si>
  <si>
    <t xml:space="preserve">adminassistant@akji-kenya.org</t>
  </si>
  <si>
    <t xml:space="preserve">0721 404 800</t>
  </si>
  <si>
    <t xml:space="preserve">CUST100378</t>
  </si>
  <si>
    <t xml:space="preserve">jamathealth.nairobi@aku.edu</t>
  </si>
  <si>
    <t xml:space="preserve">Sebastian Alex</t>
  </si>
  <si>
    <t xml:space="preserve">HM Clause Kenya Limited</t>
  </si>
  <si>
    <t xml:space="preserve">sebastian.alex@hmclause.com</t>
  </si>
  <si>
    <t xml:space="preserve">CUST100396</t>
  </si>
  <si>
    <t xml:space="preserve">weldon.torongei@hmclause.com</t>
  </si>
  <si>
    <t xml:space="preserve">Weldon Torongei</t>
  </si>
  <si>
    <t xml:space="preserve">110094185</t>
  </si>
  <si>
    <t xml:space="preserve">Doris Ntoruru</t>
  </si>
  <si>
    <t xml:space="preserve">Halcyon Healthcare Ltd</t>
  </si>
  <si>
    <t xml:space="preserve">doris@halcyonhealthcareltd.com</t>
  </si>
  <si>
    <t xml:space="preserve">CUST100380</t>
  </si>
  <si>
    <t xml:space="preserve">Njeri Okello</t>
  </si>
  <si>
    <t xml:space="preserve">Halisi Family Hospital</t>
  </si>
  <si>
    <t xml:space="preserve">njeri.okello@halisifamily.hospital</t>
  </si>
  <si>
    <t xml:space="preserve">CUST101489</t>
  </si>
  <si>
    <t xml:space="preserve">Kitengela</t>
  </si>
  <si>
    <t xml:space="preserve">MR George</t>
  </si>
  <si>
    <t xml:space="preserve">Hans Kenya Ltd</t>
  </si>
  <si>
    <t xml:space="preserve">accounts@hanskenya.com</t>
  </si>
  <si>
    <t xml:space="preserve">0712521741</t>
  </si>
  <si>
    <t xml:space="preserve">CUST100383</t>
  </si>
  <si>
    <t xml:space="preserve">accounts@hanskenya.com; info@hanskenya.com</t>
  </si>
  <si>
    <t xml:space="preserve">Josephine Njoroge</t>
  </si>
  <si>
    <t xml:space="preserve">Harrow Investment Limited</t>
  </si>
  <si>
    <t xml:space="preserve">josephine.njoroge@dmi.cork</t>
  </si>
  <si>
    <t xml:space="preserve">0723356777</t>
  </si>
  <si>
    <t xml:space="preserve">CUST103020</t>
  </si>
  <si>
    <t xml:space="preserve">meenal.shah@cbreexcellerate.com</t>
  </si>
  <si>
    <t xml:space="preserve">Rosemary Olimba</t>
  </si>
  <si>
    <t xml:space="preserve">Harrow Investments Limited C/O Knight Frank Ke Ltd</t>
  </si>
  <si>
    <t xml:space="preserve">rosemary.olimba@ke.knighfrank.com</t>
  </si>
  <si>
    <t xml:space="preserve">CUST100385</t>
  </si>
  <si>
    <t xml:space="preserve">rosemary.olimba@ke.knightfrank.com</t>
  </si>
  <si>
    <t xml:space="preserve">Jongho Park</t>
  </si>
  <si>
    <t xml:space="preserve">Haru Restaurant Ltd</t>
  </si>
  <si>
    <t xml:space="preserve">harukenya@hotmail.com</t>
  </si>
  <si>
    <t xml:space="preserve">0720 945 400</t>
  </si>
  <si>
    <t xml:space="preserve">CUST100386</t>
  </si>
  <si>
    <t xml:space="preserve">Dorcas</t>
  </si>
  <si>
    <t xml:space="preserve">Harvest Cleaning Company</t>
  </si>
  <si>
    <t xml:space="preserve">CUST100387</t>
  </si>
  <si>
    <t xml:space="preserve">accounts@harvestcleaning.co.ke</t>
  </si>
  <si>
    <t xml:space="preserve">0724013115</t>
  </si>
  <si>
    <t xml:space="preserve">Harvest cleaning company Harvest Cleaning Company</t>
  </si>
  <si>
    <t xml:space="preserve">Justin Aura</t>
  </si>
  <si>
    <t xml:space="preserve">jaura@harvestfmg.com</t>
  </si>
  <si>
    <t xml:space="preserve">0708 994 440</t>
  </si>
  <si>
    <t xml:space="preserve">Christine Admin</t>
  </si>
  <si>
    <t xml:space="preserve">Hass Scientific And Medical Supplies</t>
  </si>
  <si>
    <t xml:space="preserve">info@hasscientific.com</t>
  </si>
  <si>
    <t xml:space="preserve">0734 238799</t>
  </si>
  <si>
    <t xml:space="preserve">CUST101552</t>
  </si>
  <si>
    <t xml:space="preserve">Hass Scientific and Medical Supplies Hass Scientific and Medical Supplies</t>
  </si>
  <si>
    <t xml:space="preserve">Peter Omollo</t>
  </si>
  <si>
    <t xml:space="preserve">Heifer Project International - Kenya</t>
  </si>
  <si>
    <t xml:space="preserve">peter.omollo@heifer.org</t>
  </si>
  <si>
    <t xml:space="preserve">0743695095</t>
  </si>
  <si>
    <t xml:space="preserve">CUST102594</t>
  </si>
  <si>
    <t xml:space="preserve">brenda.mugucia@heifer.org</t>
  </si>
  <si>
    <t xml:space="preserve">Martha Tatu</t>
  </si>
  <si>
    <t xml:space="preserve">Heineken East Africa Import Co Ltd</t>
  </si>
  <si>
    <t xml:space="preserve">martha.tatu@heineken.com</t>
  </si>
  <si>
    <t xml:space="preserve">CUST100389</t>
  </si>
  <si>
    <t xml:space="preserve">Faith Bisieri</t>
  </si>
  <si>
    <t xml:space="preserve">Hemingways Nairobi Ltd</t>
  </si>
  <si>
    <t xml:space="preserve">faith.bisieri@hemingways.co</t>
  </si>
  <si>
    <t xml:space="preserve">CUST100390</t>
  </si>
  <si>
    <t xml:space="preserve">Oliver.Musoga@hemingwaysint.onmicrosoft.com</t>
  </si>
  <si>
    <t xml:space="preserve">Tabitha Karanja</t>
  </si>
  <si>
    <t xml:space="preserve">tabitha.karanja@hemingways.co</t>
  </si>
  <si>
    <t xml:space="preserve">+254 711 032 282</t>
  </si>
  <si>
    <t xml:space="preserve">Grace Atieno</t>
  </si>
  <si>
    <t xml:space="preserve">Hemingways Watamu</t>
  </si>
  <si>
    <t xml:space="preserve">grace.atieno@hemingways.co</t>
  </si>
  <si>
    <t xml:space="preserve">CUST100391</t>
  </si>
  <si>
    <t xml:space="preserve">Isaac Omollo</t>
  </si>
  <si>
    <t xml:space="preserve">isaac.amolo@hemingways.co</t>
  </si>
  <si>
    <t xml:space="preserve">+254 709 188 124</t>
  </si>
  <si>
    <t xml:space="preserve">Lilian Nduachi</t>
  </si>
  <si>
    <t xml:space="preserve">Heritan Ltd</t>
  </si>
  <si>
    <t xml:space="preserve">lilian@edenheightsrealty.com</t>
  </si>
  <si>
    <t xml:space="preserve">0721700 363</t>
  </si>
  <si>
    <t xml:space="preserve">CUST101524</t>
  </si>
  <si>
    <t xml:space="preserve">nicholas.njenge@vegpro-group.com</t>
  </si>
  <si>
    <t xml:space="preserve">Nicholas Njenge</t>
  </si>
  <si>
    <t xml:space="preserve">Esther Wambui</t>
  </si>
  <si>
    <t xml:space="preserve">Hermosa Garden Hotel &amp; Cottages Limited</t>
  </si>
  <si>
    <t xml:space="preserve">esther@hermosanairobi.com</t>
  </si>
  <si>
    <t xml:space="preserve">0722 384611</t>
  </si>
  <si>
    <t xml:space="preserve">CUST101816</t>
  </si>
  <si>
    <t xml:space="preserve">vanessa@hermosanairobi.com</t>
  </si>
  <si>
    <t xml:space="preserve">Babra moronge</t>
  </si>
  <si>
    <t xml:space="preserve">Horizons Office</t>
  </si>
  <si>
    <t xml:space="preserve">babra@horizonsoffices.com</t>
  </si>
  <si>
    <t xml:space="preserve">CUST100397</t>
  </si>
  <si>
    <t xml:space="preserve">mabel@horizonsoffices.com</t>
  </si>
  <si>
    <t xml:space="preserve">Nurunissa Bachani</t>
  </si>
  <si>
    <t xml:space="preserve">Hotel Monarch Ltd</t>
  </si>
  <si>
    <t xml:space="preserve">accounts@monarchhotelskenya.com</t>
  </si>
  <si>
    <t xml:space="preserve">CUST100398</t>
  </si>
  <si>
    <t xml:space="preserve">Carren Olweny</t>
  </si>
  <si>
    <t xml:space="preserve">Hotel Pikadili Limited</t>
  </si>
  <si>
    <t xml:space="preserve">info@hotelpikadili.com</t>
  </si>
  <si>
    <t xml:space="preserve">CUST100400</t>
  </si>
  <si>
    <t xml:space="preserve">Homa Bay</t>
  </si>
  <si>
    <t xml:space="preserve">June ANDALO</t>
  </si>
  <si>
    <t xml:space="preserve">Hotel Riverview Westlands Ltd</t>
  </si>
  <si>
    <t xml:space="preserve">sales@hotelriverview.net</t>
  </si>
  <si>
    <t xml:space="preserve">CUST100401</t>
  </si>
  <si>
    <t xml:space="preserve">Darius Mwenda</t>
  </si>
  <si>
    <t xml:space="preserve">Hotel San Marino</t>
  </si>
  <si>
    <t xml:space="preserve">manager@hotelsanmarino.co.ke</t>
  </si>
  <si>
    <t xml:space="preserve">CUST100402</t>
  </si>
  <si>
    <t xml:space="preserve">Kitui</t>
  </si>
  <si>
    <t xml:space="preserve">Paul Muthama</t>
  </si>
  <si>
    <t xml:space="preserve">House Of Waine</t>
  </si>
  <si>
    <t xml:space="preserve">purchasing@houseofwaine.co.ke</t>
  </si>
  <si>
    <t xml:space="preserve">0724312162</t>
  </si>
  <si>
    <t xml:space="preserve">CUST100404</t>
  </si>
  <si>
    <t xml:space="preserve">mail@houseofwaine.co.ke</t>
  </si>
  <si>
    <t xml:space="preserve">Clive Angela</t>
  </si>
  <si>
    <t xml:space="preserve">House of Grace Ministries International</t>
  </si>
  <si>
    <t xml:space="preserve">hog@icnnect.co.ke</t>
  </si>
  <si>
    <t xml:space="preserve">CUST101424</t>
  </si>
  <si>
    <t xml:space="preserve">Douglas Angolio</t>
  </si>
  <si>
    <t xml:space="preserve">Hunters Paradise Cottages Ltd</t>
  </si>
  <si>
    <t xml:space="preserve">douglas.angolio@huntersparadise.ke</t>
  </si>
  <si>
    <t xml:space="preserve">0718619501</t>
  </si>
  <si>
    <t xml:space="preserve">CUST101497</t>
  </si>
  <si>
    <t xml:space="preserve">West Nyanza</t>
  </si>
  <si>
    <t xml:space="preserve">Bungoma</t>
  </si>
  <si>
    <t xml:space="preserve">mugogomartin@gmail.com</t>
  </si>
  <si>
    <t xml:space="preserve">Martin Mugogo</t>
  </si>
  <si>
    <t xml:space="preserve">Jeremiah</t>
  </si>
  <si>
    <t xml:space="preserve">Hurricane Services Kenya Ltd</t>
  </si>
  <si>
    <t xml:space="preserve">CUST100405</t>
  </si>
  <si>
    <t xml:space="preserve">jeremiah@hurricaneglobalfm.com</t>
  </si>
  <si>
    <t xml:space="preserve">Jeremy Ogeka</t>
  </si>
  <si>
    <t xml:space="preserve">jeremiah@hurricanecleaningservices.com</t>
  </si>
  <si>
    <t xml:space="preserve">0710265010</t>
  </si>
  <si>
    <t xml:space="preserve">Phyllis Milka</t>
  </si>
  <si>
    <t xml:space="preserve">Bernard Osino</t>
  </si>
  <si>
    <t xml:space="preserve">Hypermart LTD</t>
  </si>
  <si>
    <t xml:space="preserve">benyango007@gmail.com</t>
  </si>
  <si>
    <t xml:space="preserve">+254 727 602827</t>
  </si>
  <si>
    <t xml:space="preserve">CUST101849</t>
  </si>
  <si>
    <t xml:space="preserve">Francis Kamanga</t>
  </si>
  <si>
    <t xml:space="preserve">I &amp; M Bank Ltd</t>
  </si>
  <si>
    <t xml:space="preserve">francis.kamanga@imbank.co.ke</t>
  </si>
  <si>
    <t xml:space="preserve">0719 088 000</t>
  </si>
  <si>
    <t xml:space="preserve">CUST100408</t>
  </si>
  <si>
    <t xml:space="preserve">SOngoro@imbank.co.ke</t>
  </si>
  <si>
    <t xml:space="preserve">Jacqueline Ciugu</t>
  </si>
  <si>
    <t xml:space="preserve">jacqueline.ciugu@imbank.co.ke</t>
  </si>
  <si>
    <t xml:space="preserve">Abel Mageto</t>
  </si>
  <si>
    <t xml:space="preserve">ICRAF</t>
  </si>
  <si>
    <t xml:space="preserve">a.mageto@cgiar.org</t>
  </si>
  <si>
    <t xml:space="preserve">0727266698</t>
  </si>
  <si>
    <t xml:space="preserve">CUST100412</t>
  </si>
  <si>
    <t xml:space="preserve">C.Koech@cifor-icraf.org; S.Mohono@cifor-icraf.org</t>
  </si>
  <si>
    <t xml:space="preserve">Benard Nzuma</t>
  </si>
  <si>
    <t xml:space="preserve">b.nzuma@cgiar.org</t>
  </si>
  <si>
    <t xml:space="preserve">Happiness Ndia</t>
  </si>
  <si>
    <t xml:space="preserve">h.ndia@cifor-icraf.org</t>
  </si>
  <si>
    <t xml:space="preserve">0704296300</t>
  </si>
  <si>
    <t xml:space="preserve">Caren Oyayo</t>
  </si>
  <si>
    <t xml:space="preserve">IFRC &amp; Red Crescent Societies</t>
  </si>
  <si>
    <t xml:space="preserve">caren.oyayo@ifrc.org</t>
  </si>
  <si>
    <t xml:space="preserve">CUST100414</t>
  </si>
  <si>
    <t xml:space="preserve">John Amanya</t>
  </si>
  <si>
    <t xml:space="preserve">ILRI</t>
  </si>
  <si>
    <t xml:space="preserve">j.amanya@cgiar.org</t>
  </si>
  <si>
    <t xml:space="preserve">CUST100416</t>
  </si>
  <si>
    <t xml:space="preserve">p.muema@cgiar.org</t>
  </si>
  <si>
    <t xml:space="preserve">Newton Anzweni</t>
  </si>
  <si>
    <t xml:space="preserve">N.Anzweni@cgiar.org</t>
  </si>
  <si>
    <t xml:space="preserve">Peter Muema</t>
  </si>
  <si>
    <t xml:space="preserve">0720704282</t>
  </si>
  <si>
    <t xml:space="preserve">SHEIKH SHEHZAN</t>
  </si>
  <si>
    <t xml:space="preserve">IOM Kenya</t>
  </si>
  <si>
    <t xml:space="preserve">SHSHEIKH@iom.int</t>
  </si>
  <si>
    <t xml:space="preserve">CUST100433</t>
  </si>
  <si>
    <t xml:space="preserve">mmuendi@iom.int</t>
  </si>
  <si>
    <t xml:space="preserve">Eunice Ice</t>
  </si>
  <si>
    <t xml:space="preserve">Ice Clean Care Ltd</t>
  </si>
  <si>
    <t xml:space="preserve">info@iceclean.com</t>
  </si>
  <si>
    <t xml:space="preserve">0736091597</t>
  </si>
  <si>
    <t xml:space="preserve">CUST100409</t>
  </si>
  <si>
    <t xml:space="preserve">icecleancaregroupltd@gmail.com</t>
  </si>
  <si>
    <t xml:space="preserve">Henton Ngugi</t>
  </si>
  <si>
    <t xml:space="preserve">Icolo Limited</t>
  </si>
  <si>
    <t xml:space="preserve">henton.ngugi@icolo.io</t>
  </si>
  <si>
    <t xml:space="preserve">0727625878</t>
  </si>
  <si>
    <t xml:space="preserve">CUST100411</t>
  </si>
  <si>
    <t xml:space="preserve">mercy.kitur@icolo.io</t>
  </si>
  <si>
    <t xml:space="preserve">Mercy Kitur</t>
  </si>
  <si>
    <t xml:space="preserve">Ideal Manufacturers</t>
  </si>
  <si>
    <t xml:space="preserve">Ideal Manufacturers Co. Ltd</t>
  </si>
  <si>
    <t xml:space="preserve">CUST101878</t>
  </si>
  <si>
    <t xml:space="preserve">info@idealpaints.co.ke</t>
  </si>
  <si>
    <t xml:space="preserve">Kavit Shah</t>
  </si>
  <si>
    <t xml:space="preserve">Doreen Simiyu</t>
  </si>
  <si>
    <t xml:space="preserve">Ideal Sanitation</t>
  </si>
  <si>
    <t xml:space="preserve">doreensimiyu2013@gmail.com</t>
  </si>
  <si>
    <t xml:space="preserve">CUST100413</t>
  </si>
  <si>
    <t xml:space="preserve">Lynette Katethya</t>
  </si>
  <si>
    <t xml:space="preserve">Ikm Place Ltd C/O Knight Frank Kenya Ltd</t>
  </si>
  <si>
    <t xml:space="preserve">Lynette.Katethya@ke.knightfrank.com</t>
  </si>
  <si>
    <t xml:space="preserve">0716581892</t>
  </si>
  <si>
    <t xml:space="preserve">CUST100415</t>
  </si>
  <si>
    <t xml:space="preserve">Collins.Kimani@ke.knightfrank.com</t>
  </si>
  <si>
    <t xml:space="preserve">Mr Nderitu</t>
  </si>
  <si>
    <t xml:space="preserve">In-Vitro Diagnostics Ltd</t>
  </si>
  <si>
    <t xml:space="preserve">CUST100432</t>
  </si>
  <si>
    <t xml:space="preserve">vitro@in-vitro.co.ke</t>
  </si>
  <si>
    <t xml:space="preserve">Titus</t>
  </si>
  <si>
    <t xml:space="preserve">Insight Hospitality E.A Ltd T/A Horeca Hospitality</t>
  </si>
  <si>
    <t xml:space="preserve">0722759248</t>
  </si>
  <si>
    <t xml:space="preserve">CUST101400</t>
  </si>
  <si>
    <t xml:space="preserve">tkkorir@insightgroup.co.ke</t>
  </si>
  <si>
    <t xml:space="preserve">Titus Korir</t>
  </si>
  <si>
    <t xml:space="preserve">info@horecahospitality.com</t>
  </si>
  <si>
    <t xml:space="preserve">MARGARET MWANGI</t>
  </si>
  <si>
    <t xml:space="preserve">Insta Products Epz Ltd</t>
  </si>
  <si>
    <t xml:space="preserve">MARGARET.MWANGI@INSTAPRODUCTS.COM</t>
  </si>
  <si>
    <t xml:space="preserve">0719877002</t>
  </si>
  <si>
    <t xml:space="preserve">CUST100419</t>
  </si>
  <si>
    <t xml:space="preserve">margaretmwangi@instaproducts.co; peter.mwangi@instaproducts.co</t>
  </si>
  <si>
    <t xml:space="preserve">Margaret Mwangi</t>
  </si>
  <si>
    <t xml:space="preserve">margaretmwangi@instaproducts.co</t>
  </si>
  <si>
    <t xml:space="preserve">meisey Karoki</t>
  </si>
  <si>
    <t xml:space="preserve">International Bible Students Association</t>
  </si>
  <si>
    <t xml:space="preserve">inboxprch.ke@bethel.jw.org</t>
  </si>
  <si>
    <t xml:space="preserve">020-5141509</t>
  </si>
  <si>
    <t xml:space="preserve">CUST100422</t>
  </si>
  <si>
    <t xml:space="preserve">purchasing.ke@jw.org</t>
  </si>
  <si>
    <t xml:space="preserve">Grace Mutia</t>
  </si>
  <si>
    <t xml:space="preserve">International Centre For Tropical Agriculture-Ciat</t>
  </si>
  <si>
    <t xml:space="preserve">g.mutanu@cgiar.org</t>
  </si>
  <si>
    <t xml:space="preserve">+254 719052835</t>
  </si>
  <si>
    <t xml:space="preserve">CUST100424</t>
  </si>
  <si>
    <t xml:space="preserve">ciatkenyainfo@cgiar.org</t>
  </si>
  <si>
    <t xml:space="preserve">Lucy</t>
  </si>
  <si>
    <t xml:space="preserve">Mary Muthure</t>
  </si>
  <si>
    <t xml:space="preserve">International Hotel And Tourism Institute</t>
  </si>
  <si>
    <t xml:space="preserve">mary.muthure@ihti.net</t>
  </si>
  <si>
    <t xml:space="preserve">0725254770</t>
  </si>
  <si>
    <t xml:space="preserve">CUST101587</t>
  </si>
  <si>
    <t xml:space="preserve">accounts@ihti.net</t>
  </si>
  <si>
    <t xml:space="preserve">James Muthee</t>
  </si>
  <si>
    <t xml:space="preserve">International House Ltd</t>
  </si>
  <si>
    <t xml:space="preserve">muthee@ihlkenya.com</t>
  </si>
  <si>
    <t xml:space="preserve">CUST100425</t>
  </si>
  <si>
    <t xml:space="preserve">kimondowanjiku@ihlkenya.com</t>
  </si>
  <si>
    <t xml:space="preserve">Beula</t>
  </si>
  <si>
    <t xml:space="preserve">International Peace Support Training Centre</t>
  </si>
  <si>
    <t xml:space="preserve">procurement@ipstc.org</t>
  </si>
  <si>
    <t xml:space="preserve">0727213636</t>
  </si>
  <si>
    <t xml:space="preserve">CUST100426</t>
  </si>
  <si>
    <t xml:space="preserve">hpssaccounts@hpss-ipstc.org</t>
  </si>
  <si>
    <t xml:space="preserve">Joan Ngugi</t>
  </si>
  <si>
    <t xml:space="preserve">International Potato Centre</t>
  </si>
  <si>
    <t xml:space="preserve">cip-logconsultant1@cgiar.org</t>
  </si>
  <si>
    <t xml:space="preserve">CUST100427</t>
  </si>
  <si>
    <t xml:space="preserve">j.njonjo@cgiar.org</t>
  </si>
  <si>
    <t xml:space="preserve">Kevin Otieno</t>
  </si>
  <si>
    <t xml:space="preserve">International School Of Kenya</t>
  </si>
  <si>
    <t xml:space="preserve">kotieno@isk.ac.ke</t>
  </si>
  <si>
    <t xml:space="preserve">0728706584</t>
  </si>
  <si>
    <t xml:space="preserve">CUST100428</t>
  </si>
  <si>
    <t xml:space="preserve">mjiwani@isk.ac.ke</t>
  </si>
  <si>
    <t xml:space="preserve">Sporah Njenga</t>
  </si>
  <si>
    <t xml:space="preserve">Intertek International Ltd</t>
  </si>
  <si>
    <t xml:space="preserve">sporah.njenga@intertek.com</t>
  </si>
  <si>
    <t xml:space="preserve">CUST100429</t>
  </si>
  <si>
    <t xml:space="preserve">Ruth Kaburu</t>
  </si>
  <si>
    <t xml:space="preserve">Inti By Jit Ltd</t>
  </si>
  <si>
    <t xml:space="preserve">ruth.jitgroup@gmail.com</t>
  </si>
  <si>
    <t xml:space="preserve">0718971992</t>
  </si>
  <si>
    <t xml:space="preserve">CUST100431</t>
  </si>
  <si>
    <t xml:space="preserve">trish.jitgroup@gmail.com</t>
  </si>
  <si>
    <t xml:space="preserve">Trish</t>
  </si>
  <si>
    <t xml:space="preserve">0796612998</t>
  </si>
  <si>
    <t xml:space="preserve">tarika.intibyjit@gmail.com</t>
  </si>
  <si>
    <t xml:space="preserve">Jane Nyaga</t>
  </si>
  <si>
    <t xml:space="preserve">Ishara Experience ltd</t>
  </si>
  <si>
    <t xml:space="preserve">0721 538 741</t>
  </si>
  <si>
    <t xml:space="preserve">CUST102215</t>
  </si>
  <si>
    <t xml:space="preserve">jane@ishara.ke</t>
  </si>
  <si>
    <t xml:space="preserve">Jane Nyaga Nyaga</t>
  </si>
  <si>
    <t xml:space="preserve">Shyron Njihia</t>
  </si>
  <si>
    <t xml:space="preserve">JANEX IMPEX</t>
  </si>
  <si>
    <t xml:space="preserve">shyronjihia2010@yahoo.com</t>
  </si>
  <si>
    <t xml:space="preserve">CUST101419</t>
  </si>
  <si>
    <t xml:space="preserve">Robert Mwiti</t>
  </si>
  <si>
    <t xml:space="preserve">Jacaranda Health Ltd</t>
  </si>
  <si>
    <t xml:space="preserve">procurement@jacarandamaternity.co.ke</t>
  </si>
  <si>
    <t xml:space="preserve">CUST100438</t>
  </si>
  <si>
    <t xml:space="preserve">Zimmerman</t>
  </si>
  <si>
    <t xml:space="preserve">Jacaranda Hotel Ltd</t>
  </si>
  <si>
    <t xml:space="preserve">710824827</t>
  </si>
  <si>
    <t xml:space="preserve">CUST100439</t>
  </si>
  <si>
    <t xml:space="preserve">john.gichuke@jacarandahotels.com</t>
  </si>
  <si>
    <t xml:space="preserve">John Gichuke</t>
  </si>
  <si>
    <t xml:space="preserve">Zachary Kariuki</t>
  </si>
  <si>
    <t xml:space="preserve">procurement@jacarandahotels.com</t>
  </si>
  <si>
    <t xml:space="preserve">0721719342</t>
  </si>
  <si>
    <t xml:space="preserve">Zakary Kariuki</t>
  </si>
  <si>
    <t xml:space="preserve">jacstores@jacarandahotels.com</t>
  </si>
  <si>
    <t xml:space="preserve">James Omondi</t>
  </si>
  <si>
    <t xml:space="preserve">Jawabu best</t>
  </si>
  <si>
    <t xml:space="preserve">james@jawabubest.co.ke</t>
  </si>
  <si>
    <t xml:space="preserve">0724818212</t>
  </si>
  <si>
    <t xml:space="preserve">CUST102626</t>
  </si>
  <si>
    <t xml:space="preserve">lynne.j@jawabubest.co.ke</t>
  </si>
  <si>
    <t xml:space="preserve">John John</t>
  </si>
  <si>
    <t xml:space="preserve">Wendy Wanjiku</t>
  </si>
  <si>
    <t xml:space="preserve">0723446520</t>
  </si>
  <si>
    <t xml:space="preserve">Agnes Cheserek</t>
  </si>
  <si>
    <t xml:space="preserve">Jextreem Logistics Co Limited</t>
  </si>
  <si>
    <t xml:space="preserve">info@jextreemcompanyltd.co.ke</t>
  </si>
  <si>
    <t xml:space="preserve">0713761646</t>
  </si>
  <si>
    <t xml:space="preserve">CUST100446</t>
  </si>
  <si>
    <t xml:space="preserve">jextreemcompanyltd@gmail.com</t>
  </si>
  <si>
    <t xml:space="preserve">Marion and Francisca</t>
  </si>
  <si>
    <t xml:space="preserve">Sabina Sabina</t>
  </si>
  <si>
    <t xml:space="preserve">Jikimu Supplies Limited</t>
  </si>
  <si>
    <t xml:space="preserve">info@jikimusupplies.co.ke</t>
  </si>
  <si>
    <t xml:space="preserve">0725222598</t>
  </si>
  <si>
    <t xml:space="preserve">CUST103125</t>
  </si>
  <si>
    <t xml:space="preserve">Stanley Mwangi</t>
  </si>
  <si>
    <t xml:space="preserve">Jimlizer Hotel Ltd</t>
  </si>
  <si>
    <t xml:space="preserve">mwangistanley12@gmail.com</t>
  </si>
  <si>
    <t xml:space="preserve">CUST100448</t>
  </si>
  <si>
    <t xml:space="preserve">Trish Chitroda</t>
  </si>
  <si>
    <t xml:space="preserve">Jit Mart Ltd</t>
  </si>
  <si>
    <t xml:space="preserve">accounts@mercado.co.ke</t>
  </si>
  <si>
    <t xml:space="preserve">CUST100450</t>
  </si>
  <si>
    <t xml:space="preserve">Hussein Ayot</t>
  </si>
  <si>
    <t xml:space="preserve">Joystar Cereals Commodities Ltd</t>
  </si>
  <si>
    <t xml:space="preserve">husseinayot@gmail.com</t>
  </si>
  <si>
    <t xml:space="preserve">CUST100454</t>
  </si>
  <si>
    <t xml:space="preserve">Bad Debt Provision</t>
  </si>
  <si>
    <t xml:space="preserve">Nipul Shah</t>
  </si>
  <si>
    <t xml:space="preserve">Juja Road Fancy Store Ltd</t>
  </si>
  <si>
    <t xml:space="preserve">jujafancy@yahoo.co.uk</t>
  </si>
  <si>
    <t xml:space="preserve">0721532344</t>
  </si>
  <si>
    <t xml:space="preserve">CUST100456</t>
  </si>
  <si>
    <t xml:space="preserve">Ahmed Mohammed</t>
  </si>
  <si>
    <t xml:space="preserve">Jumeirah Beachfront LTD</t>
  </si>
  <si>
    <t xml:space="preserve">ahmedm@jumeirahbeachfrontmsa.com</t>
  </si>
  <si>
    <t xml:space="preserve">CUST101925</t>
  </si>
  <si>
    <t xml:space="preserve">Swabir Swabir</t>
  </si>
  <si>
    <t xml:space="preserve">0724306492</t>
  </si>
  <si>
    <t xml:space="preserve">Anastacia Ngendo</t>
  </si>
  <si>
    <t xml:space="preserve">Jumuia Hospital Huruma</t>
  </si>
  <si>
    <t xml:space="preserve">annesingendo22@gmail.com</t>
  </si>
  <si>
    <t xml:space="preserve">CUST101496</t>
  </si>
  <si>
    <t xml:space="preserve">Eastleigh</t>
  </si>
  <si>
    <t xml:space="preserve">lydia-otiende@junuiahospitals.org</t>
  </si>
  <si>
    <t xml:space="preserve">Lydia Otiende</t>
  </si>
  <si>
    <t xml:space="preserve">Andrew Olefa</t>
  </si>
  <si>
    <t xml:space="preserve">Jupiter Real Ltd T/A Ibis Styles</t>
  </si>
  <si>
    <t xml:space="preserve">hb065-gl3@accor.com</t>
  </si>
  <si>
    <t xml:space="preserve">CUST100459</t>
  </si>
  <si>
    <t xml:space="preserve">hb65-gl4@accor.com</t>
  </si>
  <si>
    <t xml:space="preserve">Rose Makena</t>
  </si>
  <si>
    <t xml:space="preserve">HB065-PU@accor.com</t>
  </si>
  <si>
    <t xml:space="preserve">0725809777</t>
  </si>
  <si>
    <t xml:space="preserve">purchasing@accor.com</t>
  </si>
  <si>
    <t xml:space="preserve">0205147500</t>
  </si>
  <si>
    <t xml:space="preserve">Nitin Shah</t>
  </si>
  <si>
    <t xml:space="preserve">Just Now Limited</t>
  </si>
  <si>
    <t xml:space="preserve">info@justnow.co.ke</t>
  </si>
  <si>
    <t xml:space="preserve">0722440033</t>
  </si>
  <si>
    <t xml:space="preserve">CUST101870</t>
  </si>
  <si>
    <t xml:space="preserve">info@justnow.com</t>
  </si>
  <si>
    <t xml:space="preserve">KCB Bank Kenya Limited</t>
  </si>
  <si>
    <t xml:space="preserve">awmwangi@kcbgroup.com</t>
  </si>
  <si>
    <t xml:space="preserve">0722368730</t>
  </si>
  <si>
    <t xml:space="preserve">CUST100481</t>
  </si>
  <si>
    <t xml:space="preserve">swmulei@kcbgroup.com</t>
  </si>
  <si>
    <t xml:space="preserve">kenneth Kenduiwa</t>
  </si>
  <si>
    <t xml:space="preserve">KCB Bank Kenya Limited C/O Regent Management</t>
  </si>
  <si>
    <t xml:space="preserve">kkenduiwa@regent-mgt.com</t>
  </si>
  <si>
    <t xml:space="preserve">CUST101853</t>
  </si>
  <si>
    <t xml:space="preserve">scheboi@regent-mgt.com</t>
  </si>
  <si>
    <t xml:space="preserve">PADIPKUMIE PATEL</t>
  </si>
  <si>
    <t xml:space="preserve">KIBO SAFARI CAMP</t>
  </si>
  <si>
    <t xml:space="preserve">info@kibosafaricamp.com</t>
  </si>
  <si>
    <t xml:space="preserve">0728293867</t>
  </si>
  <si>
    <t xml:space="preserve">CUST102258</t>
  </si>
  <si>
    <t xml:space="preserve">pjkibo@gmail.com</t>
  </si>
  <si>
    <t xml:space="preserve">Maureen Gathogo</t>
  </si>
  <si>
    <t xml:space="preserve">Kaizora Centre For Neurodevelopmental Therapies</t>
  </si>
  <si>
    <t xml:space="preserve">admin@kaizora.com</t>
  </si>
  <si>
    <t xml:space="preserve">0755587860</t>
  </si>
  <si>
    <t xml:space="preserve">CUST100463</t>
  </si>
  <si>
    <t xml:space="preserve">Castro</t>
  </si>
  <si>
    <t xml:space="preserve">Kamcan Properties Ltd</t>
  </si>
  <si>
    <t xml:space="preserve">0731-686453</t>
  </si>
  <si>
    <t xml:space="preserve">CUST100466</t>
  </si>
  <si>
    <t xml:space="preserve">accounts@fourpointsnairobihurlingham.co.ke</t>
  </si>
  <si>
    <t xml:space="preserve">Francis Saitoti</t>
  </si>
  <si>
    <t xml:space="preserve">purchase@fourpointsnairobihurlingham.co.ke</t>
  </si>
  <si>
    <t xml:space="preserve">0722292700</t>
  </si>
  <si>
    <t xml:space="preserve">Samuel Muchiri</t>
  </si>
  <si>
    <t xml:space="preserve">0723570224</t>
  </si>
  <si>
    <t xml:space="preserve">Shadrack Mutiso</t>
  </si>
  <si>
    <t xml:space="preserve">stores@fourpointsnairobihurlingham.co.ke</t>
  </si>
  <si>
    <t xml:space="preserve">0705050970</t>
  </si>
  <si>
    <t xml:space="preserve">Sarah Murimi</t>
  </si>
  <si>
    <t xml:space="preserve">Kanha Limited</t>
  </si>
  <si>
    <t xml:space="preserve">sarah.murimi@hyatt.com</t>
  </si>
  <si>
    <t xml:space="preserve">0729572884</t>
  </si>
  <si>
    <t xml:space="preserve">CUST103102</t>
  </si>
  <si>
    <t xml:space="preserve">purchase@kanha.co.ke</t>
  </si>
  <si>
    <t xml:space="preserve">Abdi Majid</t>
  </si>
  <si>
    <t xml:space="preserve">Kanune General Limited</t>
  </si>
  <si>
    <t xml:space="preserve">ABDIMAJIDJAY@GMAIL.COM</t>
  </si>
  <si>
    <t xml:space="preserve">CUST100468</t>
  </si>
  <si>
    <t xml:space="preserve">Client to Collect</t>
  </si>
  <si>
    <t xml:space="preserve">Karanja &amp; Njenga Advocates Karanja &amp; Njenga Advocates</t>
  </si>
  <si>
    <t xml:space="preserve">Karanja-Njenga &amp; Co Advocates</t>
  </si>
  <si>
    <t xml:space="preserve">CUST100469</t>
  </si>
  <si>
    <t xml:space="preserve">info@knjenga.com</t>
  </si>
  <si>
    <t xml:space="preserve">Lawrence Muriuki</t>
  </si>
  <si>
    <t xml:space="preserve">muriuki@knjenga.co.ke</t>
  </si>
  <si>
    <t xml:space="preserve">0722519740</t>
  </si>
  <si>
    <t xml:space="preserve">Emily Ngambi</t>
  </si>
  <si>
    <t xml:space="preserve">Karen Hospital Limited</t>
  </si>
  <si>
    <t xml:space="preserve">emily.ngambi@karenhospital.org</t>
  </si>
  <si>
    <t xml:space="preserve">0731352789</t>
  </si>
  <si>
    <t xml:space="preserve">CUST100472</t>
  </si>
  <si>
    <t xml:space="preserve">finance.controller@karenhospital.org</t>
  </si>
  <si>
    <t xml:space="preserve">procurement@karenhospital.org</t>
  </si>
  <si>
    <t xml:space="preserve">Joseph Kitur</t>
  </si>
  <si>
    <t xml:space="preserve">joseph.kitur@karenhospital.org</t>
  </si>
  <si>
    <t xml:space="preserve">0711493004</t>
  </si>
  <si>
    <t xml:space="preserve">Tecla Chemobo</t>
  </si>
  <si>
    <t xml:space="preserve">Karen Technical Training Institute For The Deaf</t>
  </si>
  <si>
    <t xml:space="preserve">info@kttideaf.ac.ke</t>
  </si>
  <si>
    <t xml:space="preserve">0722261453</t>
  </si>
  <si>
    <t xml:space="preserve">CUST100473</t>
  </si>
  <si>
    <t xml:space="preserve">Dexter Jane</t>
  </si>
  <si>
    <t xml:space="preserve">Karen country club</t>
  </si>
  <si>
    <t xml:space="preserve">purchasing@karen.or.ke</t>
  </si>
  <si>
    <t xml:space="preserve">0722204431</t>
  </si>
  <si>
    <t xml:space="preserve">CUST100471</t>
  </si>
  <si>
    <t xml:space="preserve">Joanne Bill</t>
  </si>
  <si>
    <t xml:space="preserve">0724224492</t>
  </si>
  <si>
    <t xml:space="preserve">Bhavik Shah</t>
  </si>
  <si>
    <t xml:space="preserve">Karshah Limited</t>
  </si>
  <si>
    <t xml:space="preserve">bhavikshah@gmail.com</t>
  </si>
  <si>
    <t xml:space="preserve">0721324289</t>
  </si>
  <si>
    <t xml:space="preserve">CUST102204</t>
  </si>
  <si>
    <t xml:space="preserve">Eliud</t>
  </si>
  <si>
    <t xml:space="preserve">Karura Community Chapel</t>
  </si>
  <si>
    <t xml:space="preserve">0707877782</t>
  </si>
  <si>
    <t xml:space="preserve">CUST100475</t>
  </si>
  <si>
    <t xml:space="preserve">info@karuracc.or.ke</t>
  </si>
  <si>
    <t xml:space="preserve">Dan Ciira</t>
  </si>
  <si>
    <t xml:space="preserve">Keep It Promo (K) Ltd</t>
  </si>
  <si>
    <t xml:space="preserve">dciira@keepitpromo.co.ke</t>
  </si>
  <si>
    <t xml:space="preserve">0720304866</t>
  </si>
  <si>
    <t xml:space="preserve">CUST102414</t>
  </si>
  <si>
    <t xml:space="preserve">info@keepitpromo.co.ke</t>
  </si>
  <si>
    <t xml:space="preserve">Kellen Kariuki</t>
  </si>
  <si>
    <t xml:space="preserve">Kelpa Ltd</t>
  </si>
  <si>
    <t xml:space="preserve">CUST100483</t>
  </si>
  <si>
    <t xml:space="preserve">kelpalimited@gmail.com</t>
  </si>
  <si>
    <t xml:space="preserve">Kellen Kellen</t>
  </si>
  <si>
    <t xml:space="preserve">0721798288</t>
  </si>
  <si>
    <t xml:space="preserve">Rahul Raval</t>
  </si>
  <si>
    <t xml:space="preserve">Kenafric Industries Ltd</t>
  </si>
  <si>
    <t xml:space="preserve">rahul@kenafricind.com</t>
  </si>
  <si>
    <t xml:space="preserve">0722777750</t>
  </si>
  <si>
    <t xml:space="preserve">CUST100484</t>
  </si>
  <si>
    <t xml:space="preserve">cwaihiga@kenafricind.com</t>
  </si>
  <si>
    <t xml:space="preserve">Alexander Kagwi</t>
  </si>
  <si>
    <t xml:space="preserve">Kenchic Ltd.</t>
  </si>
  <si>
    <t xml:space="preserve">akagwi@kenchic.com</t>
  </si>
  <si>
    <t xml:space="preserve">0710102521</t>
  </si>
  <si>
    <t xml:space="preserve">CUST100485</t>
  </si>
  <si>
    <t xml:space="preserve">Kenchic@swiftkenya.com</t>
  </si>
  <si>
    <t xml:space="preserve">Grace mugo</t>
  </si>
  <si>
    <t xml:space="preserve">Kenton College Trust</t>
  </si>
  <si>
    <t xml:space="preserve">procurementassistant@kenton.ac.ke</t>
  </si>
  <si>
    <t xml:space="preserve">0710487879</t>
  </si>
  <si>
    <t xml:space="preserve">CUST100489</t>
  </si>
  <si>
    <t xml:space="preserve">accountspayable@kenton.ac.ke</t>
  </si>
  <si>
    <t xml:space="preserve">Irene Njoroge</t>
  </si>
  <si>
    <t xml:space="preserve">Kenya Airways</t>
  </si>
  <si>
    <t xml:space="preserve">irene.njoroge@kenya-airways.com</t>
  </si>
  <si>
    <t xml:space="preserve">CUST100491</t>
  </si>
  <si>
    <t xml:space="preserve">mildred.maranga@kenya-airways.com</t>
  </si>
  <si>
    <t xml:space="preserve">Mildred Maranga</t>
  </si>
  <si>
    <t xml:space="preserve">Joseph Njeru</t>
  </si>
  <si>
    <t xml:space="preserve">Kenya Commercial Bank Ltd</t>
  </si>
  <si>
    <t xml:space="preserve">jnjeru@kcbgroup.com</t>
  </si>
  <si>
    <t xml:space="preserve">0721340224</t>
  </si>
  <si>
    <t xml:space="preserve">CUST100492</t>
  </si>
  <si>
    <t xml:space="preserve">leadershipcentre@kcb.co.ke</t>
  </si>
  <si>
    <t xml:space="preserve">Enos Robert</t>
  </si>
  <si>
    <t xml:space="preserve">Kenya Good Neighbors</t>
  </si>
  <si>
    <t xml:space="preserve">enos.robert@goodneighbors.ke</t>
  </si>
  <si>
    <t xml:space="preserve">0729992066</t>
  </si>
  <si>
    <t xml:space="preserve">CUST101547</t>
  </si>
  <si>
    <t xml:space="preserve">Narok</t>
  </si>
  <si>
    <t xml:space="preserve">dorcas.gnkenya@gmail.com</t>
  </si>
  <si>
    <t xml:space="preserve">Miss Alice</t>
  </si>
  <si>
    <t xml:space="preserve">Kenya Hydraulics Limited</t>
  </si>
  <si>
    <t xml:space="preserve">accounts@kenyahydraulics.com</t>
  </si>
  <si>
    <t xml:space="preserve">0736925393</t>
  </si>
  <si>
    <t xml:space="preserve">CUST101505</t>
  </si>
  <si>
    <t xml:space="preserve">B Miruka</t>
  </si>
  <si>
    <t xml:space="preserve">Kenya Institute Of Curriculum Development</t>
  </si>
  <si>
    <t xml:space="preserve">procurement@kicd.ac.ke</t>
  </si>
  <si>
    <t xml:space="preserve">0729 327334</t>
  </si>
  <si>
    <t xml:space="preserve">CUST100495</t>
  </si>
  <si>
    <t xml:space="preserve">Antony Langat</t>
  </si>
  <si>
    <t xml:space="preserve">Kenya Kazi Limited - Safaricom Account</t>
  </si>
  <si>
    <t xml:space="preserve">Antony.Langat@garda.com</t>
  </si>
  <si>
    <t xml:space="preserve">0722243773</t>
  </si>
  <si>
    <t xml:space="preserve">CUST101412</t>
  </si>
  <si>
    <t xml:space="preserve">gladyagumba@kksecurity.com</t>
  </si>
  <si>
    <t xml:space="preserve">Gladys Agumba</t>
  </si>
  <si>
    <t xml:space="preserve">Cynthia Mwangola</t>
  </si>
  <si>
    <t xml:space="preserve">Kenya Red Cross Society</t>
  </si>
  <si>
    <t xml:space="preserve">mwangola.cynthia@redcross.or.ke</t>
  </si>
  <si>
    <t xml:space="preserve">CUST100499</t>
  </si>
  <si>
    <t xml:space="preserve">Jacqueline Kasango</t>
  </si>
  <si>
    <t xml:space="preserve">Kenya Women Finance Trust</t>
  </si>
  <si>
    <t xml:space="preserve">jkasango@kwftbank.com</t>
  </si>
  <si>
    <t xml:space="preserve">+254 703 067 000</t>
  </si>
  <si>
    <t xml:space="preserve">CUST100502</t>
  </si>
  <si>
    <t xml:space="preserve">mmugure@kwftbank.com</t>
  </si>
  <si>
    <t xml:space="preserve">Julius Thuku Mburu</t>
  </si>
  <si>
    <t xml:space="preserve">jthuku@kwftbank.com</t>
  </si>
  <si>
    <t xml:space="preserve">0703 067 000</t>
  </si>
  <si>
    <t xml:space="preserve">Mercy Mwangi Mugure</t>
  </si>
  <si>
    <t xml:space="preserve">0703067000</t>
  </si>
  <si>
    <t xml:space="preserve">Vivian Madegwa</t>
  </si>
  <si>
    <t xml:space="preserve">Kenya Yucheng Plate Making Limited</t>
  </si>
  <si>
    <t xml:space="preserve">madegwavivian@gmail.com</t>
  </si>
  <si>
    <t xml:space="preserve">CUST101534</t>
  </si>
  <si>
    <t xml:space="preserve">Violet k</t>
  </si>
  <si>
    <t xml:space="preserve">Kilimani Greengrocers &amp; Sundries Ltd</t>
  </si>
  <si>
    <t xml:space="preserve">sales@kilimanigreengrocers.co.ke</t>
  </si>
  <si>
    <t xml:space="preserve">0722356254</t>
  </si>
  <si>
    <t xml:space="preserve">CUST100512</t>
  </si>
  <si>
    <t xml:space="preserve">Betty Njoroge</t>
  </si>
  <si>
    <t xml:space="preserve">Kilimani Hotel suites Limited</t>
  </si>
  <si>
    <t xml:space="preserve">betty.njoroge@the-ascott.com</t>
  </si>
  <si>
    <t xml:space="preserve">0726 312164</t>
  </si>
  <si>
    <t xml:space="preserve">CUST102297</t>
  </si>
  <si>
    <t xml:space="preserve">ntwiga.wanja@the-ascott.com</t>
  </si>
  <si>
    <t xml:space="preserve">Carol Mwikal</t>
  </si>
  <si>
    <t xml:space="preserve">Kipeto Energy Plc</t>
  </si>
  <si>
    <t xml:space="preserve">carolyne.muli@kipetoenergy.co.ke</t>
  </si>
  <si>
    <t xml:space="preserve">0720700611</t>
  </si>
  <si>
    <t xml:space="preserve">CUST100515</t>
  </si>
  <si>
    <t xml:space="preserve">info@kipetoenergy.co.ke</t>
  </si>
  <si>
    <t xml:space="preserve">Ceciliah shiro</t>
  </si>
  <si>
    <t xml:space="preserve">Kirsek Investments Ltd</t>
  </si>
  <si>
    <t xml:space="preserve">info@maasaimall.co.ke</t>
  </si>
  <si>
    <t xml:space="preserve">0703507979</t>
  </si>
  <si>
    <t xml:space="preserve">CUST100517</t>
  </si>
  <si>
    <t xml:space="preserve">Anthony</t>
  </si>
  <si>
    <t xml:space="preserve">Kiwam Investment Ltd</t>
  </si>
  <si>
    <t xml:space="preserve">0720-684902</t>
  </si>
  <si>
    <t xml:space="preserve">CUST100518</t>
  </si>
  <si>
    <t xml:space="preserve">simon.gakere@equityafia.co.ke</t>
  </si>
  <si>
    <t xml:space="preserve">Anthony Kinyanjui</t>
  </si>
  <si>
    <t xml:space="preserve">anthony.kinyanjui@equity.co.ke</t>
  </si>
  <si>
    <t xml:space="preserve">0720684902</t>
  </si>
  <si>
    <t xml:space="preserve">Simon Gakere</t>
  </si>
  <si>
    <t xml:space="preserve">Margaret Kabura</t>
  </si>
  <si>
    <t xml:space="preserve">Kleansley Hygiene Plus Ltd</t>
  </si>
  <si>
    <t xml:space="preserve">margaret.kabura@kleansley.co.ke</t>
  </si>
  <si>
    <t xml:space="preserve">CUST100519</t>
  </si>
  <si>
    <t xml:space="preserve">gocho@kleansley.co.ke</t>
  </si>
  <si>
    <t xml:space="preserve">Mary Gitari</t>
  </si>
  <si>
    <t xml:space="preserve">Knight Frank Kenya Ltd</t>
  </si>
  <si>
    <t xml:space="preserve">Mary.Gitari@ke.knightfrank.com</t>
  </si>
  <si>
    <t xml:space="preserve">0722288014</t>
  </si>
  <si>
    <t xml:space="preserve">CUST100520</t>
  </si>
  <si>
    <t xml:space="preserve">maureen.atelo@ke.knightfrank.com</t>
  </si>
  <si>
    <t xml:space="preserve">Maureen Atelo</t>
  </si>
  <si>
    <t xml:space="preserve">Daniel Korir</t>
  </si>
  <si>
    <t xml:space="preserve">Koko Networks Limited</t>
  </si>
  <si>
    <t xml:space="preserve">d.korir@kokonetworks.com</t>
  </si>
  <si>
    <t xml:space="preserve">CUST100522</t>
  </si>
  <si>
    <t xml:space="preserve">n.kessio@kokonetworks.com</t>
  </si>
  <si>
    <t xml:space="preserve">Grace Njuguna</t>
  </si>
  <si>
    <t xml:space="preserve">g.njuguna@kokonetworks.com</t>
  </si>
  <si>
    <t xml:space="preserve">0741967663</t>
  </si>
  <si>
    <t xml:space="preserve">Titus m</t>
  </si>
  <si>
    <t xml:space="preserve">Komarock Modern Limited</t>
  </si>
  <si>
    <t xml:space="preserve">info@komarockmodernhealth.org</t>
  </si>
  <si>
    <t xml:space="preserve">+254 723 799811</t>
  </si>
  <si>
    <t xml:space="preserve">CUST102202</t>
  </si>
  <si>
    <t xml:space="preserve">willy3nam@yahoo.com</t>
  </si>
  <si>
    <t xml:space="preserve">Daniel Dan</t>
  </si>
  <si>
    <t xml:space="preserve">Krystal Asali Ltd</t>
  </si>
  <si>
    <t xml:space="preserve">CUST100524</t>
  </si>
  <si>
    <t xml:space="preserve">info@shambacafe.co.ke</t>
  </si>
  <si>
    <t xml:space="preserve">Brian Wanjala</t>
  </si>
  <si>
    <t xml:space="preserve">LSG Sky Chefs Kenya Ltd</t>
  </si>
  <si>
    <t xml:space="preserve">brian.wanjala@lsgskychefs.com</t>
  </si>
  <si>
    <t xml:space="preserve">CUST100569</t>
  </si>
  <si>
    <t xml:space="preserve">eglah.maina@lsgskychefs.com</t>
  </si>
  <si>
    <t xml:space="preserve">Duncan</t>
  </si>
  <si>
    <t xml:space="preserve">Duncan Munyua</t>
  </si>
  <si>
    <t xml:space="preserve">duncan.munyua@lsgskychefs.com</t>
  </si>
  <si>
    <t xml:space="preserve">0723430937</t>
  </si>
  <si>
    <t xml:space="preserve">Loreto Oduor</t>
  </si>
  <si>
    <t xml:space="preserve">0758727063</t>
  </si>
  <si>
    <t xml:space="preserve">Justus Oguta</t>
  </si>
  <si>
    <t xml:space="preserve">La Pieve Ltd</t>
  </si>
  <si>
    <t xml:space="preserve">justus.oguta@lapieveltd.com</t>
  </si>
  <si>
    <t xml:space="preserve">CUST100530</t>
  </si>
  <si>
    <t xml:space="preserve">James Lomodok</t>
  </si>
  <si>
    <t xml:space="preserve">La Salle Catholic Primary School</t>
  </si>
  <si>
    <t xml:space="preserve">finance@lasallecatholicschool.sc.ke</t>
  </si>
  <si>
    <t xml:space="preserve">CUST100531</t>
  </si>
  <si>
    <t xml:space="preserve">info@lasallecatholicprimary.org</t>
  </si>
  <si>
    <t xml:space="preserve">Isaac Nderitu</t>
  </si>
  <si>
    <t xml:space="preserve">Lafemme Health Clinic</t>
  </si>
  <si>
    <t xml:space="preserve">lafemmehealthcare.ke@gmail.com</t>
  </si>
  <si>
    <t xml:space="preserve">0741764551</t>
  </si>
  <si>
    <t xml:space="preserve">CUST101924</t>
  </si>
  <si>
    <t xml:space="preserve">Alice Kybe</t>
  </si>
  <si>
    <t xml:space="preserve">Lake Parm General Agencies</t>
  </si>
  <si>
    <t xml:space="preserve">alicekybe@gmail.com</t>
  </si>
  <si>
    <t xml:space="preserve">CUST100533</t>
  </si>
  <si>
    <t xml:space="preserve">Robert Otim</t>
  </si>
  <si>
    <t xml:space="preserve">Lake Victoria Basin Commission</t>
  </si>
  <si>
    <t xml:space="preserve">otim@lvbcom.org</t>
  </si>
  <si>
    <t xml:space="preserve">CUST100534</t>
  </si>
  <si>
    <t xml:space="preserve">munabi@lvbcom.org</t>
  </si>
  <si>
    <t xml:space="preserve">Lucy Mukolwe</t>
  </si>
  <si>
    <t xml:space="preserve">Lakhani General Suppliers Limited</t>
  </si>
  <si>
    <t xml:space="preserve">sales2@lgs.co.ke</t>
  </si>
  <si>
    <t xml:space="preserve">0780849145</t>
  </si>
  <si>
    <t xml:space="preserve">CUST100535</t>
  </si>
  <si>
    <t xml:space="preserve">sales@lgs.co.ke</t>
  </si>
  <si>
    <t xml:space="preserve">Mejumaa Mejumaa</t>
  </si>
  <si>
    <t xml:space="preserve">0115538990</t>
  </si>
  <si>
    <t xml:space="preserve">Wilber Mutange</t>
  </si>
  <si>
    <t xml:space="preserve">Langata Botanical Garden</t>
  </si>
  <si>
    <t xml:space="preserve">info@langatabotanical.com</t>
  </si>
  <si>
    <t xml:space="preserve">CUST100538</t>
  </si>
  <si>
    <t xml:space="preserve">Tabitha Wanjiru</t>
  </si>
  <si>
    <t xml:space="preserve">Langata Hotel Development Ltd</t>
  </si>
  <si>
    <t xml:space="preserve">purchasing.tth@tamarind.co.ke</t>
  </si>
  <si>
    <t xml:space="preserve">CUST100539</t>
  </si>
  <si>
    <t xml:space="preserve">payables.tth@tamarind.co.ke</t>
  </si>
  <si>
    <t xml:space="preserve">Samson masila</t>
  </si>
  <si>
    <t xml:space="preserve">Langata Link Limited</t>
  </si>
  <si>
    <t xml:space="preserve">essentials@langatalink.com</t>
  </si>
  <si>
    <t xml:space="preserve">0711275395</t>
  </si>
  <si>
    <t xml:space="preserve">CUST100540</t>
  </si>
  <si>
    <t xml:space="preserve">info@langatalink.com</t>
  </si>
  <si>
    <t xml:space="preserve">Catherine Mburu</t>
  </si>
  <si>
    <t xml:space="preserve">Langata Links Shop</t>
  </si>
  <si>
    <t xml:space="preserve">info@langatalinkshops.com</t>
  </si>
  <si>
    <t xml:space="preserve">07447244317</t>
  </si>
  <si>
    <t xml:space="preserve">CUST100541</t>
  </si>
  <si>
    <t xml:space="preserve">info@langatalinkshop.com</t>
  </si>
  <si>
    <t xml:space="preserve">FRANCIS NJOROGE</t>
  </si>
  <si>
    <t xml:space="preserve">Lavington Complex Ltd C/O Kiragu And Mwangi Ltd</t>
  </si>
  <si>
    <t xml:space="preserve">Francis.Njoroge@kiraguandmwangi.co.ke</t>
  </si>
  <si>
    <t xml:space="preserve">0707233234</t>
  </si>
  <si>
    <t xml:space="preserve">CUST100544</t>
  </si>
  <si>
    <t xml:space="preserve">joel.simiyu@kiraguandmwangi.co.ke</t>
  </si>
  <si>
    <t xml:space="preserve">Joel Simiyu</t>
  </si>
  <si>
    <t xml:space="preserve">Kaveeta Mudhur</t>
  </si>
  <si>
    <t xml:space="preserve">Leisure Park Development Ltd T/A Of Radisson Blu</t>
  </si>
  <si>
    <t xml:space="preserve">kaveeta.mudhur@radissonblu.com</t>
  </si>
  <si>
    <t xml:space="preserve">0 709 031000</t>
  </si>
  <si>
    <t xml:space="preserve">CUST100548</t>
  </si>
  <si>
    <t xml:space="preserve">jared.warria@radissonblu.com</t>
  </si>
  <si>
    <t xml:space="preserve">Miss Roselyn</t>
  </si>
  <si>
    <t xml:space="preserve">Lenana Suites Ltd</t>
  </si>
  <si>
    <t xml:space="preserve">info@lenanasuites.com</t>
  </si>
  <si>
    <t xml:space="preserve">CUST100550</t>
  </si>
  <si>
    <t xml:space="preserve">Betty Mutwiri</t>
  </si>
  <si>
    <t xml:space="preserve">Liga Holdings Ltd</t>
  </si>
  <si>
    <t xml:space="preserve">ligaholdings@gmail.com</t>
  </si>
  <si>
    <t xml:space="preserve">0722 982048</t>
  </si>
  <si>
    <t xml:space="preserve">CUST100557</t>
  </si>
  <si>
    <t xml:space="preserve">Migori</t>
  </si>
  <si>
    <t xml:space="preserve">Charles Kariuki</t>
  </si>
  <si>
    <t xml:space="preserve">Limuru Country Club</t>
  </si>
  <si>
    <t xml:space="preserve">purchases@limurucountryclub.co.ke</t>
  </si>
  <si>
    <t xml:space="preserve">CUST100560</t>
  </si>
  <si>
    <t xml:space="preserve">Limuru</t>
  </si>
  <si>
    <t xml:space="preserve">info@limurucountryclub.co.ke</t>
  </si>
  <si>
    <t xml:space="preserve">Carol Makena</t>
  </si>
  <si>
    <t xml:space="preserve">Lintons Place</t>
  </si>
  <si>
    <t xml:space="preserve">carol.makena@lintonsbeauty.com</t>
  </si>
  <si>
    <t xml:space="preserve">0743142667</t>
  </si>
  <si>
    <t xml:space="preserve">CUST101874</t>
  </si>
  <si>
    <t xml:space="preserve">evelyn.mbogo@lintonsbeauty.com</t>
  </si>
  <si>
    <t xml:space="preserve">Evelyn Mbogo</t>
  </si>
  <si>
    <t xml:space="preserve">Kenneth Mulewa</t>
  </si>
  <si>
    <t xml:space="preserve">Liverpool VCT &amp; Care Kenya</t>
  </si>
  <si>
    <t xml:space="preserve">kenneth.mulewa@lvcthealth.org</t>
  </si>
  <si>
    <t xml:space="preserve">CUST100563</t>
  </si>
  <si>
    <t xml:space="preserve">Kenneth.mulewa@lvcthealth.org</t>
  </si>
  <si>
    <t xml:space="preserve">Maureen Oindo</t>
  </si>
  <si>
    <t xml:space="preserve">maureen.oindo@lvcthealth.org</t>
  </si>
  <si>
    <t xml:space="preserve">Rebbeca Becky Nyambura</t>
  </si>
  <si>
    <t xml:space="preserve">Logitech Services Limited</t>
  </si>
  <si>
    <t xml:space="preserve">0755826757</t>
  </si>
  <si>
    <t xml:space="preserve">CUST100565</t>
  </si>
  <si>
    <t xml:space="preserve">logitech.services@yahoo.com</t>
  </si>
  <si>
    <t xml:space="preserve">Robert Kimani</t>
  </si>
  <si>
    <t xml:space="preserve">0721225458</t>
  </si>
  <si>
    <t xml:space="preserve">logitech Becky</t>
  </si>
  <si>
    <t xml:space="preserve">0719467454</t>
  </si>
  <si>
    <t xml:space="preserve">Beverlyne Mwiwa</t>
  </si>
  <si>
    <t xml:space="preserve">Longhorn Kenya Ltd</t>
  </si>
  <si>
    <t xml:space="preserve">Bmwima@longhornpublishers.com</t>
  </si>
  <si>
    <t xml:space="preserve">0718392695</t>
  </si>
  <si>
    <t xml:space="preserve">CUST100568</t>
  </si>
  <si>
    <t xml:space="preserve">knjoki@longhornpublishers.com</t>
  </si>
  <si>
    <t xml:space="preserve">Keviah Waiganjo</t>
  </si>
  <si>
    <t xml:space="preserve">+254 721907463</t>
  </si>
  <si>
    <t xml:space="preserve">FIBI MUTHONI</t>
  </si>
  <si>
    <t xml:space="preserve">Lukenya Getaway Limited</t>
  </si>
  <si>
    <t xml:space="preserve">procurement@lukenyagateway.com</t>
  </si>
  <si>
    <t xml:space="preserve">0719431662</t>
  </si>
  <si>
    <t xml:space="preserve">CUST100571</t>
  </si>
  <si>
    <t xml:space="preserve">finance@lukenyagetaway.com</t>
  </si>
  <si>
    <t xml:space="preserve">Phoebe Muthoni</t>
  </si>
  <si>
    <t xml:space="preserve">Procurement@lukenyagetaway.com</t>
  </si>
  <si>
    <t xml:space="preserve">Edith Ochar</t>
  </si>
  <si>
    <t xml:space="preserve">Lupat Cleaning Services Ltd</t>
  </si>
  <si>
    <t xml:space="preserve">edith.ochar@lupatservices.co.ke</t>
  </si>
  <si>
    <t xml:space="preserve">CUST100572</t>
  </si>
  <si>
    <t xml:space="preserve">lucymutie@lupatservices.co.ke</t>
  </si>
  <si>
    <t xml:space="preserve">Mr Abdi</t>
  </si>
  <si>
    <t xml:space="preserve">Luqman Petroleum Limited</t>
  </si>
  <si>
    <t xml:space="preserve">info@luqmanpetroleum.com</t>
  </si>
  <si>
    <t xml:space="preserve">0720039763</t>
  </si>
  <si>
    <t xml:space="preserve">CUST103235</t>
  </si>
  <si>
    <t xml:space="preserve">info@luqmanpetroleum.com; mall@luqmanpetroleum.com</t>
  </si>
  <si>
    <t xml:space="preserve">ann ndungu</t>
  </si>
  <si>
    <t xml:space="preserve">M Pesafoundation Academy</t>
  </si>
  <si>
    <t xml:space="preserve">andungu@mpesafoundationacademy.ac.ke</t>
  </si>
  <si>
    <t xml:space="preserve">CUST100574</t>
  </si>
  <si>
    <t xml:space="preserve">Thika Town</t>
  </si>
  <si>
    <t xml:space="preserve">info@mpesafoundationacademy.ac.ke</t>
  </si>
  <si>
    <t xml:space="preserve">Chris</t>
  </si>
  <si>
    <t xml:space="preserve">Maanzoni Lodge Ltd</t>
  </si>
  <si>
    <t xml:space="preserve">0711364537</t>
  </si>
  <si>
    <t xml:space="preserve">CUST100575</t>
  </si>
  <si>
    <t xml:space="preserve">sawa@maanzonilodge.co.ke</t>
  </si>
  <si>
    <t xml:space="preserve">Festus Muindi</t>
  </si>
  <si>
    <t xml:space="preserve">accounts@maanzonilodge.co.ke</t>
  </si>
  <si>
    <t xml:space="preserve">0705640275</t>
  </si>
  <si>
    <t xml:space="preserve">Sawa Musau</t>
  </si>
  <si>
    <t xml:space="preserve">Evelyn Njoya</t>
  </si>
  <si>
    <t xml:space="preserve">Maasai Koroga</t>
  </si>
  <si>
    <t xml:space="preserve">evelynjoya@gmail.com</t>
  </si>
  <si>
    <t xml:space="preserve">0729078134</t>
  </si>
  <si>
    <t xml:space="preserve">CUST101486</t>
  </si>
  <si>
    <t xml:space="preserve">stellamunyendo@gmail.com; enockonyangonyokayo@gmail.com</t>
  </si>
  <si>
    <t xml:space="preserve">Stella Munyendo</t>
  </si>
  <si>
    <t xml:space="preserve">stellamunyendo@gmail.com</t>
  </si>
  <si>
    <t xml:space="preserve">Purity Macharia</t>
  </si>
  <si>
    <t xml:space="preserve">Maco the Big Fish</t>
  </si>
  <si>
    <t xml:space="preserve">0715148388</t>
  </si>
  <si>
    <t xml:space="preserve">CUST102951</t>
  </si>
  <si>
    <t xml:space="preserve">macothebigfish@gmail.com</t>
  </si>
  <si>
    <t xml:space="preserve">Martin</t>
  </si>
  <si>
    <t xml:space="preserve">Mada Holdings Limited.</t>
  </si>
  <si>
    <t xml:space="preserve">purchasing@madakilifi.com</t>
  </si>
  <si>
    <t xml:space="preserve">CUST100577</t>
  </si>
  <si>
    <t xml:space="preserve">purchasing@madahotels.com</t>
  </si>
  <si>
    <t xml:space="preserve">Samuel Ochieng</t>
  </si>
  <si>
    <t xml:space="preserve">purchasing.accounts@madahotels.com</t>
  </si>
  <si>
    <t xml:space="preserve">Evans Magaki</t>
  </si>
  <si>
    <t xml:space="preserve">Magaki Cleaning Services</t>
  </si>
  <si>
    <t xml:space="preserve">magakievans@yahoo.com</t>
  </si>
  <si>
    <t xml:space="preserve">CUST100580</t>
  </si>
  <si>
    <t xml:space="preserve">Maggie Wangui</t>
  </si>
  <si>
    <t xml:space="preserve">Magic Slots Ltd</t>
  </si>
  <si>
    <t xml:space="preserve">purchasing@casino-flamingo.co.ke</t>
  </si>
  <si>
    <t xml:space="preserve">0723784173</t>
  </si>
  <si>
    <t xml:space="preserve">CUST100581</t>
  </si>
  <si>
    <t xml:space="preserve">Natasha Viola</t>
  </si>
  <si>
    <t xml:space="preserve">0708996411</t>
  </si>
  <si>
    <t xml:space="preserve">Dominic Githengu</t>
  </si>
  <si>
    <t xml:space="preserve">Magnate Ventures Ltd</t>
  </si>
  <si>
    <t xml:space="preserve">dominic.githengu@magnnate-ventures.com</t>
  </si>
  <si>
    <t xml:space="preserve">CUST101494</t>
  </si>
  <si>
    <t xml:space="preserve">David Obuya</t>
  </si>
  <si>
    <t xml:space="preserve">Maisha Bora Cooperative Savings And Credit Society</t>
  </si>
  <si>
    <t xml:space="preserve">david.obuya@maishaborasacco.com</t>
  </si>
  <si>
    <t xml:space="preserve">0728364719</t>
  </si>
  <si>
    <t xml:space="preserve">CUST100583</t>
  </si>
  <si>
    <t xml:space="preserve">info@maishaborasacco.com</t>
  </si>
  <si>
    <t xml:space="preserve">Patricia Wachira</t>
  </si>
  <si>
    <t xml:space="preserve">Malachite Limited</t>
  </si>
  <si>
    <t xml:space="preserve">patricia@mayers.co.ke</t>
  </si>
  <si>
    <t xml:space="preserve">CUST100588</t>
  </si>
  <si>
    <t xml:space="preserve">accounts@mayers.co.ke</t>
  </si>
  <si>
    <t xml:space="preserve">Susan Keino</t>
  </si>
  <si>
    <t xml:space="preserve">Manchiez Grill Restaurant</t>
  </si>
  <si>
    <t xml:space="preserve">manchiezgrillltd@gmail.com</t>
  </si>
  <si>
    <t xml:space="preserve">CUST100591</t>
  </si>
  <si>
    <t xml:space="preserve">Susan Kieno</t>
  </si>
  <si>
    <t xml:space="preserve">chirrykeino@gmail.com</t>
  </si>
  <si>
    <t xml:space="preserve">0727840101</t>
  </si>
  <si>
    <t xml:space="preserve">Miss Monica</t>
  </si>
  <si>
    <t xml:space="preserve">Marina Healthcare Ltd</t>
  </si>
  <si>
    <t xml:space="preserve">accounts@marinahosp.com</t>
  </si>
  <si>
    <t xml:space="preserve">0720941746</t>
  </si>
  <si>
    <t xml:space="preserve">CUST100596</t>
  </si>
  <si>
    <t xml:space="preserve">Pipeline</t>
  </si>
  <si>
    <t xml:space="preserve">info@marinahosp.com</t>
  </si>
  <si>
    <t xml:space="preserve">Dawud mos</t>
  </si>
  <si>
    <t xml:space="preserve">Maruti Office Supplies Ltd</t>
  </si>
  <si>
    <t xml:space="preserve">purchasing@marutios.com</t>
  </si>
  <si>
    <t xml:space="preserve">0771217428</t>
  </si>
  <si>
    <t xml:space="preserve">CUST101728</t>
  </si>
  <si>
    <t xml:space="preserve">Gordon Obongo</t>
  </si>
  <si>
    <t xml:space="preserve">Masai Lodge Ltd</t>
  </si>
  <si>
    <t xml:space="preserve">finance@maasailodge.com</t>
  </si>
  <si>
    <t xml:space="preserve">0721637630</t>
  </si>
  <si>
    <t xml:space="preserve">CUST100598</t>
  </si>
  <si>
    <t xml:space="preserve">Ayoob Bashir</t>
  </si>
  <si>
    <t xml:space="preserve">Master Power Systems</t>
  </si>
  <si>
    <t xml:space="preserve">accounts@masterpowers.com</t>
  </si>
  <si>
    <t xml:space="preserve">0722643146</t>
  </si>
  <si>
    <t xml:space="preserve">CUST100601</t>
  </si>
  <si>
    <t xml:space="preserve">accounts1@masterpowers.com</t>
  </si>
  <si>
    <t xml:space="preserve">FARIDA WANYOIKE</t>
  </si>
  <si>
    <t xml:space="preserve">Mater Hospital</t>
  </si>
  <si>
    <t xml:space="preserve">fwanyoike@materkenya.com</t>
  </si>
  <si>
    <t xml:space="preserve">0706497597</t>
  </si>
  <si>
    <t xml:space="preserve">CUST100604</t>
  </si>
  <si>
    <t xml:space="preserve">smbai@materkenya.com</t>
  </si>
  <si>
    <t xml:space="preserve">Judith Syokau</t>
  </si>
  <si>
    <t xml:space="preserve">Matungulu Medical Health and Wellness Centre</t>
  </si>
  <si>
    <t xml:space="preserve">admin@matungulumedical.co.ke</t>
  </si>
  <si>
    <t xml:space="preserve">0723715180</t>
  </si>
  <si>
    <t xml:space="preserve">CUST102388</t>
  </si>
  <si>
    <t xml:space="preserve">Cash Sales</t>
  </si>
  <si>
    <t xml:space="preserve">Gladys</t>
  </si>
  <si>
    <t xml:space="preserve">Mbuzi Foods Ltd</t>
  </si>
  <si>
    <t xml:space="preserve">CUST100610</t>
  </si>
  <si>
    <t xml:space="preserve">lizk@mbuzimunch.com</t>
  </si>
  <si>
    <t xml:space="preserve">Hillary Ochieng</t>
  </si>
  <si>
    <t xml:space="preserve">hillary@mbuzimunch.com</t>
  </si>
  <si>
    <t xml:space="preserve">0713372712</t>
  </si>
  <si>
    <t xml:space="preserve">Jackline</t>
  </si>
  <si>
    <t xml:space="preserve">0723868686</t>
  </si>
  <si>
    <t xml:space="preserve">Liz</t>
  </si>
  <si>
    <t xml:space="preserve">0792716761</t>
  </si>
  <si>
    <t xml:space="preserve">Mbuzi Foods - Galleria</t>
  </si>
  <si>
    <t xml:space="preserve">Nicholas</t>
  </si>
  <si>
    <t xml:space="preserve">Kenneth Wambugu</t>
  </si>
  <si>
    <t xml:space="preserve">Mediheal Hospital</t>
  </si>
  <si>
    <t xml:space="preserve">payable2.nkr@medihealgroup.com</t>
  </si>
  <si>
    <t xml:space="preserve">CUST100613</t>
  </si>
  <si>
    <t xml:space="preserve">Elijah Onsongo</t>
  </si>
  <si>
    <t xml:space="preserve">Meekline Limited</t>
  </si>
  <si>
    <t xml:space="preserve">meeklinelimited@gmail.com</t>
  </si>
  <si>
    <t xml:space="preserve">0722266069</t>
  </si>
  <si>
    <t xml:space="preserve">CUST102505</t>
  </si>
  <si>
    <t xml:space="preserve">Meridian Hotel</t>
  </si>
  <si>
    <t xml:space="preserve">CUST100617</t>
  </si>
  <si>
    <t xml:space="preserve">accounts@meridianhotelkenya.com</t>
  </si>
  <si>
    <t xml:space="preserve">Eric Kyalo</t>
  </si>
  <si>
    <t xml:space="preserve">Stella Kaburu</t>
  </si>
  <si>
    <t xml:space="preserve">hke@meridianhotelkenya.com</t>
  </si>
  <si>
    <t xml:space="preserve">+254 734 313 998</t>
  </si>
  <si>
    <t xml:space="preserve">Frank Mutuma</t>
  </si>
  <si>
    <t xml:space="preserve">Meru Slopes Hotel Limited</t>
  </si>
  <si>
    <t xml:space="preserve">frankiemutuma@gmail.com</t>
  </si>
  <si>
    <t xml:space="preserve">0726497391</t>
  </si>
  <si>
    <t xml:space="preserve">CUST102820</t>
  </si>
  <si>
    <t xml:space="preserve">accounts@meruslopeshotel.com</t>
  </si>
  <si>
    <t xml:space="preserve">Christine Wambui</t>
  </si>
  <si>
    <t xml:space="preserve">Metro Cleaners &amp; Renovators Ltd</t>
  </si>
  <si>
    <t xml:space="preserve">procurement.stores@metrocleaners.co.ke</t>
  </si>
  <si>
    <t xml:space="preserve">0722651682</t>
  </si>
  <si>
    <t xml:space="preserve">CUST100618</t>
  </si>
  <si>
    <t xml:space="preserve">info@metrocleaners.com</t>
  </si>
  <si>
    <t xml:space="preserve">Edith</t>
  </si>
  <si>
    <t xml:space="preserve">Annabel Chesire</t>
  </si>
  <si>
    <t xml:space="preserve">Midland Hotel Ltd</t>
  </si>
  <si>
    <t xml:space="preserve">annabel.chesire@gmail.com</t>
  </si>
  <si>
    <t xml:space="preserve">0720605046</t>
  </si>
  <si>
    <t xml:space="preserve">CUST100619</t>
  </si>
  <si>
    <t xml:space="preserve">stores@midlandhotel.co.ke</t>
  </si>
  <si>
    <t xml:space="preserve">Annabel chesire</t>
  </si>
  <si>
    <t xml:space="preserve">Josphine Sasuka</t>
  </si>
  <si>
    <t xml:space="preserve">Milachem Tanzania limited</t>
  </si>
  <si>
    <t xml:space="preserve">salesrep@milachem.com</t>
  </si>
  <si>
    <t xml:space="preserve">+255767951979</t>
  </si>
  <si>
    <t xml:space="preserve">CUST100621</t>
  </si>
  <si>
    <t xml:space="preserve">Tanzania</t>
  </si>
  <si>
    <t xml:space="preserve">Mercy Mugo</t>
  </si>
  <si>
    <t xml:space="preserve">Millbrook International School</t>
  </si>
  <si>
    <t xml:space="preserve">mercy.mugo@millbrookschool.co.ke</t>
  </si>
  <si>
    <t xml:space="preserve">CUST101907</t>
  </si>
  <si>
    <t xml:space="preserve">Tabitha Wamuyu</t>
  </si>
  <si>
    <t xml:space="preserve">secretary@millbrookschool.co.ke</t>
  </si>
  <si>
    <t xml:space="preserve">0740779580</t>
  </si>
  <si>
    <t xml:space="preserve">Emily Nyaega</t>
  </si>
  <si>
    <t xml:space="preserve">Minet Kenya Insurance Brokers Limited</t>
  </si>
  <si>
    <t xml:space="preserve">emily.nyaega@aon.co.ke</t>
  </si>
  <si>
    <t xml:space="preserve">CUST100626</t>
  </si>
  <si>
    <t xml:space="preserve">susan.waweru@minet.co.ke</t>
  </si>
  <si>
    <t xml:space="preserve">Gladys Erude</t>
  </si>
  <si>
    <t xml:space="preserve">gladys.erude@minet.co.ke</t>
  </si>
  <si>
    <t xml:space="preserve">0725619945</t>
  </si>
  <si>
    <t xml:space="preserve">Brenda Mwaura</t>
  </si>
  <si>
    <t xml:space="preserve">Mission Aviation Fellowship</t>
  </si>
  <si>
    <t xml:space="preserve">brenda.mwaura@mafint.org</t>
  </si>
  <si>
    <t xml:space="preserve">CUST100627</t>
  </si>
  <si>
    <t xml:space="preserve">sharon.toroitich@mafint.org</t>
  </si>
  <si>
    <t xml:space="preserve">Maf-Kenya</t>
  </si>
  <si>
    <t xml:space="preserve">020 6007051</t>
  </si>
  <si>
    <t xml:space="preserve">Sonal Patel</t>
  </si>
  <si>
    <t xml:space="preserve">Mitsumi Business Park</t>
  </si>
  <si>
    <t xml:space="preserve">sonal@mitsumidistribution.com</t>
  </si>
  <si>
    <t xml:space="preserve">0733134547</t>
  </si>
  <si>
    <t xml:space="preserve">CUST100628</t>
  </si>
  <si>
    <t xml:space="preserve">rupesh@mitsumidistribution.com</t>
  </si>
  <si>
    <t xml:space="preserve">Vinita Veghela</t>
  </si>
  <si>
    <t xml:space="preserve">vinitajmd18@gmail.com</t>
  </si>
  <si>
    <t xml:space="preserve">Kunal Modi</t>
  </si>
  <si>
    <t xml:space="preserve">Modi Distributors Ltd</t>
  </si>
  <si>
    <t xml:space="preserve">kunal@modidistributors.com</t>
  </si>
  <si>
    <t xml:space="preserve">0701570071</t>
  </si>
  <si>
    <t xml:space="preserve">CUST100630</t>
  </si>
  <si>
    <t xml:space="preserve">Modways Investments</t>
  </si>
  <si>
    <t xml:space="preserve">joel.simiyu@ke.knightfrank.com</t>
  </si>
  <si>
    <t xml:space="preserve">CUST100631</t>
  </si>
  <si>
    <t xml:space="preserve">Sharon.Cheptoo@ke.knightfrank.com</t>
  </si>
  <si>
    <t xml:space="preserve">Ruth</t>
  </si>
  <si>
    <t xml:space="preserve">fatma Mohammed</t>
  </si>
  <si>
    <t xml:space="preserve">Mombasa Blue Room Limited</t>
  </si>
  <si>
    <t xml:space="preserve">fatma.br29@gmail.com</t>
  </si>
  <si>
    <t xml:space="preserve">0718757979</t>
  </si>
  <si>
    <t xml:space="preserve">CUST100633</t>
  </si>
  <si>
    <t xml:space="preserve">blueroom@blueroomonline.com</t>
  </si>
  <si>
    <t xml:space="preserve">Isaac Kyalo</t>
  </si>
  <si>
    <t xml:space="preserve">Mombasa Island Cargo Terminal Holdings Ltd C/O square metre consultants ltd</t>
  </si>
  <si>
    <t xml:space="preserve">isaac.kyalo@squaremetre.co.ke</t>
  </si>
  <si>
    <t xml:space="preserve">0742701020</t>
  </si>
  <si>
    <t xml:space="preserve">CUST103330</t>
  </si>
  <si>
    <t xml:space="preserve">finance@squaremetre.co.ke</t>
  </si>
  <si>
    <t xml:space="preserve">Irene Kathungu</t>
  </si>
  <si>
    <t xml:space="preserve">Moringa School Limited</t>
  </si>
  <si>
    <t xml:space="preserve">irene.kathungu@moringaschool.com</t>
  </si>
  <si>
    <t xml:space="preserve">0702532149</t>
  </si>
  <si>
    <t xml:space="preserve">CUST101473</t>
  </si>
  <si>
    <t xml:space="preserve">Julia Kimani</t>
  </si>
  <si>
    <t xml:space="preserve">Morningside Office Park Ltd</t>
  </si>
  <si>
    <t xml:space="preserve">julia.kimani@morningsideofficepark.com</t>
  </si>
  <si>
    <t xml:space="preserve">254 20 2307285</t>
  </si>
  <si>
    <t xml:space="preserve">CUST100636</t>
  </si>
  <si>
    <t xml:space="preserve">emma.kinyua@morningsideofficepark.com</t>
  </si>
  <si>
    <t xml:space="preserve">Rose Wanjiku</t>
  </si>
  <si>
    <t xml:space="preserve">Mount Kenya Academy</t>
  </si>
  <si>
    <t xml:space="preserve">rosewanjiku@mtkenyaacademy.ac.ke</t>
  </si>
  <si>
    <t xml:space="preserve">0720437387</t>
  </si>
  <si>
    <t xml:space="preserve">CUST102212</t>
  </si>
  <si>
    <t xml:space="preserve">Peter Wesonga</t>
  </si>
  <si>
    <t xml:space="preserve">Mt. Kenya Safari Club</t>
  </si>
  <si>
    <t xml:space="preserve">peter.wesonga@fairmont.com</t>
  </si>
  <si>
    <t xml:space="preserve">CUST100639</t>
  </si>
  <si>
    <t xml:space="preserve">Anna Mungue</t>
  </si>
  <si>
    <t xml:space="preserve">Mudi Supplies</t>
  </si>
  <si>
    <t xml:space="preserve">anamimungoe@gmail.com</t>
  </si>
  <si>
    <t xml:space="preserve">0727049944</t>
  </si>
  <si>
    <t xml:space="preserve">CUST100641</t>
  </si>
  <si>
    <t xml:space="preserve">Abdullahi Mohamed</t>
  </si>
  <si>
    <t xml:space="preserve">MugShot cafe Limited</t>
  </si>
  <si>
    <t xml:space="preserve">mugshocafelimited@gmail.com</t>
  </si>
  <si>
    <t xml:space="preserve">0723380848</t>
  </si>
  <si>
    <t xml:space="preserve">CUST102702</t>
  </si>
  <si>
    <t xml:space="preserve">mugshotcafelimited@gmail.com</t>
  </si>
  <si>
    <t xml:space="preserve">Christine Mwangi</t>
  </si>
  <si>
    <t xml:space="preserve">Mugoya Vegetables</t>
  </si>
  <si>
    <t xml:space="preserve">mugoyavegetableshopltd@yahoo.com</t>
  </si>
  <si>
    <t xml:space="preserve">CUST100642</t>
  </si>
  <si>
    <t xml:space="preserve">David David</t>
  </si>
  <si>
    <t xml:space="preserve">Mummy'S Fast Food Narok</t>
  </si>
  <si>
    <t xml:space="preserve">0720548969</t>
  </si>
  <si>
    <t xml:space="preserve">CUST100644</t>
  </si>
  <si>
    <t xml:space="preserve">Patrick Mburu</t>
  </si>
  <si>
    <t xml:space="preserve">Munga Investments Ltd C/O Knight Frank</t>
  </si>
  <si>
    <t xml:space="preserve">Patrick.Mburu@ke.knightfrank.com</t>
  </si>
  <si>
    <t xml:space="preserve">0727146392</t>
  </si>
  <si>
    <t xml:space="preserve">CUST100645</t>
  </si>
  <si>
    <t xml:space="preserve">patrick.mburu@ke.knightfrank.com</t>
  </si>
  <si>
    <t xml:space="preserve">Gachau Gitura</t>
  </si>
  <si>
    <t xml:space="preserve">Murabani General supplies</t>
  </si>
  <si>
    <t xml:space="preserve">0711 947867</t>
  </si>
  <si>
    <t xml:space="preserve">CUST102497</t>
  </si>
  <si>
    <t xml:space="preserve">paulgathuragachau@gmail.com</t>
  </si>
  <si>
    <t xml:space="preserve">Rita mumbe</t>
  </si>
  <si>
    <t xml:space="preserve">Mustek East Africa Ltd</t>
  </si>
  <si>
    <t xml:space="preserve">ritam@mustek.co.ke</t>
  </si>
  <si>
    <t xml:space="preserve">0722390024</t>
  </si>
  <si>
    <t xml:space="preserve">CUST100647</t>
  </si>
  <si>
    <t xml:space="preserve">RitaM@mustek.co.ke</t>
  </si>
  <si>
    <t xml:space="preserve">Faith Kanana</t>
  </si>
  <si>
    <t xml:space="preserve">Muthaiga Country Club</t>
  </si>
  <si>
    <t xml:space="preserve">fkanana@mcc.co.ke</t>
  </si>
  <si>
    <t xml:space="preserve">+25420 7229000</t>
  </si>
  <si>
    <t xml:space="preserve">CUST100648</t>
  </si>
  <si>
    <t xml:space="preserve">mutua@mcc.co.ke</t>
  </si>
  <si>
    <t xml:space="preserve">Bernice Ntiritu</t>
  </si>
  <si>
    <t xml:space="preserve">Muthaiga Road Trust Co. C/O Regent Management Ltd.</t>
  </si>
  <si>
    <t xml:space="preserve">bntiritu@regent-mgt.com</t>
  </si>
  <si>
    <t xml:space="preserve">CUST100650</t>
  </si>
  <si>
    <t xml:space="preserve">Wanjiru Fidelis</t>
  </si>
  <si>
    <t xml:space="preserve">Mvule Catering Department</t>
  </si>
  <si>
    <t xml:space="preserve">mvulecateringdepartment@gmail.com</t>
  </si>
  <si>
    <t xml:space="preserve">0792903439</t>
  </si>
  <si>
    <t xml:space="preserve">CUST100652</t>
  </si>
  <si>
    <t xml:space="preserve">mrs Veronica</t>
  </si>
  <si>
    <t xml:space="preserve">0742372483</t>
  </si>
  <si>
    <t xml:space="preserve">Mr Simon</t>
  </si>
  <si>
    <t xml:space="preserve">My Select Limited</t>
  </si>
  <si>
    <t xml:space="preserve">0724407618</t>
  </si>
  <si>
    <t xml:space="preserve">CUST102557</t>
  </si>
  <si>
    <t xml:space="preserve">sammymuchemie@yahoo.com</t>
  </si>
  <si>
    <t xml:space="preserve">Charles Kabui</t>
  </si>
  <si>
    <t xml:space="preserve">NCBA Bank Kenya Plc</t>
  </si>
  <si>
    <t xml:space="preserve">charles.kabui@ncbagroup.com</t>
  </si>
  <si>
    <t xml:space="preserve">CUST100670</t>
  </si>
  <si>
    <t xml:space="preserve">Purity.Ngunjiri@ncbagroup.com</t>
  </si>
  <si>
    <t xml:space="preserve">Derrick Muindi</t>
  </si>
  <si>
    <t xml:space="preserve">derrick.muindi@ncbagroup.com</t>
  </si>
  <si>
    <t xml:space="preserve">0712296401</t>
  </si>
  <si>
    <t xml:space="preserve">catherine Wangari</t>
  </si>
  <si>
    <t xml:space="preserve">Nadiah Investments Ltd</t>
  </si>
  <si>
    <t xml:space="preserve">nadiahinvestments@gmail.com</t>
  </si>
  <si>
    <t xml:space="preserve">0722842782</t>
  </si>
  <si>
    <t xml:space="preserve">CUST100654</t>
  </si>
  <si>
    <t xml:space="preserve">Sharon Muriithi</t>
  </si>
  <si>
    <t xml:space="preserve">Nairobi Bottlers Ltd</t>
  </si>
  <si>
    <t xml:space="preserve">smuriithi2@ccbagroup.com</t>
  </si>
  <si>
    <t xml:space="preserve">0721353039</t>
  </si>
  <si>
    <t xml:space="preserve">CUST100655</t>
  </si>
  <si>
    <t xml:space="preserve">fkaunda@ccbagroup.com</t>
  </si>
  <si>
    <t xml:space="preserve">Betty Orlendo</t>
  </si>
  <si>
    <t xml:space="preserve">Nairobi Club</t>
  </si>
  <si>
    <t xml:space="preserve">tos@nairobiclub.com</t>
  </si>
  <si>
    <t xml:space="preserve">CUST100656</t>
  </si>
  <si>
    <t xml:space="preserve">info@nairobiclub.com</t>
  </si>
  <si>
    <t xml:space="preserve">Rosemary Mugoga</t>
  </si>
  <si>
    <t xml:space="preserve">Nairobi Ear, Nose Throat Clinic</t>
  </si>
  <si>
    <t xml:space="preserve">rosemary.mugogo@nairobientclinic.com</t>
  </si>
  <si>
    <t xml:space="preserve">0727649483</t>
  </si>
  <si>
    <t xml:space="preserve">CUST100657</t>
  </si>
  <si>
    <t xml:space="preserve">info@nairobientclinic.com</t>
  </si>
  <si>
    <t xml:space="preserve">Joseph Karanja</t>
  </si>
  <si>
    <t xml:space="preserve">Nairobi Safari Club</t>
  </si>
  <si>
    <t xml:space="preserve">accounts@nairobisafariclub.com</t>
  </si>
  <si>
    <t xml:space="preserve">CUST100661</t>
  </si>
  <si>
    <t xml:space="preserve">Prakash Saini</t>
  </si>
  <si>
    <t xml:space="preserve">Nairobi West Hospital Limited</t>
  </si>
  <si>
    <t xml:space="preserve">prakash.saini@nairobiwesthospital.com</t>
  </si>
  <si>
    <t xml:space="preserve">CUST101884</t>
  </si>
  <si>
    <t xml:space="preserve">Mr. Raphael</t>
  </si>
  <si>
    <t xml:space="preserve">Naisula School</t>
  </si>
  <si>
    <t xml:space="preserve">accountant@naisulaschool.com</t>
  </si>
  <si>
    <t xml:space="preserve">0720572814</t>
  </si>
  <si>
    <t xml:space="preserve">CUST100663</t>
  </si>
  <si>
    <t xml:space="preserve">Isinya</t>
  </si>
  <si>
    <t xml:space="preserve">accountant@naisulaschool.ac.ke</t>
  </si>
  <si>
    <t xml:space="preserve">Joel Mwamburi</t>
  </si>
  <si>
    <t xml:space="preserve">Nampak Kenya Ltd</t>
  </si>
  <si>
    <t xml:space="preserve">joel.mwamburi@nampak.com</t>
  </si>
  <si>
    <t xml:space="preserve">+254 20 2365101/2</t>
  </si>
  <si>
    <t xml:space="preserve">CUST100666</t>
  </si>
  <si>
    <t xml:space="preserve">julius.mboya@nampak.com</t>
  </si>
  <si>
    <t xml:space="preserve">Julius Mboya</t>
  </si>
  <si>
    <t xml:space="preserve">Collins Maiyo</t>
  </si>
  <si>
    <t xml:space="preserve">Nanyuki Cottage Hospital</t>
  </si>
  <si>
    <t xml:space="preserve">procurement@nanyukicotthosp.org</t>
  </si>
  <si>
    <t xml:space="preserve">0622032207</t>
  </si>
  <si>
    <t xml:space="preserve">CUST101396</t>
  </si>
  <si>
    <t xml:space="preserve">Esther Karongo</t>
  </si>
  <si>
    <t xml:space="preserve">Nas Airport Services Ltd</t>
  </si>
  <si>
    <t xml:space="preserve">esther.karongo@servair.co.ke</t>
  </si>
  <si>
    <t xml:space="preserve">CUST100668</t>
  </si>
  <si>
    <t xml:space="preserve">Hassan Ziro</t>
  </si>
  <si>
    <t xml:space="preserve">hassan.ziro@servair.co.ke</t>
  </si>
  <si>
    <t xml:space="preserve">0758727091</t>
  </si>
  <si>
    <t xml:space="preserve">Paul Ochieng</t>
  </si>
  <si>
    <t xml:space="preserve">procurement.nas@servair.co.ke</t>
  </si>
  <si>
    <t xml:space="preserve">0737488312</t>
  </si>
  <si>
    <t xml:space="preserve">George Isiche</t>
  </si>
  <si>
    <t xml:space="preserve">Neatcare Cleaning Services Ltd</t>
  </si>
  <si>
    <t xml:space="preserve">george.isiche@neatcare.co.ke</t>
  </si>
  <si>
    <t xml:space="preserve">CUST100673</t>
  </si>
  <si>
    <t xml:space="preserve">neatcare2006@gmail.com</t>
  </si>
  <si>
    <t xml:space="preserve">Dan Msingo</t>
  </si>
  <si>
    <t xml:space="preserve">Nedam Services Ltd</t>
  </si>
  <si>
    <t xml:space="preserve">info@nedamservices.co.ke</t>
  </si>
  <si>
    <t xml:space="preserve">CUST100674</t>
  </si>
  <si>
    <t xml:space="preserve">winnie Njuguna</t>
  </si>
  <si>
    <t xml:space="preserve">New Muthokinju Hardware Ltd</t>
  </si>
  <si>
    <t xml:space="preserve">procurement@muthokinju.co.ke</t>
  </si>
  <si>
    <t xml:space="preserve">CUST100678</t>
  </si>
  <si>
    <t xml:space="preserve">Mehul Shah</t>
  </si>
  <si>
    <t xml:space="preserve">New Westlands Store Ltd</t>
  </si>
  <si>
    <t xml:space="preserve">admin@newwestlands.co.ke</t>
  </si>
  <si>
    <t xml:space="preserve">0703790444</t>
  </si>
  <si>
    <t xml:space="preserve">CUST100679</t>
  </si>
  <si>
    <t xml:space="preserve">Nancy Mwangi</t>
  </si>
  <si>
    <t xml:space="preserve">Ngewa Ltd</t>
  </si>
  <si>
    <t xml:space="preserve">store@summerdaleinn.com</t>
  </si>
  <si>
    <t xml:space="preserve">0795905741</t>
  </si>
  <si>
    <t xml:space="preserve">CUST100680</t>
  </si>
  <si>
    <t xml:space="preserve">Ouma Mungai</t>
  </si>
  <si>
    <t xml:space="preserve">ouma.mungai@summerdaleinn.com</t>
  </si>
  <si>
    <t xml:space="preserve">Ann Muthoni</t>
  </si>
  <si>
    <t xml:space="preserve">Ngong Hills Hotel</t>
  </si>
  <si>
    <t xml:space="preserve">0715529041</t>
  </si>
  <si>
    <t xml:space="preserve">CUST100682</t>
  </si>
  <si>
    <t xml:space="preserve">lydia@ngonghillshotel.com</t>
  </si>
  <si>
    <t xml:space="preserve">Benson Gathuku</t>
  </si>
  <si>
    <t xml:space="preserve">Nhif Staff Retirement Benefits Scheme</t>
  </si>
  <si>
    <t xml:space="preserve">bgathuku@crystalvaluers.com</t>
  </si>
  <si>
    <t xml:space="preserve">CUST100685</t>
  </si>
  <si>
    <t xml:space="preserve">riaracorporatesuites@gmail.com</t>
  </si>
  <si>
    <t xml:space="preserve">Kariuki</t>
  </si>
  <si>
    <t xml:space="preserve">Nibs Resort Co Ltd</t>
  </si>
  <si>
    <t xml:space="preserve">proc@emoryhotel.co.ke</t>
  </si>
  <si>
    <t xml:space="preserve">CUST100686</t>
  </si>
  <si>
    <t xml:space="preserve">kenneth Nzomo</t>
  </si>
  <si>
    <t xml:space="preserve">Nodor Kenya Epz Ltd</t>
  </si>
  <si>
    <t xml:space="preserve">ken@nodor-darts.com</t>
  </si>
  <si>
    <t xml:space="preserve">CUST100691</t>
  </si>
  <si>
    <t xml:space="preserve">oscar@nodor-darts.com; rebecca@nodor-darts.com</t>
  </si>
  <si>
    <t xml:space="preserve">Doris Kanini</t>
  </si>
  <si>
    <t xml:space="preserve">Nokras Enkare Luxury Tented Camp</t>
  </si>
  <si>
    <t xml:space="preserve">info@nokrasriverine.co.ke</t>
  </si>
  <si>
    <t xml:space="preserve">CUST101920</t>
  </si>
  <si>
    <t xml:space="preserve">Sagana</t>
  </si>
  <si>
    <t xml:space="preserve">Esther Waruingi</t>
  </si>
  <si>
    <t xml:space="preserve">procurements@nokrassilveroak.co.ke</t>
  </si>
  <si>
    <t xml:space="preserve">Jackson Mwangi</t>
  </si>
  <si>
    <t xml:space="preserve">nunua@nokrasenkare.co.ke</t>
  </si>
  <si>
    <t xml:space="preserve">Ann Ngina</t>
  </si>
  <si>
    <t xml:space="preserve">Nokras Riverine Limited</t>
  </si>
  <si>
    <t xml:space="preserve">angina@nokrasriverine.co.ke</t>
  </si>
  <si>
    <t xml:space="preserve">0724815201</t>
  </si>
  <si>
    <t xml:space="preserve">CUST100692</t>
  </si>
  <si>
    <t xml:space="preserve">info@hotelnorkas.co.ke</t>
  </si>
  <si>
    <t xml:space="preserve">Sidney Myall</t>
  </si>
  <si>
    <t xml:space="preserve">Nook pop up Limited</t>
  </si>
  <si>
    <t xml:space="preserve">thenooknanyuki@gmail.com</t>
  </si>
  <si>
    <t xml:space="preserve">CUST101423</t>
  </si>
  <si>
    <t xml:space="preserve">Gloria Wambugu</t>
  </si>
  <si>
    <t xml:space="preserve">Norfolk Hotel</t>
  </si>
  <si>
    <t xml:space="preserve">gloria.wambugu@fairmont.com</t>
  </si>
  <si>
    <t xml:space="preserve">CUST100693</t>
  </si>
  <si>
    <t xml:space="preserve">mercy.ndungu@fairmont.com</t>
  </si>
  <si>
    <t xml:space="preserve">Kelvin Mwangi</t>
  </si>
  <si>
    <t xml:space="preserve">kelvin.mwangi@fairmont.com</t>
  </si>
  <si>
    <t xml:space="preserve">Eva Kathambi</t>
  </si>
  <si>
    <t xml:space="preserve">Northend Estates Ltd C/O Knight Frank Kenya Ltd</t>
  </si>
  <si>
    <t xml:space="preserve">Eva.Kathambi@ke.knightfrank.com</t>
  </si>
  <si>
    <t xml:space="preserve">0716493141</t>
  </si>
  <si>
    <t xml:space="preserve">CUST100695</t>
  </si>
  <si>
    <t xml:space="preserve">Evar</t>
  </si>
  <si>
    <t xml:space="preserve">Bervely Mueni</t>
  </si>
  <si>
    <t xml:space="preserve">Nova Group Ltd</t>
  </si>
  <si>
    <t xml:space="preserve">bmueni@novapioneer.com</t>
  </si>
  <si>
    <t xml:space="preserve">0740022827</t>
  </si>
  <si>
    <t xml:space="preserve">CUST100697</t>
  </si>
  <si>
    <t xml:space="preserve">info@novaacademies.com</t>
  </si>
  <si>
    <t xml:space="preserve">Julie Chege</t>
  </si>
  <si>
    <t xml:space="preserve">Nova Holdings LTD</t>
  </si>
  <si>
    <t xml:space="preserve">0701813163</t>
  </si>
  <si>
    <t xml:space="preserve">CUST101847</t>
  </si>
  <si>
    <t xml:space="preserve">ashok@doshigroup.biz</t>
  </si>
  <si>
    <t xml:space="preserve">Julie Wairimu</t>
  </si>
  <si>
    <t xml:space="preserve">julie.wairimu@novaholdings.co.ke</t>
  </si>
  <si>
    <t xml:space="preserve">Willie Chege</t>
  </si>
  <si>
    <t xml:space="preserve">willie.chege@gmail.com</t>
  </si>
  <si>
    <t xml:space="preserve">+254723010567</t>
  </si>
  <si>
    <t xml:space="preserve">Ian Mureithi</t>
  </si>
  <si>
    <t xml:space="preserve">Oak Place Conference And Training Centre Ltd</t>
  </si>
  <si>
    <t xml:space="preserve">procurement@oakplace.co.ke</t>
  </si>
  <si>
    <t xml:space="preserve">CUST100699</t>
  </si>
  <si>
    <t xml:space="preserve">Ian Muriethi</t>
  </si>
  <si>
    <t xml:space="preserve">ps4boo@gmail.com</t>
  </si>
  <si>
    <t xml:space="preserve">0701560274</t>
  </si>
  <si>
    <t xml:space="preserve">Geoffrey Onguti</t>
  </si>
  <si>
    <t xml:space="preserve">Obradleys Investments Ltd</t>
  </si>
  <si>
    <t xml:space="preserve">geoffrey.onguti@obradleys.com</t>
  </si>
  <si>
    <t xml:space="preserve">0717326253</t>
  </si>
  <si>
    <t xml:space="preserve">CUST100701</t>
  </si>
  <si>
    <t xml:space="preserve">info@obradleys.com</t>
  </si>
  <si>
    <t xml:space="preserve">Pauline Nyambura</t>
  </si>
  <si>
    <t xml:space="preserve">Oksana Investment Supplies LTD</t>
  </si>
  <si>
    <t xml:space="preserve">paulinenyambura73@gmail.com</t>
  </si>
  <si>
    <t xml:space="preserve">CUST101488</t>
  </si>
  <si>
    <t xml:space="preserve">Emma Gathoni</t>
  </si>
  <si>
    <t xml:space="preserve">Ol Tukai Lodge Limited</t>
  </si>
  <si>
    <t xml:space="preserve">egathoni@oltukailodge.com</t>
  </si>
  <si>
    <t xml:space="preserve">0735429814</t>
  </si>
  <si>
    <t xml:space="preserve">CUST100703</t>
  </si>
  <si>
    <t xml:space="preserve">rwaweru@oltukailodge.com</t>
  </si>
  <si>
    <t xml:space="preserve">Grace Hinga</t>
  </si>
  <si>
    <t xml:space="preserve">One Way Cleaning Services Ltd - Lavington</t>
  </si>
  <si>
    <t xml:space="preserve">accounts.oneway@onewaycleaning.co.ke</t>
  </si>
  <si>
    <t xml:space="preserve">0725537528</t>
  </si>
  <si>
    <t xml:space="preserve">CUST100708</t>
  </si>
  <si>
    <t xml:space="preserve">kendi@onewayfacilities.co.ke</t>
  </si>
  <si>
    <t xml:space="preserve">Wycliff Nyambane</t>
  </si>
  <si>
    <t xml:space="preserve">procurement@onewayfacilities.co.ke</t>
  </si>
  <si>
    <t xml:space="preserve">Pascaline Muiruri</t>
  </si>
  <si>
    <t xml:space="preserve">One Way Cleaning Services Ltd-One Waykahawa Sukari</t>
  </si>
  <si>
    <t xml:space="preserve">mugure.procurement@onewaycleaning.coke</t>
  </si>
  <si>
    <t xml:space="preserve">0729234174</t>
  </si>
  <si>
    <t xml:space="preserve">CUST100709</t>
  </si>
  <si>
    <t xml:space="preserve">john.accounts@onewaycleaning.co.ke</t>
  </si>
  <si>
    <t xml:space="preserve">Emily Kanyua</t>
  </si>
  <si>
    <t xml:space="preserve">Optica Ltd</t>
  </si>
  <si>
    <t xml:space="preserve">emily@optica.africa</t>
  </si>
  <si>
    <t xml:space="preserve">0709709406</t>
  </si>
  <si>
    <t xml:space="preserve">CUST100711</t>
  </si>
  <si>
    <t xml:space="preserve">marione@optica.co.ke</t>
  </si>
  <si>
    <t xml:space="preserve">Anne Ngichu</t>
  </si>
  <si>
    <t xml:space="preserve">Oshwal Education &amp; Relief Board</t>
  </si>
  <si>
    <t xml:space="preserve">anne.ngichu@oerb.org</t>
  </si>
  <si>
    <t xml:space="preserve">0735888845</t>
  </si>
  <si>
    <t xml:space="preserve">CUST100712</t>
  </si>
  <si>
    <t xml:space="preserve">payables@oerb.org</t>
  </si>
  <si>
    <t xml:space="preserve">Mihir Shah</t>
  </si>
  <si>
    <t xml:space="preserve">mihir.shah@oerb.org</t>
  </si>
  <si>
    <t xml:space="preserve">+254735905460</t>
  </si>
  <si>
    <t xml:space="preserve">Parvi Karania</t>
  </si>
  <si>
    <t xml:space="preserve">parvi.karania@oerb.org</t>
  </si>
  <si>
    <t xml:space="preserve">Vincent Kwendo</t>
  </si>
  <si>
    <t xml:space="preserve">Oshwal Education &amp; Relief Board - Mombasa</t>
  </si>
  <si>
    <t xml:space="preserve">vincent.kwendo@oshwalacademy.sc.ke</t>
  </si>
  <si>
    <t xml:space="preserve">0714952892</t>
  </si>
  <si>
    <t xml:space="preserve">CUST101433</t>
  </si>
  <si>
    <t xml:space="preserve">serah.mutisya@oshwalacademy.sc.ke</t>
  </si>
  <si>
    <t xml:space="preserve">naomi njoki</t>
  </si>
  <si>
    <t xml:space="preserve">naomi.kiigi@oshwalacademy.sc.ke</t>
  </si>
  <si>
    <t xml:space="preserve">Gladys Malaba</t>
  </si>
  <si>
    <t xml:space="preserve">Outlook Limited</t>
  </si>
  <si>
    <t xml:space="preserve">Get_In_Touch@outlookindex.co.ke</t>
  </si>
  <si>
    <t xml:space="preserve">CUST101843</t>
  </si>
  <si>
    <t xml:space="preserve">Mahi Mahiu</t>
  </si>
  <si>
    <t xml:space="preserve">grace.wangui@outlookltd.co.ke</t>
  </si>
  <si>
    <t xml:space="preserve">Sarah Kinuthia</t>
  </si>
  <si>
    <t xml:space="preserve">admin.assistant@outlookltd.co.ke</t>
  </si>
  <si>
    <t xml:space="preserve">Justine Ongubo</t>
  </si>
  <si>
    <t xml:space="preserve">PZ Cussons E.A Ltd</t>
  </si>
  <si>
    <t xml:space="preserve">justine.ongubo@pzcussons.com</t>
  </si>
  <si>
    <t xml:space="preserve">CUST100773</t>
  </si>
  <si>
    <t xml:space="preserve">Mr. Sekar</t>
  </si>
  <si>
    <t xml:space="preserve">0734-652030</t>
  </si>
  <si>
    <t xml:space="preserve">Samuel Kilonzo</t>
  </si>
  <si>
    <t xml:space="preserve">samuel.kilonzo@pzcussons.com</t>
  </si>
  <si>
    <t xml:space="preserve">0709866000</t>
  </si>
  <si>
    <t xml:space="preserve">Jacob</t>
  </si>
  <si>
    <t xml:space="preserve">Pacis Insurance Company Limited</t>
  </si>
  <si>
    <t xml:space="preserve">0724681795</t>
  </si>
  <si>
    <t xml:space="preserve">CUST101929</t>
  </si>
  <si>
    <t xml:space="preserve">snyakowa@paciskenya.com</t>
  </si>
  <si>
    <t xml:space="preserve">Jesse</t>
  </si>
  <si>
    <t xml:space="preserve">Palacina Developments Ltd</t>
  </si>
  <si>
    <t xml:space="preserve">purchasing@palacina.com</t>
  </si>
  <si>
    <t xml:space="preserve">0711126422</t>
  </si>
  <si>
    <t xml:space="preserve">CUST100717</t>
  </si>
  <si>
    <t xml:space="preserve">info@palacina.com</t>
  </si>
  <si>
    <t xml:space="preserve">Susan</t>
  </si>
  <si>
    <t xml:space="preserve">Jens Schmidt</t>
  </si>
  <si>
    <t xml:space="preserve">Paletas Foods Ltd</t>
  </si>
  <si>
    <t xml:space="preserve">mgelato4@gmail.com</t>
  </si>
  <si>
    <t xml:space="preserve">07 02 36 20 18</t>
  </si>
  <si>
    <t xml:space="preserve">CUST103240</t>
  </si>
  <si>
    <t xml:space="preserve">Ezekiel Mwangi</t>
  </si>
  <si>
    <t xml:space="preserve">Panafric Hotel</t>
  </si>
  <si>
    <t xml:space="preserve">ezekiel.mwangi@sarovahotels.com</t>
  </si>
  <si>
    <t xml:space="preserve">0733408670</t>
  </si>
  <si>
    <t xml:space="preserve">CUST100719</t>
  </si>
  <si>
    <t xml:space="preserve">Valley Road</t>
  </si>
  <si>
    <t xml:space="preserve">joseph.nyakwaka@sarovahotels.com</t>
  </si>
  <si>
    <t xml:space="preserve">Joseph Nyakwaka</t>
  </si>
  <si>
    <t xml:space="preserve">0720751656</t>
  </si>
  <si>
    <t xml:space="preserve">Adam Jemeni</t>
  </si>
  <si>
    <t xml:space="preserve">Pancrasiah Laswai</t>
  </si>
  <si>
    <t xml:space="preserve">adam.jemeni@gmail.com</t>
  </si>
  <si>
    <t xml:space="preserve">CUST100720</t>
  </si>
  <si>
    <t xml:space="preserve">Evans Evans</t>
  </si>
  <si>
    <t xml:space="preserve">Pandya Hospital</t>
  </si>
  <si>
    <t xml:space="preserve">customers@pandyahospital.org</t>
  </si>
  <si>
    <t xml:space="preserve">0720201944</t>
  </si>
  <si>
    <t xml:space="preserve">CUST100722</t>
  </si>
  <si>
    <t xml:space="preserve">Henry Longei</t>
  </si>
  <si>
    <t xml:space="preserve">hlongei@pandyahospital.org</t>
  </si>
  <si>
    <t xml:space="preserve">0701314141</t>
  </si>
  <si>
    <t xml:space="preserve">Zakirr Zakirr</t>
  </si>
  <si>
    <t xml:space="preserve">procurement@pandyahospital.org</t>
  </si>
  <si>
    <t xml:space="preserve">0710342882</t>
  </si>
  <si>
    <t xml:space="preserve">Isabel</t>
  </si>
  <si>
    <t xml:space="preserve">Paprika Limited</t>
  </si>
  <si>
    <t xml:space="preserve">CUST100724</t>
  </si>
  <si>
    <t xml:space="preserve">procurement@paprika.co.ke</t>
  </si>
  <si>
    <t xml:space="preserve">Peter Macharia</t>
  </si>
  <si>
    <t xml:space="preserve">Peter kariuki</t>
  </si>
  <si>
    <t xml:space="preserve">accounts@paprika.co.ke</t>
  </si>
  <si>
    <t xml:space="preserve">Cate Munini</t>
  </si>
  <si>
    <t xml:space="preserve">Paradise Gallery</t>
  </si>
  <si>
    <t xml:space="preserve">catherine.m@gmail.com</t>
  </si>
  <si>
    <t xml:space="preserve">0713516113</t>
  </si>
  <si>
    <t xml:space="preserve">CUST100725</t>
  </si>
  <si>
    <t xml:space="preserve">PARADISE.GALLERY@YAHOO.COM</t>
  </si>
  <si>
    <t xml:space="preserve">Munini munini</t>
  </si>
  <si>
    <t xml:space="preserve">Catherine Gathoni</t>
  </si>
  <si>
    <t xml:space="preserve">Paradise Safari Park Limited</t>
  </si>
  <si>
    <t xml:space="preserve">cgathoni@safariparkhotel.co.ke</t>
  </si>
  <si>
    <t xml:space="preserve">0721138953</t>
  </si>
  <si>
    <t xml:space="preserve">CUST100726</t>
  </si>
  <si>
    <t xml:space="preserve">rbrenda@safariparkhotel.co.ke</t>
  </si>
  <si>
    <t xml:space="preserve">Parapet Limited</t>
  </si>
  <si>
    <t xml:space="preserve">0727447549</t>
  </si>
  <si>
    <t xml:space="preserve">CUST100727</t>
  </si>
  <si>
    <t xml:space="preserve">stores@parapetcleaning.com</t>
  </si>
  <si>
    <t xml:space="preserve">Francis Gathumbi</t>
  </si>
  <si>
    <t xml:space="preserve">fgatumbi@parapetcleaning.com</t>
  </si>
  <si>
    <t xml:space="preserve">0723575038</t>
  </si>
  <si>
    <t xml:space="preserve">Kenton Isalambo</t>
  </si>
  <si>
    <t xml:space="preserve">0723650219</t>
  </si>
  <si>
    <t xml:space="preserve">Alex Kamau</t>
  </si>
  <si>
    <t xml:space="preserve">Parklands Sports Club</t>
  </si>
  <si>
    <t xml:space="preserve">payables@parklandssportsclub.org</t>
  </si>
  <si>
    <t xml:space="preserve">0718289915</t>
  </si>
  <si>
    <t xml:space="preserve">CUST100728</t>
  </si>
  <si>
    <t xml:space="preserve">0733438169</t>
  </si>
  <si>
    <t xml:space="preserve">Emma Mwake</t>
  </si>
  <si>
    <t xml:space="preserve">ahm@parklandssportsclub.org</t>
  </si>
  <si>
    <t xml:space="preserve">0722496490</t>
  </si>
  <si>
    <t xml:space="preserve">Stephen Kariuki</t>
  </si>
  <si>
    <t xml:space="preserve">procurement@parklandssportsclub.org</t>
  </si>
  <si>
    <t xml:space="preserve">0727278666</t>
  </si>
  <si>
    <t xml:space="preserve">mrs Emma</t>
  </si>
  <si>
    <t xml:space="preserve">Peachhedge Africa Ltd</t>
  </si>
  <si>
    <t xml:space="preserve">hygiene.ke@outlook.com</t>
  </si>
  <si>
    <t xml:space="preserve">0721594395</t>
  </si>
  <si>
    <t xml:space="preserve">CUST100732</t>
  </si>
  <si>
    <t xml:space="preserve">Eunice</t>
  </si>
  <si>
    <t xml:space="preserve">Penda Health Ltd</t>
  </si>
  <si>
    <t xml:space="preserve">0724742263</t>
  </si>
  <si>
    <t xml:space="preserve">CUST100736</t>
  </si>
  <si>
    <t xml:space="preserve">jacqueline.manyara@pendahealth.com</t>
  </si>
  <si>
    <t xml:space="preserve">Jecinta Wanyagi</t>
  </si>
  <si>
    <t xml:space="preserve">jecinta.wanyagi@pendahealth.com</t>
  </si>
  <si>
    <t xml:space="preserve">+254 722 336 634</t>
  </si>
  <si>
    <t xml:space="preserve">Patience munialo</t>
  </si>
  <si>
    <t xml:space="preserve">procurementinfo@pendahealth.com</t>
  </si>
  <si>
    <t xml:space="preserve">0207909045</t>
  </si>
  <si>
    <t xml:space="preserve">Victor Amollo</t>
  </si>
  <si>
    <t xml:space="preserve">Petals Hygiene &amp; Sanitation Services Limited</t>
  </si>
  <si>
    <t xml:space="preserve">victor.amollo@petalshygiene.co.ke</t>
  </si>
  <si>
    <t xml:space="preserve">CUST100738</t>
  </si>
  <si>
    <t xml:space="preserve">Selinah Gathure</t>
  </si>
  <si>
    <t xml:space="preserve">Pharmaccess Foundation</t>
  </si>
  <si>
    <t xml:space="preserve">office@pharmaccess.or.ke</t>
  </si>
  <si>
    <t xml:space="preserve">CUST100742</t>
  </si>
  <si>
    <t xml:space="preserve">finance@pharmaccess.or.ke</t>
  </si>
  <si>
    <t xml:space="preserve">George Oloo</t>
  </si>
  <si>
    <t xml:space="preserve">Phoenix Aviation Limited</t>
  </si>
  <si>
    <t xml:space="preserve">GOloo@phoenixaviation.co.ke</t>
  </si>
  <si>
    <t xml:space="preserve">CUST100743</t>
  </si>
  <si>
    <t xml:space="preserve">Mary@phoenixaviation.co.ke</t>
  </si>
  <si>
    <t xml:space="preserve">Paresh Patel</t>
  </si>
  <si>
    <t xml:space="preserve">Phoenix Timber And Hardware Ltd</t>
  </si>
  <si>
    <t xml:space="preserve">phoenixtimber@gmail.com</t>
  </si>
  <si>
    <t xml:space="preserve">0713684040</t>
  </si>
  <si>
    <t xml:space="preserve">CUST100744</t>
  </si>
  <si>
    <t xml:space="preserve">anthony JAMES</t>
  </si>
  <si>
    <t xml:space="preserve">Pimento Products</t>
  </si>
  <si>
    <t xml:space="preserve">ajhd1@gmail.com</t>
  </si>
  <si>
    <t xml:space="preserve">+254 724 589565</t>
  </si>
  <si>
    <t xml:space="preserve">CUST102246</t>
  </si>
  <si>
    <t xml:space="preserve">ajhd01@gmail.com</t>
  </si>
  <si>
    <t xml:space="preserve">Paul Kariuki</t>
  </si>
  <si>
    <t xml:space="preserve">Pinewood Beach Resort And Spa</t>
  </si>
  <si>
    <t xml:space="preserve">accounts2@pinewood-beach.com</t>
  </si>
  <si>
    <t xml:space="preserve">0726721146</t>
  </si>
  <si>
    <t xml:space="preserve">CUST100746</t>
  </si>
  <si>
    <t xml:space="preserve">accounts@pinewood-beach.com</t>
  </si>
  <si>
    <t xml:space="preserve">Arif Khan</t>
  </si>
  <si>
    <t xml:space="preserve">Placid View Properties Ltd</t>
  </si>
  <si>
    <t xml:space="preserve">akhan@ole-serenihotel.com</t>
  </si>
  <si>
    <t xml:space="preserve">0732191000</t>
  </si>
  <si>
    <t xml:space="preserve">CUST100749</t>
  </si>
  <si>
    <t xml:space="preserve">swachira@ole-serenihotel.com</t>
  </si>
  <si>
    <t xml:space="preserve">Bhauti Jethwa</t>
  </si>
  <si>
    <t xml:space="preserve">bjethwa@ole-serenihotel.com</t>
  </si>
  <si>
    <t xml:space="preserve">Kevin Barron</t>
  </si>
  <si>
    <t xml:space="preserve">kbarron@ole-serenihotel.com</t>
  </si>
  <si>
    <t xml:space="preserve">0792515167</t>
  </si>
  <si>
    <t xml:space="preserve">Patrick Gitagama</t>
  </si>
  <si>
    <t xml:space="preserve">pgitagama@ole-serenihotel.com</t>
  </si>
  <si>
    <t xml:space="preserve">0731436170</t>
  </si>
  <si>
    <t xml:space="preserve">Priscilla Njeri</t>
  </si>
  <si>
    <t xml:space="preserve">pmuiga@ole-serenihotel.com</t>
  </si>
  <si>
    <t xml:space="preserve">Tirus Wangati</t>
  </si>
  <si>
    <t xml:space="preserve">twangati@ole-serenihotel.com</t>
  </si>
  <si>
    <t xml:space="preserve">254 732 191000</t>
  </si>
  <si>
    <t xml:space="preserve">Waweru</t>
  </si>
  <si>
    <t xml:space="preserve">0731 436522</t>
  </si>
  <si>
    <t xml:space="preserve">Paul Mukonza</t>
  </si>
  <si>
    <t xml:space="preserve">Porini Camp</t>
  </si>
  <si>
    <t xml:space="preserve">stores@gamewatchers.co.ke</t>
  </si>
  <si>
    <t xml:space="preserve">CUST100754</t>
  </si>
  <si>
    <t xml:space="preserve">stores1@gamewatchers.co.ke</t>
  </si>
  <si>
    <t xml:space="preserve">Regina Alivitsa</t>
  </si>
  <si>
    <t xml:space="preserve">regina@gamewatchers.co.ke</t>
  </si>
  <si>
    <t xml:space="preserve">Violet Imbani</t>
  </si>
  <si>
    <t xml:space="preserve">Potterhouse School LTD</t>
  </si>
  <si>
    <t xml:space="preserve">vimbayi@potterhouseschool.ac.ke</t>
  </si>
  <si>
    <t xml:space="preserve">CUST101850</t>
  </si>
  <si>
    <t xml:space="preserve">finance@potterhouse.ac.ke</t>
  </si>
  <si>
    <t xml:space="preserve">George George</t>
  </si>
  <si>
    <t xml:space="preserve">Premier Rehab Centres Ltd</t>
  </si>
  <si>
    <t xml:space="preserve">premierrehabcentres@gmail.com</t>
  </si>
  <si>
    <t xml:space="preserve">0713030397</t>
  </si>
  <si>
    <t xml:space="preserve">CUST100758</t>
  </si>
  <si>
    <t xml:space="preserve">premierrehabcentresmsa@gmail.com</t>
  </si>
  <si>
    <t xml:space="preserve">Paul macharia</t>
  </si>
  <si>
    <t xml:space="preserve">Prescott Venture Ltd</t>
  </si>
  <si>
    <t xml:space="preserve">macharia@aberdarespalodge.co.ke</t>
  </si>
  <si>
    <t xml:space="preserve">0725538750</t>
  </si>
  <si>
    <t xml:space="preserve">CUST100759</t>
  </si>
  <si>
    <t xml:space="preserve">paulmch4@gmail.com</t>
  </si>
  <si>
    <t xml:space="preserve">Phelix Ouma</t>
  </si>
  <si>
    <t xml:space="preserve">Pressmaster Africa Ltd</t>
  </si>
  <si>
    <t xml:space="preserve">procurement@pressmaster.co.ke</t>
  </si>
  <si>
    <t xml:space="preserve">0700612118</t>
  </si>
  <si>
    <t xml:space="preserve">CUST100760</t>
  </si>
  <si>
    <t xml:space="preserve">internalaudit@pressmaster.co.ke</t>
  </si>
  <si>
    <t xml:space="preserve">Kennedy Gayah</t>
  </si>
  <si>
    <t xml:space="preserve">Pricewaterhousecoopers Ltd</t>
  </si>
  <si>
    <t xml:space="preserve">kennedy.gayah@pwc.com</t>
  </si>
  <si>
    <t xml:space="preserve">CUST100761</t>
  </si>
  <si>
    <t xml:space="preserve">kennedy.gayah@pwc.com; ke_accountspayable@pwc.com</t>
  </si>
  <si>
    <t xml:space="preserve">Nicholas Mutua</t>
  </si>
  <si>
    <t xml:space="preserve">nicholas.mutua@pwc.com</t>
  </si>
  <si>
    <t xml:space="preserve">0735788309</t>
  </si>
  <si>
    <t xml:space="preserve">Nahya Arley</t>
  </si>
  <si>
    <t xml:space="preserve">Prideinn Azure Hotel Limited</t>
  </si>
  <si>
    <t xml:space="preserve">stores@prideinn.co.ke</t>
  </si>
  <si>
    <t xml:space="preserve">0793070900</t>
  </si>
  <si>
    <t xml:space="preserve">CUST100762</t>
  </si>
  <si>
    <t xml:space="preserve">payables@prideinnazure.com</t>
  </si>
  <si>
    <t xml:space="preserve">sto@prideinnazure.com</t>
  </si>
  <si>
    <t xml:space="preserve">Alex Momanyi</t>
  </si>
  <si>
    <t xml:space="preserve">Prideinn Hotels And Investments Ltd</t>
  </si>
  <si>
    <t xml:space="preserve">accountsdiani@prideinn.co.ke</t>
  </si>
  <si>
    <t xml:space="preserve">0780996611</t>
  </si>
  <si>
    <t xml:space="preserve">CUST100763</t>
  </si>
  <si>
    <t xml:space="preserve">tom@prideinn.co.ke</t>
  </si>
  <si>
    <t xml:space="preserve">Elizabeth Momanyi</t>
  </si>
  <si>
    <t xml:space="preserve">storesmombasa@prideinn.co.ke</t>
  </si>
  <si>
    <t xml:space="preserve">Hellen Okumu</t>
  </si>
  <si>
    <t xml:space="preserve">0750634276</t>
  </si>
  <si>
    <t xml:space="preserve">sto.@prideinn.co.ke</t>
  </si>
  <si>
    <t xml:space="preserve">Yassin Yusuf</t>
  </si>
  <si>
    <t xml:space="preserve">accountsnyali@prideinn.co.ke</t>
  </si>
  <si>
    <t xml:space="preserve">0709716000</t>
  </si>
  <si>
    <t xml:space="preserve">Robert Robert</t>
  </si>
  <si>
    <t xml:space="preserve">Prime Cleaning Services</t>
  </si>
  <si>
    <t xml:space="preserve">prime.primecleaningservices.cl@gmail.com</t>
  </si>
  <si>
    <t xml:space="preserve">0794896396</t>
  </si>
  <si>
    <t xml:space="preserve">CUST100764</t>
  </si>
  <si>
    <t xml:space="preserve">Thuo Thuo</t>
  </si>
  <si>
    <t xml:space="preserve">Professional Clean Care Ltd</t>
  </si>
  <si>
    <t xml:space="preserve">info@professionalcleancare.com</t>
  </si>
  <si>
    <t xml:space="preserve">0727348937</t>
  </si>
  <si>
    <t xml:space="preserve">CUST100768</t>
  </si>
  <si>
    <t xml:space="preserve">accounts@professionalcleancare.com</t>
  </si>
  <si>
    <t xml:space="preserve">Rowland Omwenyo</t>
  </si>
  <si>
    <t xml:space="preserve">Proto Energy Ltd</t>
  </si>
  <si>
    <t xml:space="preserve">ROmwenyo@protoenergy.com</t>
  </si>
  <si>
    <t xml:space="preserve">0718926851</t>
  </si>
  <si>
    <t xml:space="preserve">CUST100770</t>
  </si>
  <si>
    <t xml:space="preserve">jmugambi@protoenergy.com</t>
  </si>
  <si>
    <t xml:space="preserve">Humphrey Njoroma</t>
  </si>
  <si>
    <t xml:space="preserve">Punctual Packaging Ventures</t>
  </si>
  <si>
    <t xml:space="preserve">Njoromahumphrey@gmail.com</t>
  </si>
  <si>
    <t xml:space="preserve">CUST101928</t>
  </si>
  <si>
    <t xml:space="preserve">Charles KAMANGA</t>
  </si>
  <si>
    <t xml:space="preserve">REMARC CLEANING SERVICES LTD</t>
  </si>
  <si>
    <t xml:space="preserve">cleaning@remarcservices.net</t>
  </si>
  <si>
    <t xml:space="preserve">0722632846</t>
  </si>
  <si>
    <t xml:space="preserve">CUST102607</t>
  </si>
  <si>
    <t xml:space="preserve">info@remarcservices.net; cleaning@remarcservices.net</t>
  </si>
  <si>
    <t xml:space="preserve">Daina Wangu</t>
  </si>
  <si>
    <t xml:space="preserve">Radiant Group of Hospitals Ltd</t>
  </si>
  <si>
    <t xml:space="preserve">dianawangu@radianthospitals.org</t>
  </si>
  <si>
    <t xml:space="preserve">0715444359</t>
  </si>
  <si>
    <t xml:space="preserve">CUST100778</t>
  </si>
  <si>
    <t xml:space="preserve">judithkimeu@radianthospitals.org</t>
  </si>
  <si>
    <t xml:space="preserve">Diana</t>
  </si>
  <si>
    <t xml:space="preserve">Diana Procurement</t>
  </si>
  <si>
    <t xml:space="preserve">Eudiah Blessed</t>
  </si>
  <si>
    <t xml:space="preserve">eudiahblessed@radianthospitals.org</t>
  </si>
  <si>
    <t xml:space="preserve">0722937441</t>
  </si>
  <si>
    <t xml:space="preserve">Judith</t>
  </si>
  <si>
    <t xml:space="preserve">Shijith Kadamboor</t>
  </si>
  <si>
    <t xml:space="preserve">Raints Kenya LTD</t>
  </si>
  <si>
    <t xml:space="preserve">skadamboor@raints.com</t>
  </si>
  <si>
    <t xml:space="preserve">CUST101455</t>
  </si>
  <si>
    <t xml:space="preserve">bnyoike@raints.com</t>
  </si>
  <si>
    <t xml:space="preserve">Wambua Caroline</t>
  </si>
  <si>
    <t xml:space="preserve">Realab Diagnostic Laboratory</t>
  </si>
  <si>
    <t xml:space="preserve">wambua.caroline@gmail.com</t>
  </si>
  <si>
    <t xml:space="preserve">CUST101858</t>
  </si>
  <si>
    <t xml:space="preserve">Francis Nusyima</t>
  </si>
  <si>
    <t xml:space="preserve">Red Ginger Eatery Limited</t>
  </si>
  <si>
    <t xml:space="preserve">purchases@redginger.co.ke</t>
  </si>
  <si>
    <t xml:space="preserve">CUST101469</t>
  </si>
  <si>
    <t xml:space="preserve">Redginger@redginger.co.ke</t>
  </si>
  <si>
    <t xml:space="preserve">Caleb Ochieng</t>
  </si>
  <si>
    <t xml:space="preserve">Regal Pharmaceuticals Limited</t>
  </si>
  <si>
    <t xml:space="preserve">purchase01@regalpharmaceuticals.com</t>
  </si>
  <si>
    <t xml:space="preserve">CUST100781</t>
  </si>
  <si>
    <t xml:space="preserve">purchase1@regalpharmaceuticals.com</t>
  </si>
  <si>
    <t xml:space="preserve">Mr. Vincent</t>
  </si>
  <si>
    <t xml:space="preserve">Reliance Hospital Limited</t>
  </si>
  <si>
    <t xml:space="preserve">procurement@thereliancehospital.co.ke</t>
  </si>
  <si>
    <t xml:space="preserve">0792050505</t>
  </si>
  <si>
    <t xml:space="preserve">CUST100782</t>
  </si>
  <si>
    <t xml:space="preserve">finance.reliance92@gmail.com</t>
  </si>
  <si>
    <t xml:space="preserve">Abbabakhar Abba</t>
  </si>
  <si>
    <t xml:space="preserve">Reliance Hotels Ltd</t>
  </si>
  <si>
    <t xml:space="preserve">abbabakhar.abba@hginairobi.co.ke</t>
  </si>
  <si>
    <t xml:space="preserve">CUST100783</t>
  </si>
  <si>
    <t xml:space="preserve">Brenda Ndogo</t>
  </si>
  <si>
    <t xml:space="preserve">brenda.ndogo@hginairobi.co.ke</t>
  </si>
  <si>
    <t xml:space="preserve">Peter Wanjohi</t>
  </si>
  <si>
    <t xml:space="preserve">Remote Medical Support Kenya LTD</t>
  </si>
  <si>
    <t xml:space="preserve">peter@response-med.com</t>
  </si>
  <si>
    <t xml:space="preserve">0715 769 162</t>
  </si>
  <si>
    <t xml:space="preserve">CUST101934</t>
  </si>
  <si>
    <t xml:space="preserve">PEBERE@RESPONSE-MED.COM</t>
  </si>
  <si>
    <t xml:space="preserve">Jane Njeri</t>
  </si>
  <si>
    <t xml:space="preserve">Rentokil</t>
  </si>
  <si>
    <t xml:space="preserve">jane.njeri@rentokil.co.ke</t>
  </si>
  <si>
    <t xml:space="preserve">CUST100786</t>
  </si>
  <si>
    <t xml:space="preserve">joy.kinuthia@rentokil-initial.com</t>
  </si>
  <si>
    <t xml:space="preserve">Nyokabi Joanne</t>
  </si>
  <si>
    <t xml:space="preserve">Restaurant Misono Limited</t>
  </si>
  <si>
    <t xml:space="preserve">restaurantmisono@gmail.com</t>
  </si>
  <si>
    <t xml:space="preserve">0786371140</t>
  </si>
  <si>
    <t xml:space="preserve">CUST102699</t>
  </si>
  <si>
    <t xml:space="preserve">Cleophas</t>
  </si>
  <si>
    <t xml:space="preserve">Riana Properties Ltd - C/O Knight Frank Ltd</t>
  </si>
  <si>
    <t xml:space="preserve">CUST100789</t>
  </si>
  <si>
    <t xml:space="preserve">Joyce Njiani</t>
  </si>
  <si>
    <t xml:space="preserve">Riara Group Of Schools</t>
  </si>
  <si>
    <t xml:space="preserve">jnjiani@riaraschool.ac.ke</t>
  </si>
  <si>
    <t xml:space="preserve">0703038177</t>
  </si>
  <si>
    <t xml:space="preserve">CUST100790</t>
  </si>
  <si>
    <t xml:space="preserve">jnjiraini@riaraschools.ac.ke</t>
  </si>
  <si>
    <t xml:space="preserve">Rift Valley Academy</t>
  </si>
  <si>
    <t xml:space="preserve">storessupervisor@rva.org</t>
  </si>
  <si>
    <t xml:space="preserve">0734364615</t>
  </si>
  <si>
    <t xml:space="preserve">CUST100792</t>
  </si>
  <si>
    <t xml:space="preserve">payables@rva.org</t>
  </si>
  <si>
    <t xml:space="preserve">Rich Finch</t>
  </si>
  <si>
    <t xml:space="preserve">servicestores@rva.org</t>
  </si>
  <si>
    <t xml:space="preserve">+254-790-634-611</t>
  </si>
  <si>
    <t xml:space="preserve">Jullie Muli</t>
  </si>
  <si>
    <t xml:space="preserve">Ripple Matrix Properties Limited</t>
  </si>
  <si>
    <t xml:space="preserve">mulijullie@gmail.com</t>
  </si>
  <si>
    <t xml:space="preserve">CUST101818</t>
  </si>
  <si>
    <t xml:space="preserve">ripplematrixproperties@gmail.com</t>
  </si>
  <si>
    <t xml:space="preserve">Riverside Grove Apartments Ltd</t>
  </si>
  <si>
    <t xml:space="preserve">204071000</t>
  </si>
  <si>
    <t xml:space="preserve">CUST100797</t>
  </si>
  <si>
    <t xml:space="preserve">payables@bwexecutiveresidencynairobi.co.ke</t>
  </si>
  <si>
    <t xml:space="preserve">Executive Residency Riverside Grove Apartments</t>
  </si>
  <si>
    <t xml:space="preserve">Irene Mwende</t>
  </si>
  <si>
    <t xml:space="preserve">procurement@bwexecutiveresidencynairobi.co.ke</t>
  </si>
  <si>
    <t xml:space="preserve">0702012194</t>
  </si>
  <si>
    <t xml:space="preserve">Faith</t>
  </si>
  <si>
    <t xml:space="preserve">Rizenn Homes Ltd</t>
  </si>
  <si>
    <t xml:space="preserve">0727647604</t>
  </si>
  <si>
    <t xml:space="preserve">CUST100798</t>
  </si>
  <si>
    <t xml:space="preserve">accounts@rizennhomes.co.ke</t>
  </si>
  <si>
    <t xml:space="preserve">Faith Muia</t>
  </si>
  <si>
    <t xml:space="preserve">faith.muia@rizennhomes.co.ke</t>
  </si>
  <si>
    <t xml:space="preserve">Grace Njoroge</t>
  </si>
  <si>
    <t xml:space="preserve">Roasters</t>
  </si>
  <si>
    <t xml:space="preserve">storesnairobi@thelukehotel.co.ke</t>
  </si>
  <si>
    <t xml:space="preserve">0721435227</t>
  </si>
  <si>
    <t xml:space="preserve">CUST100799</t>
  </si>
  <si>
    <t xml:space="preserve">Lawrence Chege</t>
  </si>
  <si>
    <t xml:space="preserve">Rock Beach Resort</t>
  </si>
  <si>
    <t xml:space="preserve">lawrencechege766@gmail.com</t>
  </si>
  <si>
    <t xml:space="preserve">0762490079</t>
  </si>
  <si>
    <t xml:space="preserve">CUST102206</t>
  </si>
  <si>
    <t xml:space="preserve">blawrencechege@gmail.com</t>
  </si>
  <si>
    <t xml:space="preserve">Madam Harriet</t>
  </si>
  <si>
    <t xml:space="preserve">Rodentkil Cleaning Company Ltd</t>
  </si>
  <si>
    <t xml:space="preserve">md@rodentkillcleaners.com</t>
  </si>
  <si>
    <t xml:space="preserve">0721354574</t>
  </si>
  <si>
    <t xml:space="preserve">CUST100800</t>
  </si>
  <si>
    <t xml:space="preserve">accounts@rodentkillcleaners.com</t>
  </si>
  <si>
    <t xml:space="preserve">Allan</t>
  </si>
  <si>
    <t xml:space="preserve">Rooftop Forty Holdings Ltd</t>
  </si>
  <si>
    <t xml:space="preserve">CUST100802</t>
  </si>
  <si>
    <t xml:space="preserve">rooftopforty@gmail.com</t>
  </si>
  <si>
    <t xml:space="preserve">Martin Mwaura</t>
  </si>
  <si>
    <t xml:space="preserve">0725097381</t>
  </si>
  <si>
    <t xml:space="preserve">Eddah Githinji</t>
  </si>
  <si>
    <t xml:space="preserve">Rosedale Gardens Limited</t>
  </si>
  <si>
    <t xml:space="preserve">0757894974</t>
  </si>
  <si>
    <t xml:space="preserve">CUST100804</t>
  </si>
  <si>
    <t xml:space="preserve">INFO@ROSEDALEGARDENSKILIMANI.COM</t>
  </si>
  <si>
    <t xml:space="preserve">Mumbi</t>
  </si>
  <si>
    <t xml:space="preserve">Himani Patel</t>
  </si>
  <si>
    <t xml:space="preserve">Rosevilla Properties Ltd</t>
  </si>
  <si>
    <t xml:space="preserve">himani@furniturepalace.co.ke</t>
  </si>
  <si>
    <t xml:space="preserve">+254 722 201 201</t>
  </si>
  <si>
    <t xml:space="preserve">CUST100805</t>
  </si>
  <si>
    <t xml:space="preserve">accounts2@furniturepalace.co.ke</t>
  </si>
  <si>
    <t xml:space="preserve">Philip</t>
  </si>
  <si>
    <t xml:space="preserve">0733772100</t>
  </si>
  <si>
    <t xml:space="preserve">Rosevilla Properties Ltd Rosevilla Properties</t>
  </si>
  <si>
    <t xml:space="preserve">Vincent Kiprop</t>
  </si>
  <si>
    <t xml:space="preserve">Rosewood Furniture Ltd</t>
  </si>
  <si>
    <t xml:space="preserve">vincent.kiprop@rosewood.co.ke</t>
  </si>
  <si>
    <t xml:space="preserve">CUST100806</t>
  </si>
  <si>
    <t xml:space="preserve">karan@pearlkenya.com</t>
  </si>
  <si>
    <t xml:space="preserve">Elizabeth Elizabeth</t>
  </si>
  <si>
    <t xml:space="preserve">Rosey International Ltd</t>
  </si>
  <si>
    <t xml:space="preserve">roseyinternationaltd@gmail.com</t>
  </si>
  <si>
    <t xml:space="preserve">0725549253</t>
  </si>
  <si>
    <t xml:space="preserve">CUST100807</t>
  </si>
  <si>
    <t xml:space="preserve">info@roseyintl.com</t>
  </si>
  <si>
    <t xml:space="preserve">John Ngugi</t>
  </si>
  <si>
    <t xml:space="preserve">Rosslyn Academy</t>
  </si>
  <si>
    <t xml:space="preserve">johnn@rosslynacademy.com</t>
  </si>
  <si>
    <t xml:space="preserve">0792465488</t>
  </si>
  <si>
    <t xml:space="preserve">CUST100808</t>
  </si>
  <si>
    <t xml:space="preserve">simong@rosslynacademy.com</t>
  </si>
  <si>
    <t xml:space="preserve">Mr Arnold</t>
  </si>
  <si>
    <t xml:space="preserve">Rusalab</t>
  </si>
  <si>
    <t xml:space="preserve">rusalabltd@gmail.com</t>
  </si>
  <si>
    <t xml:space="preserve">0734517972</t>
  </si>
  <si>
    <t xml:space="preserve">CUST100812</t>
  </si>
  <si>
    <t xml:space="preserve">Hezekiah Gitau</t>
  </si>
  <si>
    <t xml:space="preserve">Rusinga Investments Ltd</t>
  </si>
  <si>
    <t xml:space="preserve">hgitau@rusinga.ac.ke</t>
  </si>
  <si>
    <t xml:space="preserve">0709 554200</t>
  </si>
  <si>
    <t xml:space="preserve">CUST101480</t>
  </si>
  <si>
    <t xml:space="preserve">James Mukono</t>
  </si>
  <si>
    <t xml:space="preserve">SIA QSR Kenya Ltd</t>
  </si>
  <si>
    <t xml:space="preserve">james.mukono@servair.co.ke</t>
  </si>
  <si>
    <t xml:space="preserve">07175434444</t>
  </si>
  <si>
    <t xml:space="preserve">CUST100875</t>
  </si>
  <si>
    <t xml:space="preserve">rodger@qsrkenya.com</t>
  </si>
  <si>
    <t xml:space="preserve">David Baiya</t>
  </si>
  <si>
    <t xml:space="preserve">SKF Kenya Limited</t>
  </si>
  <si>
    <t xml:space="preserve">david.baiya@skfkenya.com</t>
  </si>
  <si>
    <t xml:space="preserve">CUST100891</t>
  </si>
  <si>
    <t xml:space="preserve">James Maina</t>
  </si>
  <si>
    <t xml:space="preserve">ST.Marys School</t>
  </si>
  <si>
    <t xml:space="preserve">0723 452289</t>
  </si>
  <si>
    <t xml:space="preserve">CUST100922</t>
  </si>
  <si>
    <t xml:space="preserve">info@stmarysinternationalacademy.com</t>
  </si>
  <si>
    <t xml:space="preserve">Asia Abdirashid</t>
  </si>
  <si>
    <t xml:space="preserve">Saab Royale Hotel</t>
  </si>
  <si>
    <t xml:space="preserve">accounts@saabroyalehotel.com</t>
  </si>
  <si>
    <t xml:space="preserve">CUST101656</t>
  </si>
  <si>
    <t xml:space="preserve">Lilian Mwangi</t>
  </si>
  <si>
    <t xml:space="preserve">Saape Limited</t>
  </si>
  <si>
    <t xml:space="preserve">lilian@saape.co.ke</t>
  </si>
  <si>
    <t xml:space="preserve">CUST100816</t>
  </si>
  <si>
    <t xml:space="preserve">finance@saape.co.ke</t>
  </si>
  <si>
    <t xml:space="preserve">Charles Mbuguah</t>
  </si>
  <si>
    <t xml:space="preserve">Sacham General Supplies Ltd</t>
  </si>
  <si>
    <t xml:space="preserve">charles.mbuguah@sacham.co.ke</t>
  </si>
  <si>
    <t xml:space="preserve">CUST101821</t>
  </si>
  <si>
    <t xml:space="preserve">info@sacham.co.ke; charles.mbuguah@sacham.co.ke</t>
  </si>
  <si>
    <t xml:space="preserve">James Githinji</t>
  </si>
  <si>
    <t xml:space="preserve">Safaricom Staff Pension Scheme c/o Knight Frank</t>
  </si>
  <si>
    <t xml:space="preserve">jamesgithinji@keknightfrank.com</t>
  </si>
  <si>
    <t xml:space="preserve">CUST101900</t>
  </si>
  <si>
    <t xml:space="preserve">Naazleen Alibhai</t>
  </si>
  <si>
    <t xml:space="preserve">Safe Haven Ltd C/O Nairobi International School</t>
  </si>
  <si>
    <t xml:space="preserve">naazleen.alibhai@nis.ac.ke</t>
  </si>
  <si>
    <t xml:space="preserve">CUST100819</t>
  </si>
  <si>
    <t xml:space="preserve">Safeserve Enterprises Limited</t>
  </si>
  <si>
    <t xml:space="preserve">simonngochi60@gmail.com</t>
  </si>
  <si>
    <t xml:space="preserve">CUST101867</t>
  </si>
  <si>
    <t xml:space="preserve">Kangundo Road</t>
  </si>
  <si>
    <t xml:space="preserve">Grace</t>
  </si>
  <si>
    <t xml:space="preserve">Safeways Hypermarket Ltd C/O Knight Frank</t>
  </si>
  <si>
    <t xml:space="preserve">CUST100823</t>
  </si>
  <si>
    <t xml:space="preserve">grace.munge@ke.knightfrank.com</t>
  </si>
  <si>
    <t xml:space="preserve">Jane Wanjiru</t>
  </si>
  <si>
    <t xml:space="preserve">Jane.Wanjiru@ke.knightfrank.com</t>
  </si>
  <si>
    <t xml:space="preserve">Steve Wanjiru</t>
  </si>
  <si>
    <t xml:space="preserve">Sagret Hotel Equitorial Ltd</t>
  </si>
  <si>
    <t xml:space="preserve">stevewanjiru57@gmail.com</t>
  </si>
  <si>
    <t xml:space="preserve">CUST101446</t>
  </si>
  <si>
    <t xml:space="preserve">Rajni Sharma</t>
  </si>
  <si>
    <t xml:space="preserve">Saj Ceramics</t>
  </si>
  <si>
    <t xml:space="preserve">rajni.sharma@saj.co.ke</t>
  </si>
  <si>
    <t xml:space="preserve">0733245005</t>
  </si>
  <si>
    <t xml:space="preserve">CUST100825</t>
  </si>
  <si>
    <t xml:space="preserve">ceramics@saj.co.ke</t>
  </si>
  <si>
    <t xml:space="preserve">Catherine Nderitu</t>
  </si>
  <si>
    <t xml:space="preserve">Sal Kenya Limited</t>
  </si>
  <si>
    <t xml:space="preserve">admin@salkenya.com</t>
  </si>
  <si>
    <t xml:space="preserve">0721221588</t>
  </si>
  <si>
    <t xml:space="preserve">CUST100826</t>
  </si>
  <si>
    <t xml:space="preserve">maureen Njagi</t>
  </si>
  <si>
    <t xml:space="preserve">Salvador Caetano Kenya</t>
  </si>
  <si>
    <t xml:space="preserve">maureen.njagi@caetano.co.ke</t>
  </si>
  <si>
    <t xml:space="preserve">0728266165</t>
  </si>
  <si>
    <t xml:space="preserve">CUST100828</t>
  </si>
  <si>
    <t xml:space="preserve">Irene Ndawre</t>
  </si>
  <si>
    <t xml:space="preserve">Samaritans Purse</t>
  </si>
  <si>
    <t xml:space="preserve">indarawe@samaritan.org</t>
  </si>
  <si>
    <t xml:space="preserve">0726807350</t>
  </si>
  <si>
    <t xml:space="preserve">CUST100829</t>
  </si>
  <si>
    <t xml:space="preserve">Kenneth Walobwa</t>
  </si>
  <si>
    <t xml:space="preserve">Samsung Electronics East Africa Limited</t>
  </si>
  <si>
    <t xml:space="preserve">ken.walobwa@partner.samsung.com</t>
  </si>
  <si>
    <t xml:space="preserve">0707718255</t>
  </si>
  <si>
    <t xml:space="preserve">CUST100833</t>
  </si>
  <si>
    <t xml:space="preserve">vickie.m@samsung.com</t>
  </si>
  <si>
    <t xml:space="preserve">Josephat</t>
  </si>
  <si>
    <t xml:space="preserve">Sankara Nairobi</t>
  </si>
  <si>
    <t xml:space="preserve">0715616016</t>
  </si>
  <si>
    <t xml:space="preserve">CUST100836</t>
  </si>
  <si>
    <t xml:space="preserve">jenita.irungu@sankara.com</t>
  </si>
  <si>
    <t xml:space="preserve">Josiah Njamura</t>
  </si>
  <si>
    <t xml:space="preserve">josiah.njamura@sankara.com</t>
  </si>
  <si>
    <t xml:space="preserve">0722802160</t>
  </si>
  <si>
    <t xml:space="preserve">Josphat Njagi</t>
  </si>
  <si>
    <t xml:space="preserve">josphat.njagi@sankara.com</t>
  </si>
  <si>
    <t xml:space="preserve">254 703028054</t>
  </si>
  <si>
    <t xml:space="preserve">Muthoni Arimi</t>
  </si>
  <si>
    <t xml:space="preserve">muthoni.arimi@sankara.com</t>
  </si>
  <si>
    <t xml:space="preserve">Martin Kihara</t>
  </si>
  <si>
    <t xml:space="preserve">Sarova CBK-IMS</t>
  </si>
  <si>
    <t xml:space="preserve">Martin.Kihara@sarovahotels.com</t>
  </si>
  <si>
    <t xml:space="preserve">0709111000</t>
  </si>
  <si>
    <t xml:space="preserve">CUST103199</t>
  </si>
  <si>
    <t xml:space="preserve">accountspayables@sarovahotels.com</t>
  </si>
  <si>
    <t xml:space="preserve">Ruth Kimani</t>
  </si>
  <si>
    <t xml:space="preserve">Sarova Isokon Mara</t>
  </si>
  <si>
    <t xml:space="preserve">ruth.kimani@sarovahotels.com</t>
  </si>
  <si>
    <t xml:space="preserve">CUST100839</t>
  </si>
  <si>
    <t xml:space="preserve">Fred Fred</t>
  </si>
  <si>
    <t xml:space="preserve">Sarova Lion Hill Camp</t>
  </si>
  <si>
    <t xml:space="preserve">0726893620</t>
  </si>
  <si>
    <t xml:space="preserve">CUST100840</t>
  </si>
  <si>
    <t xml:space="preserve">Hellen Winja</t>
  </si>
  <si>
    <t xml:space="preserve">hellen.winja@sarovahotels.com</t>
  </si>
  <si>
    <t xml:space="preserve">0723909620</t>
  </si>
  <si>
    <t xml:space="preserve">Joseph mkaya</t>
  </si>
  <si>
    <t xml:space="preserve">Sarova Woodlands</t>
  </si>
  <si>
    <t xml:space="preserve">joseph.mkaya@sarovahotels.com</t>
  </si>
  <si>
    <t xml:space="preserve">0725606561</t>
  </si>
  <si>
    <t xml:space="preserve">CUST100843</t>
  </si>
  <si>
    <t xml:space="preserve">Ruth Namuyemba</t>
  </si>
  <si>
    <t xml:space="preserve">ruth.namuyemba@sarovahotels.com</t>
  </si>
  <si>
    <t xml:space="preserve">0709166000</t>
  </si>
  <si>
    <t xml:space="preserve">Laura Elizabeth</t>
  </si>
  <si>
    <t xml:space="preserve">Sasini PLC</t>
  </si>
  <si>
    <t xml:space="preserve">esakwera@sasini.co.ke</t>
  </si>
  <si>
    <t xml:space="preserve">0723865348</t>
  </si>
  <si>
    <t xml:space="preserve">CUST103025</t>
  </si>
  <si>
    <t xml:space="preserve">info@sasini.co.ke</t>
  </si>
  <si>
    <t xml:space="preserve">Alex Jindwa</t>
  </si>
  <si>
    <t xml:space="preserve">Sawela Lodge</t>
  </si>
  <si>
    <t xml:space="preserve">accounts@sawelalodges.com</t>
  </si>
  <si>
    <t xml:space="preserve">07171234444</t>
  </si>
  <si>
    <t xml:space="preserve">CUST100846</t>
  </si>
  <si>
    <t xml:space="preserve">controls@sawelalodges.com</t>
  </si>
  <si>
    <t xml:space="preserve">Michael</t>
  </si>
  <si>
    <t xml:space="preserve">0716 353036</t>
  </si>
  <si>
    <t xml:space="preserve">Patrova None</t>
  </si>
  <si>
    <t xml:space="preserve">purchases@sawelalodge.com</t>
  </si>
  <si>
    <t xml:space="preserve">William Ng'ang'a</t>
  </si>
  <si>
    <t xml:space="preserve">Scanad Kenya Ltd</t>
  </si>
  <si>
    <t xml:space="preserve">william.nganga@wpp-scangroup.com</t>
  </si>
  <si>
    <t xml:space="preserve">CUST100848</t>
  </si>
  <si>
    <t xml:space="preserve">Joyce Waweru</t>
  </si>
  <si>
    <t xml:space="preserve">Schenker Ltd</t>
  </si>
  <si>
    <t xml:space="preserve">joyce.waweru@dbschenker.com</t>
  </si>
  <si>
    <t xml:space="preserve">CUST100849</t>
  </si>
  <si>
    <t xml:space="preserve">saumu.saidi@dbschenker.com</t>
  </si>
  <si>
    <t xml:space="preserve">Securex Investments Ltd C/O Knight Frank Kenya Ltd</t>
  </si>
  <si>
    <t xml:space="preserve">lydia.ndichu@ke.knightfrank.com</t>
  </si>
  <si>
    <t xml:space="preserve">0727710175</t>
  </si>
  <si>
    <t xml:space="preserve">CUST100855</t>
  </si>
  <si>
    <t xml:space="preserve">Betsy Bor</t>
  </si>
  <si>
    <t xml:space="preserve">Serena Beach Hotel - Mombasa</t>
  </si>
  <si>
    <t xml:space="preserve">betsy.bor@serenahotels.com</t>
  </si>
  <si>
    <t xml:space="preserve">+254721577071</t>
  </si>
  <si>
    <t xml:space="preserve">CUST101351</t>
  </si>
  <si>
    <t xml:space="preserve">Dennis Ashiro</t>
  </si>
  <si>
    <t xml:space="preserve">dennie.ashiro@serenshotels.com</t>
  </si>
  <si>
    <t xml:space="preserve">0721337591</t>
  </si>
  <si>
    <t xml:space="preserve">Lauryne Achila</t>
  </si>
  <si>
    <t xml:space="preserve">lauryne.achila@serenahotels.com</t>
  </si>
  <si>
    <t xml:space="preserve">0786514505</t>
  </si>
  <si>
    <t xml:space="preserve">Lucy Kuibita</t>
  </si>
  <si>
    <t xml:space="preserve">lucy.kuibita@serenahotels.com</t>
  </si>
  <si>
    <t xml:space="preserve">0720896680</t>
  </si>
  <si>
    <t xml:space="preserve">Fred Wachira</t>
  </si>
  <si>
    <t xml:space="preserve">Serenity Spa Limited</t>
  </si>
  <si>
    <t xml:space="preserve">fred@serenityspa.co.ke</t>
  </si>
  <si>
    <t xml:space="preserve">0790697796</t>
  </si>
  <si>
    <t xml:space="preserve">CUST100858</t>
  </si>
  <si>
    <t xml:space="preserve">Vanessa@serenityspa.co.ke</t>
  </si>
  <si>
    <t xml:space="preserve">Vanessa Anunda</t>
  </si>
  <si>
    <t xml:space="preserve">info@serenityspa.co.ke</t>
  </si>
  <si>
    <t xml:space="preserve">Brion Gakungu</t>
  </si>
  <si>
    <t xml:space="preserve">Service Hub Global Enterprises LTD</t>
  </si>
  <si>
    <t xml:space="preserve">briongakungu@gmail.com</t>
  </si>
  <si>
    <t xml:space="preserve">CUST101896</t>
  </si>
  <si>
    <t xml:space="preserve">Gregory Imaculate</t>
  </si>
  <si>
    <t xml:space="preserve">0708330969</t>
  </si>
  <si>
    <t xml:space="preserve">Erastus Mwangi</t>
  </si>
  <si>
    <t xml:space="preserve">Seton International Ltd</t>
  </si>
  <si>
    <t xml:space="preserve">erastus@setoninternational.com</t>
  </si>
  <si>
    <t xml:space="preserve">CUST100859</t>
  </si>
  <si>
    <t xml:space="preserve">susan@setoninternational.com</t>
  </si>
  <si>
    <t xml:space="preserve">Barnabas</t>
  </si>
  <si>
    <t xml:space="preserve">Seven Degrees North Ltd</t>
  </si>
  <si>
    <t xml:space="preserve">CUST100860</t>
  </si>
  <si>
    <t xml:space="preserve">info@sdnlimited.com</t>
  </si>
  <si>
    <t xml:space="preserve">Barnabas Richard</t>
  </si>
  <si>
    <t xml:space="preserve">George Gicheru</t>
  </si>
  <si>
    <t xml:space="preserve">Seven Degrees Restaurant</t>
  </si>
  <si>
    <t xml:space="preserve">accounts@7degrees.co.ke</t>
  </si>
  <si>
    <t xml:space="preserve">CUST100861</t>
  </si>
  <si>
    <t xml:space="preserve">info@7degrees.co.ke</t>
  </si>
  <si>
    <t xml:space="preserve">Mitch Nguyo</t>
  </si>
  <si>
    <t xml:space="preserve">Miss Drusila</t>
  </si>
  <si>
    <t xml:space="preserve">Shade Manufacturers &amp; Hotel Ltd</t>
  </si>
  <si>
    <t xml:space="preserve">info@shadehotel.co.ke</t>
  </si>
  <si>
    <t xml:space="preserve">0700403444</t>
  </si>
  <si>
    <t xml:space="preserve">CUST100863</t>
  </si>
  <si>
    <t xml:space="preserve">Jinal Shah</t>
  </si>
  <si>
    <t xml:space="preserve">Shalimar Fresh Limited</t>
  </si>
  <si>
    <t xml:space="preserve">jinal.shah@eastafricangrowers.com</t>
  </si>
  <si>
    <t xml:space="preserve">Shirleen Kimutai</t>
  </si>
  <si>
    <t xml:space="preserve">CUST102175</t>
  </si>
  <si>
    <t xml:space="preserve">shalimar.accounts1@eastafricangrowers.com</t>
  </si>
  <si>
    <t xml:space="preserve">David Mugwe</t>
  </si>
  <si>
    <t xml:space="preserve">Shamgro Limited C/O Knight Frank</t>
  </si>
  <si>
    <t xml:space="preserve">david.mugwe@ke.knightfrank.com</t>
  </si>
  <si>
    <t xml:space="preserve">CUST100865</t>
  </si>
  <si>
    <t xml:space="preserve">leah muchiri</t>
  </si>
  <si>
    <t xml:space="preserve">Sheria Sacco</t>
  </si>
  <si>
    <t xml:space="preserve">leah.muchiri@sheriasacco.coop</t>
  </si>
  <si>
    <t xml:space="preserve">CUST100869</t>
  </si>
  <si>
    <t xml:space="preserve">leah.muchiri@sheriasacco</t>
  </si>
  <si>
    <t xml:space="preserve">Christine Ndirangu</t>
  </si>
  <si>
    <t xml:space="preserve">Shop And Deliver Limited</t>
  </si>
  <si>
    <t xml:space="preserve">christine.njoki@betika.com</t>
  </si>
  <si>
    <t xml:space="preserve">CUST101484</t>
  </si>
  <si>
    <t xml:space="preserve">peter.ng'ang'a@betika.com</t>
  </si>
  <si>
    <t xml:space="preserve">Mary Wambui</t>
  </si>
  <si>
    <t xml:space="preserve">mary.wambui@betika.com</t>
  </si>
  <si>
    <t xml:space="preserve">Abigael Ndichu</t>
  </si>
  <si>
    <t xml:space="preserve">Sidian Bank Ltd - Head Office</t>
  </si>
  <si>
    <t xml:space="preserve">andichu@sidianbank.co.ke</t>
  </si>
  <si>
    <t xml:space="preserve">254 711 058 741</t>
  </si>
  <si>
    <t xml:space="preserve">CUST100876</t>
  </si>
  <si>
    <t xml:space="preserve">dratemo@sidianbank.co.ke; CKagecha@sidianbank.co.ke</t>
  </si>
  <si>
    <t xml:space="preserve">Amos Tikani</t>
  </si>
  <si>
    <t xml:space="preserve">ATikani@sidianbank.co.ke</t>
  </si>
  <si>
    <t xml:space="preserve">0711058000</t>
  </si>
  <si>
    <t xml:space="preserve">Sheila Kienda</t>
  </si>
  <si>
    <t xml:space="preserve">Sienna Limited</t>
  </si>
  <si>
    <t xml:space="preserve">info@sienna.co.ke</t>
  </si>
  <si>
    <t xml:space="preserve">CUST102223</t>
  </si>
  <si>
    <t xml:space="preserve">Andrew Ngenga</t>
  </si>
  <si>
    <t xml:space="preserve">Sigona Golf Club</t>
  </si>
  <si>
    <t xml:space="preserve">CUST102570</t>
  </si>
  <si>
    <t xml:space="preserve">lucy@sigonagolfclub.com</t>
  </si>
  <si>
    <t xml:space="preserve">Andrew Njenga</t>
  </si>
  <si>
    <t xml:space="preserve">0713726074</t>
  </si>
  <si>
    <t xml:space="preserve">Francis Francis</t>
  </si>
  <si>
    <t xml:space="preserve">gm@sigonagolfclub.com</t>
  </si>
  <si>
    <t xml:space="preserve">0723704874</t>
  </si>
  <si>
    <t xml:space="preserve">Nancy Akinyi</t>
  </si>
  <si>
    <t xml:space="preserve">Simba Hospitality Management Ltd T/A Acacia Premier Hotel</t>
  </si>
  <si>
    <t xml:space="preserve">nancy.akinyi@acaciapremier.com</t>
  </si>
  <si>
    <t xml:space="preserve">CUST101913</t>
  </si>
  <si>
    <t xml:space="preserve">nancy.akinyi@acaciapremier.com; loreine.ogum@acaciapremier.com</t>
  </si>
  <si>
    <t xml:space="preserve">Samuel Ndiege</t>
  </si>
  <si>
    <t xml:space="preserve">samuel.ndiege@acaciapremier.com</t>
  </si>
  <si>
    <t xml:space="preserve">0709850000</t>
  </si>
  <si>
    <t xml:space="preserve">John Mwangi</t>
  </si>
  <si>
    <t xml:space="preserve">Simbisa Brands Kenya Ltd</t>
  </si>
  <si>
    <t xml:space="preserve">john.mwangi@ke-simbisa.com</t>
  </si>
  <si>
    <t xml:space="preserve">0721455747</t>
  </si>
  <si>
    <t xml:space="preserve">CUST100885</t>
  </si>
  <si>
    <t xml:space="preserve">samuel.gitau@simbisakenya.co.ke</t>
  </si>
  <si>
    <t xml:space="preserve">Samuel Gitau</t>
  </si>
  <si>
    <t xml:space="preserve">Victor Kimweli</t>
  </si>
  <si>
    <t xml:space="preserve">0784214539</t>
  </si>
  <si>
    <t xml:space="preserve">Hemal Shah</t>
  </si>
  <si>
    <t xml:space="preserve">Simply Perfect</t>
  </si>
  <si>
    <t xml:space="preserve">CUST100886</t>
  </si>
  <si>
    <t xml:space="preserve">hemal@simply.co.ke</t>
  </si>
  <si>
    <t xml:space="preserve">Norah Michael</t>
  </si>
  <si>
    <t xml:space="preserve">Sinapis Organization</t>
  </si>
  <si>
    <t xml:space="preserve">nmichael@sinapis.org</t>
  </si>
  <si>
    <t xml:space="preserve">0714927890</t>
  </si>
  <si>
    <t xml:space="preserve">CUST102826</t>
  </si>
  <si>
    <t xml:space="preserve">eafinance@sinapis.ord</t>
  </si>
  <si>
    <t xml:space="preserve">Jeniffer Chemutai</t>
  </si>
  <si>
    <t xml:space="preserve">Sisnel Enterprises</t>
  </si>
  <si>
    <t xml:space="preserve">infosisnelenterprise@gmail.com</t>
  </si>
  <si>
    <t xml:space="preserve">0723117857</t>
  </si>
  <si>
    <t xml:space="preserve">CUST101813</t>
  </si>
  <si>
    <t xml:space="preserve">cheptapruth@gmail.com</t>
  </si>
  <si>
    <t xml:space="preserve">Anne Wangari</t>
  </si>
  <si>
    <t xml:space="preserve">Six Square Ltd</t>
  </si>
  <si>
    <t xml:space="preserve">distribution@sixsquare.co.ke</t>
  </si>
  <si>
    <t xml:space="preserve">CUST100890</t>
  </si>
  <si>
    <t xml:space="preserve">ajay.saini@gmail.com</t>
  </si>
  <si>
    <t xml:space="preserve">pauline Wanjiku</t>
  </si>
  <si>
    <t xml:space="preserve">Slater &amp; Whittaker</t>
  </si>
  <si>
    <t xml:space="preserve">imports@swkenya.com</t>
  </si>
  <si>
    <t xml:space="preserve">CUST100892</t>
  </si>
  <si>
    <t xml:space="preserve">mike@swkenya.com</t>
  </si>
  <si>
    <t xml:space="preserve">Edwin Oduu</t>
  </si>
  <si>
    <t xml:space="preserve">Smart Outsource Ltd</t>
  </si>
  <si>
    <t xml:space="preserve">0734441129</t>
  </si>
  <si>
    <t xml:space="preserve">CUST100894</t>
  </si>
  <si>
    <t xml:space="preserve">info@smartoutsource.co.ke</t>
  </si>
  <si>
    <t xml:space="preserve">Edwin Ondu</t>
  </si>
  <si>
    <t xml:space="preserve">accounts@smartoutsource.co.ke</t>
  </si>
  <si>
    <t xml:space="preserve">LY=ynne Amondi</t>
  </si>
  <si>
    <t xml:space="preserve">lynne@smartoutsource.co.ke</t>
  </si>
  <si>
    <t xml:space="preserve">Soilex</t>
  </si>
  <si>
    <t xml:space="preserve">Soilex Prosolve Ltd</t>
  </si>
  <si>
    <t xml:space="preserve">CUST100898</t>
  </si>
  <si>
    <t xml:space="preserve">jainathwani@soilex.co.ke</t>
  </si>
  <si>
    <t xml:space="preserve">Chef Jandu</t>
  </si>
  <si>
    <t xml:space="preserve">Soldorado Management Ltd</t>
  </si>
  <si>
    <t xml:space="preserve">chefjandu@tribe44.co</t>
  </si>
  <si>
    <t xml:space="preserve">0736575088</t>
  </si>
  <si>
    <t xml:space="preserve">CUST101452</t>
  </si>
  <si>
    <t xml:space="preserve">chefjandu@tribe44.com</t>
  </si>
  <si>
    <t xml:space="preserve">Alice Kipyegon</t>
  </si>
  <si>
    <t xml:space="preserve">Soset Shinners Services Limited</t>
  </si>
  <si>
    <t xml:space="preserve">sosetsunshinners@gmail.com</t>
  </si>
  <si>
    <t xml:space="preserve">0722763098</t>
  </si>
  <si>
    <t xml:space="preserve">CUST100903</t>
  </si>
  <si>
    <t xml:space="preserve">Esther Ngami</t>
  </si>
  <si>
    <t xml:space="preserve">Space And Style Ltd</t>
  </si>
  <si>
    <t xml:space="preserve">admin@spaceandstyle.co.ke</t>
  </si>
  <si>
    <t xml:space="preserve">0741 067 757</t>
  </si>
  <si>
    <t xml:space="preserve">CUST100908</t>
  </si>
  <si>
    <t xml:space="preserve">info@spaceandstyle.co.ke</t>
  </si>
  <si>
    <t xml:space="preserve">Pauline Muisyo</t>
  </si>
  <si>
    <t xml:space="preserve">Sparklean Cleaning Ltd</t>
  </si>
  <si>
    <t xml:space="preserve">pauline@sparklean.co.ke</t>
  </si>
  <si>
    <t xml:space="preserve">0704460798</t>
  </si>
  <si>
    <t xml:space="preserve">CUST100909</t>
  </si>
  <si>
    <t xml:space="preserve">juliet@sparklean.co.ke</t>
  </si>
  <si>
    <t xml:space="preserve">Diptesh Shah</t>
  </si>
  <si>
    <t xml:space="preserve">Spartan Relief Supplies Ltd</t>
  </si>
  <si>
    <t xml:space="preserve">sales@spartanrelief.com</t>
  </si>
  <si>
    <t xml:space="preserve">0726322565</t>
  </si>
  <si>
    <t xml:space="preserve">CUST100911</t>
  </si>
  <si>
    <t xml:space="preserve">Harish</t>
  </si>
  <si>
    <t xml:space="preserve">Hemal</t>
  </si>
  <si>
    <t xml:space="preserve">Hemal Gudhka</t>
  </si>
  <si>
    <t xml:space="preserve">Joshua n</t>
  </si>
  <si>
    <t xml:space="preserve">Speedex Logistics LTD</t>
  </si>
  <si>
    <t xml:space="preserve">accounts@speedexlogistics.com</t>
  </si>
  <si>
    <t xml:space="preserve">CUST102249</t>
  </si>
  <si>
    <t xml:space="preserve">info@speedexlogistica.com</t>
  </si>
  <si>
    <t xml:space="preserve">Irene Mankone</t>
  </si>
  <si>
    <t xml:space="preserve">Spic &amp; Span Cleaning Services Ltd</t>
  </si>
  <si>
    <t xml:space="preserve">spicspan.cleaning@yahoo.com</t>
  </si>
  <si>
    <t xml:space="preserve">0720530197</t>
  </si>
  <si>
    <t xml:space="preserve">CUST100914</t>
  </si>
  <si>
    <t xml:space="preserve">Cecilia Mbugua</t>
  </si>
  <si>
    <t xml:space="preserve">Sportsview Hotel Kasarani Ltd</t>
  </si>
  <si>
    <t xml:space="preserve">stores@sportsviewhotel.com</t>
  </si>
  <si>
    <t xml:space="preserve">0723008536</t>
  </si>
  <si>
    <t xml:space="preserve">CUST100915</t>
  </si>
  <si>
    <t xml:space="preserve">accounts@sportsviewhotel.com</t>
  </si>
  <si>
    <t xml:space="preserve">joseph Mutuku</t>
  </si>
  <si>
    <t xml:space="preserve">Spring Valley Coffee Roasters Limited</t>
  </si>
  <si>
    <t xml:space="preserve">joseph@springvalleycoffee.com</t>
  </si>
  <si>
    <t xml:space="preserve">0725222172</t>
  </si>
  <si>
    <t xml:space="preserve">CUST100916</t>
  </si>
  <si>
    <t xml:space="preserve">ezekiel@springvalleycoffee.com</t>
  </si>
  <si>
    <t xml:space="preserve">Ben Kimani</t>
  </si>
  <si>
    <t xml:space="preserve">St. Andrews School Turi</t>
  </si>
  <si>
    <t xml:space="preserve">ben.kimani@turimail.co.ke</t>
  </si>
  <si>
    <t xml:space="preserve">CUST100919</t>
  </si>
  <si>
    <t xml:space="preserve">Molo</t>
  </si>
  <si>
    <t xml:space="preserve">gidraph.anyembe@turimail.co.ke</t>
  </si>
  <si>
    <t xml:space="preserve">Mr. Grandruff</t>
  </si>
  <si>
    <t xml:space="preserve">officeprep@turimail.co.ke</t>
  </si>
  <si>
    <t xml:space="preserve">0722 209750</t>
  </si>
  <si>
    <t xml:space="preserve">Joshua Wandya</t>
  </si>
  <si>
    <t xml:space="preserve">St.Austins Academy</t>
  </si>
  <si>
    <t xml:space="preserve">jwandaya@staff.aslkenya.com</t>
  </si>
  <si>
    <t xml:space="preserve">0703586419</t>
  </si>
  <si>
    <t xml:space="preserve">CUST100921</t>
  </si>
  <si>
    <t xml:space="preserve">amutua@faculty.staustins.ac.ke</t>
  </si>
  <si>
    <t xml:space="preserve">Virginia Ndanu</t>
  </si>
  <si>
    <t xml:space="preserve">virginia@faculty.staustins.ac.ke</t>
  </si>
  <si>
    <t xml:space="preserve">0713860206</t>
  </si>
  <si>
    <t xml:space="preserve">Damaris</t>
  </si>
  <si>
    <t xml:space="preserve">Stanbic Bank Ltd</t>
  </si>
  <si>
    <t xml:space="preserve">020 3638306</t>
  </si>
  <si>
    <t xml:space="preserve">CUST100924</t>
  </si>
  <si>
    <t xml:space="preserve">otienow@stanbic.com</t>
  </si>
  <si>
    <t xml:space="preserve">Mathews Kangogo</t>
  </si>
  <si>
    <t xml:space="preserve">kangogom@stanbic.com</t>
  </si>
  <si>
    <t xml:space="preserve">0724514484</t>
  </si>
  <si>
    <t xml:space="preserve">William Otieno</t>
  </si>
  <si>
    <t xml:space="preserve">0722644421</t>
  </si>
  <si>
    <t xml:space="preserve">Jackson Baburam</t>
  </si>
  <si>
    <t xml:space="preserve">Standard Global E.A Ltd</t>
  </si>
  <si>
    <t xml:space="preserve">jackson.baburam@yahoo.com</t>
  </si>
  <si>
    <t xml:space="preserve">CUST100925</t>
  </si>
  <si>
    <t xml:space="preserve">cleve Shahonyo</t>
  </si>
  <si>
    <t xml:space="preserve">cleveshahonyo@gmail.com</t>
  </si>
  <si>
    <t xml:space="preserve">Mamba</t>
  </si>
  <si>
    <t xml:space="preserve">Starehe Girls' Centre</t>
  </si>
  <si>
    <t xml:space="preserve">stores@starehegirlscentre.co.ke</t>
  </si>
  <si>
    <t xml:space="preserve">0714375584</t>
  </si>
  <si>
    <t xml:space="preserve">CUST100926</t>
  </si>
  <si>
    <t xml:space="preserve">info@starehegirlscentre.co.ke</t>
  </si>
  <si>
    <t xml:space="preserve">Shamim Abdi</t>
  </si>
  <si>
    <t xml:space="preserve">Steak And Pancake Ltd</t>
  </si>
  <si>
    <t xml:space="preserve">info@cafebistro.co.ke</t>
  </si>
  <si>
    <t xml:space="preserve">0703272033</t>
  </si>
  <si>
    <t xml:space="preserve">CUST100928</t>
  </si>
  <si>
    <t xml:space="preserve">Geeta Kenya</t>
  </si>
  <si>
    <t xml:space="preserve">Stellato Mall Limited</t>
  </si>
  <si>
    <t xml:space="preserve">geeta@mitsumidistribution.com</t>
  </si>
  <si>
    <t xml:space="preserve">07562444429</t>
  </si>
  <si>
    <t xml:space="preserve">CUST100931</t>
  </si>
  <si>
    <t xml:space="preserve">samueal.m@mitsumidistribution.com</t>
  </si>
  <si>
    <t xml:space="preserve">Jane Mburu</t>
  </si>
  <si>
    <t xml:space="preserve">Stemain Solutions Ltd</t>
  </si>
  <si>
    <t xml:space="preserve">jnyokabi@stemainsolutions.com</t>
  </si>
  <si>
    <t xml:space="preserve">0719300387</t>
  </si>
  <si>
    <t xml:space="preserve">CUST100932</t>
  </si>
  <si>
    <t xml:space="preserve">Phylis Mbui</t>
  </si>
  <si>
    <t xml:space="preserve">pmbui@stemainsolutions.com</t>
  </si>
  <si>
    <t xml:space="preserve">+254 702 498118</t>
  </si>
  <si>
    <t xml:space="preserve">Henry Musau</t>
  </si>
  <si>
    <t xml:space="preserve">Stima Sacco Society Ltd</t>
  </si>
  <si>
    <t xml:space="preserve">hmusau@stima-sacco.com</t>
  </si>
  <si>
    <t xml:space="preserve">CUST100935</t>
  </si>
  <si>
    <t xml:space="preserve">info@stimasacco.com</t>
  </si>
  <si>
    <t xml:space="preserve">Moses Isutsa</t>
  </si>
  <si>
    <t xml:space="preserve">Stimal Office Supplies Ltd</t>
  </si>
  <si>
    <t xml:space="preserve">sales@stimal.co.ke</t>
  </si>
  <si>
    <t xml:space="preserve">0722712307</t>
  </si>
  <si>
    <t xml:space="preserve">CUST102300</t>
  </si>
  <si>
    <t xml:space="preserve">Margaret</t>
  </si>
  <si>
    <t xml:space="preserve">Strami Ltd</t>
  </si>
  <si>
    <t xml:space="preserve">stramiltd@gmail.com</t>
  </si>
  <si>
    <t xml:space="preserve">0722777960</t>
  </si>
  <si>
    <t xml:space="preserve">CUST100936</t>
  </si>
  <si>
    <t xml:space="preserve">Margaret Margaret</t>
  </si>
  <si>
    <t xml:space="preserve">Mariam Nzangi</t>
  </si>
  <si>
    <t xml:space="preserve">Strathmore University- Housekeeping</t>
  </si>
  <si>
    <t xml:space="preserve">mnzangi@strathmore.edu</t>
  </si>
  <si>
    <t xml:space="preserve">0703034120</t>
  </si>
  <si>
    <t xml:space="preserve">CUST100939</t>
  </si>
  <si>
    <t xml:space="preserve">Madaraka</t>
  </si>
  <si>
    <t xml:space="preserve">skimani@strathmore.edu</t>
  </si>
  <si>
    <t xml:space="preserve">miriam Nzangi</t>
  </si>
  <si>
    <t xml:space="preserve">0721662329</t>
  </si>
  <si>
    <t xml:space="preserve">Bipin Nathvani</t>
  </si>
  <si>
    <t xml:space="preserve">Subati Group Limited</t>
  </si>
  <si>
    <t xml:space="preserve">bipin@subatigroup.com</t>
  </si>
  <si>
    <t xml:space="preserve">CUST100940</t>
  </si>
  <si>
    <t xml:space="preserve">accounts@subatigroup.com</t>
  </si>
  <si>
    <t xml:space="preserve">Jay Varian</t>
  </si>
  <si>
    <t xml:space="preserve">Suhana Ventures Limited</t>
  </si>
  <si>
    <t xml:space="preserve">info@tdfgroup.co.ke</t>
  </si>
  <si>
    <t xml:space="preserve">CUST101459</t>
  </si>
  <si>
    <t xml:space="preserve">Caroline Kariuki</t>
  </si>
  <si>
    <t xml:space="preserve">Sun Developers Ltd - Golden Tulip</t>
  </si>
  <si>
    <t xml:space="preserve">ap@goldentulipwestlandsnairobi.com</t>
  </si>
  <si>
    <t xml:space="preserve">CUST100945</t>
  </si>
  <si>
    <t xml:space="preserve">Alex Guantai</t>
  </si>
  <si>
    <t xml:space="preserve">Sun Power Products Ltd</t>
  </si>
  <si>
    <t xml:space="preserve">purchasing2@brownscheese.com</t>
  </si>
  <si>
    <t xml:space="preserve">CUST100946</t>
  </si>
  <si>
    <t xml:space="preserve">purchasing@brownscheese.com</t>
  </si>
  <si>
    <t xml:space="preserve">Phineas Munene</t>
  </si>
  <si>
    <t xml:space="preserve">Pratima shah</t>
  </si>
  <si>
    <t xml:space="preserve">Suntrek Investments</t>
  </si>
  <si>
    <t xml:space="preserve">pratima@suntrek.co.ke</t>
  </si>
  <si>
    <t xml:space="preserve">0700405050</t>
  </si>
  <si>
    <t xml:space="preserve">CUST100952</t>
  </si>
  <si>
    <t xml:space="preserve">ashish@suntrek.co.ke</t>
  </si>
  <si>
    <t xml:space="preserve">Mr. Munene</t>
  </si>
  <si>
    <t xml:space="preserve">Superbroom Sevices Ltd</t>
  </si>
  <si>
    <t xml:space="preserve">info@superbroomc.com</t>
  </si>
  <si>
    <t xml:space="preserve">0724417366</t>
  </si>
  <si>
    <t xml:space="preserve">CUST100953</t>
  </si>
  <si>
    <t xml:space="preserve">super_broomc@yahoo.com</t>
  </si>
  <si>
    <t xml:space="preserve">Irene Kirai</t>
  </si>
  <si>
    <t xml:space="preserve">Superclean Shine Enterprise Limited</t>
  </si>
  <si>
    <t xml:space="preserve">info@supershine.com</t>
  </si>
  <si>
    <t xml:space="preserve">0738736784</t>
  </si>
  <si>
    <t xml:space="preserve">CUST100954</t>
  </si>
  <si>
    <t xml:space="preserve">Mbagathi Road</t>
  </si>
  <si>
    <t xml:space="preserve">SUPERCLEANSHINELTD@GMAIL.COM</t>
  </si>
  <si>
    <t xml:space="preserve">Abanus Aanus</t>
  </si>
  <si>
    <t xml:space="preserve">Taita Hills And Saltlick Wildlife Resort Ltd</t>
  </si>
  <si>
    <t xml:space="preserve">uacct@taitahillssafariresort.com</t>
  </si>
  <si>
    <t xml:space="preserve">0707616385</t>
  </si>
  <si>
    <t xml:space="preserve">CUST100963</t>
  </si>
  <si>
    <t xml:space="preserve">Voi</t>
  </si>
  <si>
    <t xml:space="preserve">julius-accts@taitahillssafariresort.com</t>
  </si>
  <si>
    <t xml:space="preserve">Hamadi Mwachangani</t>
  </si>
  <si>
    <t xml:space="preserve">hamadi@taitahillssafariresort.com</t>
  </si>
  <si>
    <t xml:space="preserve">0726166790</t>
  </si>
  <si>
    <t xml:space="preserve">Felister Njiru</t>
  </si>
  <si>
    <t xml:space="preserve">Tamia Ltd</t>
  </si>
  <si>
    <t xml:space="preserve">felister.njiru@tamia.co.ke</t>
  </si>
  <si>
    <t xml:space="preserve">CUST100964</t>
  </si>
  <si>
    <t xml:space="preserve">Kevin Abanja</t>
  </si>
  <si>
    <t xml:space="preserve">info@tamia.co.ke</t>
  </si>
  <si>
    <t xml:space="preserve">alfred Alfred</t>
  </si>
  <si>
    <t xml:space="preserve">Tarita Properties Ltd</t>
  </si>
  <si>
    <t xml:space="preserve">0724771823</t>
  </si>
  <si>
    <t xml:space="preserve">CUST103194</t>
  </si>
  <si>
    <t xml:space="preserve">araptoo1@gmail.com</t>
  </si>
  <si>
    <t xml:space="preserve">Dunson Kivandi</t>
  </si>
  <si>
    <t xml:space="preserve">Tarpo Industries Ltd</t>
  </si>
  <si>
    <t xml:space="preserve">dunson@tarpo.com</t>
  </si>
  <si>
    <t xml:space="preserve">0733335919</t>
  </si>
  <si>
    <t xml:space="preserve">CUST100968</t>
  </si>
  <si>
    <t xml:space="preserve">musau@tarpo.com</t>
  </si>
  <si>
    <t xml:space="preserve">Mary Mwaura</t>
  </si>
  <si>
    <t xml:space="preserve">Tatu City Limited</t>
  </si>
  <si>
    <t xml:space="preserve">marym@tatucity.com</t>
  </si>
  <si>
    <t xml:space="preserve">+254 20 5131 000</t>
  </si>
  <si>
    <t xml:space="preserve">CUST101914</t>
  </si>
  <si>
    <t xml:space="preserve">wngugi@tatucity.com</t>
  </si>
  <si>
    <t xml:space="preserve">Wilson Ngugi</t>
  </si>
  <si>
    <t xml:space="preserve">0703819431</t>
  </si>
  <si>
    <t xml:space="preserve">Florence Musyimi</t>
  </si>
  <si>
    <t xml:space="preserve">Tea Tot Hotel Ltd</t>
  </si>
  <si>
    <t xml:space="preserve">info@teatot.co.ke</t>
  </si>
  <si>
    <t xml:space="preserve">CUST100969</t>
  </si>
  <si>
    <t xml:space="preserve">Matthew Lino</t>
  </si>
  <si>
    <t xml:space="preserve">Techno Relief Services Ltd</t>
  </si>
  <si>
    <t xml:space="preserve">exim@technorelief.com</t>
  </si>
  <si>
    <t xml:space="preserve">0734793657</t>
  </si>
  <si>
    <t xml:space="preserve">CUST100972</t>
  </si>
  <si>
    <t xml:space="preserve">info@technorelief.com</t>
  </si>
  <si>
    <t xml:space="preserve">James Kiri</t>
  </si>
  <si>
    <t xml:space="preserve">Technoleo Solutions Limited</t>
  </si>
  <si>
    <t xml:space="preserve">james@technoleo.net</t>
  </si>
  <si>
    <t xml:space="preserve">0720935515</t>
  </si>
  <si>
    <t xml:space="preserve">CUST100973</t>
  </si>
  <si>
    <t xml:space="preserve">Susan Munene</t>
  </si>
  <si>
    <t xml:space="preserve">Technoserve</t>
  </si>
  <si>
    <t xml:space="preserve">smunene@tns.org</t>
  </si>
  <si>
    <t xml:space="preserve">0782211566</t>
  </si>
  <si>
    <t xml:space="preserve">CUST100974</t>
  </si>
  <si>
    <t xml:space="preserve">Beatrice Kuria</t>
  </si>
  <si>
    <t xml:space="preserve">Tembuland Ltd C/O Knight Frank</t>
  </si>
  <si>
    <t xml:space="preserve">Beatrice.Kuria@ke.knightfrank.com</t>
  </si>
  <si>
    <t xml:space="preserve">CUST100976</t>
  </si>
  <si>
    <t xml:space="preserve">brenda.busienei@ke.knightfrank.com</t>
  </si>
  <si>
    <t xml:space="preserve">Benard Sang</t>
  </si>
  <si>
    <t xml:space="preserve">Tenwek Hospital</t>
  </si>
  <si>
    <t xml:space="preserve">benard.sang@tenwekhosp.org</t>
  </si>
  <si>
    <t xml:space="preserve">0722221500</t>
  </si>
  <si>
    <t xml:space="preserve">CUST100977</t>
  </si>
  <si>
    <t xml:space="preserve">weldon.kigen@tenwekhosp.org</t>
  </si>
  <si>
    <t xml:space="preserve">Edgar Kiprotich</t>
  </si>
  <si>
    <t xml:space="preserve">edgar.kiprotich@tenwekhosp.org</t>
  </si>
  <si>
    <t xml:space="preserve">0729586889</t>
  </si>
  <si>
    <t xml:space="preserve">Khadija Mohamed</t>
  </si>
  <si>
    <t xml:space="preserve">Thames Tana Ltd</t>
  </si>
  <si>
    <t xml:space="preserve">khadija.mohamed.churchill@gmail.com</t>
  </si>
  <si>
    <t xml:space="preserve">CUST100979</t>
  </si>
  <si>
    <t xml:space="preserve">David Okumu</t>
  </si>
  <si>
    <t xml:space="preserve">The AECF</t>
  </si>
  <si>
    <t xml:space="preserve">dokumu@aecfafrica.org</t>
  </si>
  <si>
    <t xml:space="preserve">CUST100981</t>
  </si>
  <si>
    <t xml:space="preserve">info@aecfafrica.org</t>
  </si>
  <si>
    <t xml:space="preserve">Caroline Yatich</t>
  </si>
  <si>
    <t xml:space="preserve">The African Academy Of Sciences</t>
  </si>
  <si>
    <t xml:space="preserve">c.yatich@aasciences.africa</t>
  </si>
  <si>
    <t xml:space="preserve">0709158102</t>
  </si>
  <si>
    <t xml:space="preserve">CUST100982</t>
  </si>
  <si>
    <t xml:space="preserve">g.musyoki@aasciences.africa</t>
  </si>
  <si>
    <t xml:space="preserve">Paul Meme</t>
  </si>
  <si>
    <t xml:space="preserve">The Alba Hotels Ltd</t>
  </si>
  <si>
    <t xml:space="preserve">accounts@albahotels.co.ke</t>
  </si>
  <si>
    <t xml:space="preserve">0726222733</t>
  </si>
  <si>
    <t xml:space="preserve">CUST100983</t>
  </si>
  <si>
    <t xml:space="preserve">pmeme@albahotels.co.ke</t>
  </si>
  <si>
    <t xml:space="preserve">Leah Chege</t>
  </si>
  <si>
    <t xml:space="preserve">The Alps Hotel Nakuru</t>
  </si>
  <si>
    <t xml:space="preserve">leah.chege@thealpshotelnakuru.com</t>
  </si>
  <si>
    <t xml:space="preserve">CUST100984</t>
  </si>
  <si>
    <t xml:space="preserve">Sarah Naserian</t>
  </si>
  <si>
    <t xml:space="preserve">The Banda School</t>
  </si>
  <si>
    <t xml:space="preserve">s.naserian@bandaschool.com</t>
  </si>
  <si>
    <t xml:space="preserve">0724232162</t>
  </si>
  <si>
    <t xml:space="preserve">CUST100985</t>
  </si>
  <si>
    <t xml:space="preserve">finance@bandaschool.com</t>
  </si>
  <si>
    <t xml:space="preserve">Gideon Koech</t>
  </si>
  <si>
    <t xml:space="preserve">The British Council</t>
  </si>
  <si>
    <t xml:space="preserve">gideon.koech@britishcouncil.or.ke</t>
  </si>
  <si>
    <t xml:space="preserve">CUST100988</t>
  </si>
  <si>
    <t xml:space="preserve">Margaret Waithera</t>
  </si>
  <si>
    <t xml:space="preserve">The Concord Hotel &amp; Suites</t>
  </si>
  <si>
    <t xml:space="preserve">procurement@theconcordhotels.com</t>
  </si>
  <si>
    <t xml:space="preserve">+254711111333</t>
  </si>
  <si>
    <t xml:space="preserve">CUST100990</t>
  </si>
  <si>
    <t xml:space="preserve">zara@theconcordhotels.com</t>
  </si>
  <si>
    <t xml:space="preserve">accounts@theconcordhotels.com</t>
  </si>
  <si>
    <t xml:space="preserve">Maggy</t>
  </si>
  <si>
    <t xml:space="preserve">The Cradle Hotel</t>
  </si>
  <si>
    <t xml:space="preserve">CUST100991</t>
  </si>
  <si>
    <t xml:space="preserve">thecradlecamp@gmail.com</t>
  </si>
  <si>
    <t xml:space="preserve">Margaret katembo</t>
  </si>
  <si>
    <t xml:space="preserve">catherine Kamau</t>
  </si>
  <si>
    <t xml:space="preserve">The Ford Foundation</t>
  </si>
  <si>
    <t xml:space="preserve">c.kamau@fordfoundation.org</t>
  </si>
  <si>
    <t xml:space="preserve">0724407680</t>
  </si>
  <si>
    <t xml:space="preserve">CUST100992</t>
  </si>
  <si>
    <t xml:space="preserve">r.abdallah@fordfoundation.org</t>
  </si>
  <si>
    <t xml:space="preserve">Daniel Mugo</t>
  </si>
  <si>
    <t xml:space="preserve">The Garden &amp; Wedding Centre Ltd</t>
  </si>
  <si>
    <t xml:space="preserve">mugodg@gmail.com</t>
  </si>
  <si>
    <t xml:space="preserve">CUST100993</t>
  </si>
  <si>
    <t xml:space="preserve">Bernadette Muithya</t>
  </si>
  <si>
    <t xml:space="preserve">The Jubilee Life Insurance LTD</t>
  </si>
  <si>
    <t xml:space="preserve">bernadette.muithya@jubileekenya.com</t>
  </si>
  <si>
    <t xml:space="preserve">CUST100995</t>
  </si>
  <si>
    <t xml:space="preserve">pamela.shitoshe@jubileekenya.com</t>
  </si>
  <si>
    <t xml:space="preserve">Rehema Maena</t>
  </si>
  <si>
    <t xml:space="preserve">The Junction Ltd C/O Knight Frank</t>
  </si>
  <si>
    <t xml:space="preserve">rehema.maena@ke.knightfrank.com</t>
  </si>
  <si>
    <t xml:space="preserve">CUST100996</t>
  </si>
  <si>
    <t xml:space="preserve">Boniface Matata</t>
  </si>
  <si>
    <t xml:space="preserve">The Kca University</t>
  </si>
  <si>
    <t xml:space="preserve">matata@kca.ac.ke</t>
  </si>
  <si>
    <t xml:space="preserve">0731780513</t>
  </si>
  <si>
    <t xml:space="preserve">CUST100997</t>
  </si>
  <si>
    <t xml:space="preserve">kyengo@kcau.ac.ke</t>
  </si>
  <si>
    <t xml:space="preserve">Andrew Mutuku</t>
  </si>
  <si>
    <t xml:space="preserve">The Kyaka Hotel</t>
  </si>
  <si>
    <t xml:space="preserve">accounts@thekyakahotel.co.ke</t>
  </si>
  <si>
    <t xml:space="preserve">0736459412</t>
  </si>
  <si>
    <t xml:space="preserve">CUST100999</t>
  </si>
  <si>
    <t xml:space="preserve">accounts@thekyakahotel.co.ke; Procurement@thekyakahotel.co.ke</t>
  </si>
  <si>
    <t xml:space="preserve">Benedict Makumbi</t>
  </si>
  <si>
    <t xml:space="preserve">procurement@thekyakahotel.co.ke</t>
  </si>
  <si>
    <t xml:space="preserve">0724718747</t>
  </si>
  <si>
    <t xml:space="preserve">Chao Mwadime</t>
  </si>
  <si>
    <t xml:space="preserve">manager@thekyakahotel.co.ke</t>
  </si>
  <si>
    <t xml:space="preserve">0721745051</t>
  </si>
  <si>
    <t xml:space="preserve">Judy Ndirangu</t>
  </si>
  <si>
    <t xml:space="preserve">housekeeper@thekyakahotel.co.ke</t>
  </si>
  <si>
    <t xml:space="preserve">0723252566</t>
  </si>
  <si>
    <t xml:space="preserve">Hermant Patel</t>
  </si>
  <si>
    <t xml:space="preserve">The Lazizi Premiere Ltd</t>
  </si>
  <si>
    <t xml:space="preserve">info@thelazizihotels.com</t>
  </si>
  <si>
    <t xml:space="preserve">CUST101000</t>
  </si>
  <si>
    <t xml:space="preserve">rebecca.michoki@crowneplazanairobiairport.com</t>
  </si>
  <si>
    <t xml:space="preserve">Alice Wambeti</t>
  </si>
  <si>
    <t xml:space="preserve">The Local Grill Kenya Ltd</t>
  </si>
  <si>
    <t xml:space="preserve">alicewambeti@yahoo.com</t>
  </si>
  <si>
    <t xml:space="preserve">0724873408</t>
  </si>
  <si>
    <t xml:space="preserve">CUST101002</t>
  </si>
  <si>
    <t xml:space="preserve">Steve Steve</t>
  </si>
  <si>
    <t xml:space="preserve">The Mombasa Hospital</t>
  </si>
  <si>
    <t xml:space="preserve">0713556261</t>
  </si>
  <si>
    <t xml:space="preserve">CUST101004</t>
  </si>
  <si>
    <t xml:space="preserve">creditors@mombasahospital.com</t>
  </si>
  <si>
    <t xml:space="preserve">Steve steve</t>
  </si>
  <si>
    <t xml:space="preserve">usha Usha</t>
  </si>
  <si>
    <t xml:space="preserve">usha@mombasahospital.com</t>
  </si>
  <si>
    <t xml:space="preserve">0721349703</t>
  </si>
  <si>
    <t xml:space="preserve">Trizah Nyaoro</t>
  </si>
  <si>
    <t xml:space="preserve">The Monarch Insurance Co. Ltd</t>
  </si>
  <si>
    <t xml:space="preserve">tnyaoro@monarchinsurance.co.ke</t>
  </si>
  <si>
    <t xml:space="preserve">CUST101005</t>
  </si>
  <si>
    <t xml:space="preserve">pkinyanjui@monarchinsurance.co.ke</t>
  </si>
  <si>
    <t xml:space="preserve">Faith Chepngeno</t>
  </si>
  <si>
    <t xml:space="preserve">The Nairobi Hospital</t>
  </si>
  <si>
    <t xml:space="preserve">faithngeno@nbihosp.org</t>
  </si>
  <si>
    <t xml:space="preserve">254 703082000</t>
  </si>
  <si>
    <t xml:space="preserve">CUST101006</t>
  </si>
  <si>
    <t xml:space="preserve">festuslangat@nbihosp.org</t>
  </si>
  <si>
    <t xml:space="preserve">Festus Langat</t>
  </si>
  <si>
    <t xml:space="preserve">Isaac Mosiori</t>
  </si>
  <si>
    <t xml:space="preserve">The Nairobi Women's Hospital</t>
  </si>
  <si>
    <t xml:space="preserve">Isaac.mosioro@nwch.co.ke</t>
  </si>
  <si>
    <t xml:space="preserve">0713600785</t>
  </si>
  <si>
    <t xml:space="preserve">CUST101801</t>
  </si>
  <si>
    <t xml:space="preserve">wycliffe.moindi@nwch.co.ke</t>
  </si>
  <si>
    <t xml:space="preserve">Stephen Alusa</t>
  </si>
  <si>
    <t xml:space="preserve">stephen.alusa@nwch.co.ke</t>
  </si>
  <si>
    <t xml:space="preserve">0725230133</t>
  </si>
  <si>
    <t xml:space="preserve">Rose Mwangi</t>
  </si>
  <si>
    <t xml:space="preserve">The Nest Boutique Hotel Ltd</t>
  </si>
  <si>
    <t xml:space="preserve">stores@nestbotiquehotel.com</t>
  </si>
  <si>
    <t xml:space="preserve">0722621072</t>
  </si>
  <si>
    <t xml:space="preserve">CUST102717</t>
  </si>
  <si>
    <t xml:space="preserve">info@thenestboutiquehotel.com</t>
  </si>
  <si>
    <t xml:space="preserve">Roselyne Makena</t>
  </si>
  <si>
    <t xml:space="preserve">The Neviane Limited</t>
  </si>
  <si>
    <t xml:space="preserve">makena@thenevianltd.com</t>
  </si>
  <si>
    <t xml:space="preserve">CUST101007</t>
  </si>
  <si>
    <t xml:space="preserve">neviane.limited@gmail.com</t>
  </si>
  <si>
    <t xml:space="preserve">Christine Mwai</t>
  </si>
  <si>
    <t xml:space="preserve">The Ninety Group Ltd</t>
  </si>
  <si>
    <t xml:space="preserve">theninetygroup@gmail.com</t>
  </si>
  <si>
    <t xml:space="preserve">0721 262317</t>
  </si>
  <si>
    <t xml:space="preserve">CUST101008</t>
  </si>
  <si>
    <t xml:space="preserve">Roselyn Masibai</t>
  </si>
  <si>
    <t xml:space="preserve">The Panari Resort Nyahururu</t>
  </si>
  <si>
    <t xml:space="preserve">purchasing@panarihotels.com</t>
  </si>
  <si>
    <t xml:space="preserve">CUST101010</t>
  </si>
  <si>
    <t xml:space="preserve">purchasing@panariresort.com</t>
  </si>
  <si>
    <t xml:space="preserve">Kenneth Ngure</t>
  </si>
  <si>
    <t xml:space="preserve">The Real Ipm Company Kenya Ltd</t>
  </si>
  <si>
    <t xml:space="preserve">kenneth.ngure@biobestgroup.com</t>
  </si>
  <si>
    <t xml:space="preserve">CUST101011</t>
  </si>
  <si>
    <t xml:space="preserve">kenneth.ngure@biobestgroup.com; mary.mirigo@biobestgroup.com</t>
  </si>
  <si>
    <t xml:space="preserve">Mary Mirigo</t>
  </si>
  <si>
    <t xml:space="preserve">Mary.Mirigo@biobestgroup.com</t>
  </si>
  <si>
    <t xml:space="preserve">0711990802</t>
  </si>
  <si>
    <t xml:space="preserve">amos Okema</t>
  </si>
  <si>
    <t xml:space="preserve">The River Cafe Ltd</t>
  </si>
  <si>
    <t xml:space="preserve">purchasing@therivercafekenya.com</t>
  </si>
  <si>
    <t xml:space="preserve">CUST101012</t>
  </si>
  <si>
    <t xml:space="preserve">sophie@therosslyncentre.com</t>
  </si>
  <si>
    <t xml:space="preserve">Madam Sylvia</t>
  </si>
  <si>
    <t xml:space="preserve">The Smith Bar &amp; Restaurant Ltd</t>
  </si>
  <si>
    <t xml:space="preserve">sylvia@thesmithhotels.co.ke</t>
  </si>
  <si>
    <t xml:space="preserve">0726288817</t>
  </si>
  <si>
    <t xml:space="preserve">CUST101015</t>
  </si>
  <si>
    <t xml:space="preserve">womondi@thesmithhotels.co.ke</t>
  </si>
  <si>
    <t xml:space="preserve">Danson Mwangi</t>
  </si>
  <si>
    <t xml:space="preserve">The Stanley Hotel</t>
  </si>
  <si>
    <t xml:space="preserve">danson.mwangi@sarovahotels.com</t>
  </si>
  <si>
    <t xml:space="preserve">CUST101017</t>
  </si>
  <si>
    <t xml:space="preserve">Jenniffer</t>
  </si>
  <si>
    <t xml:space="preserve">0719 048000</t>
  </si>
  <si>
    <t xml:space="preserve">Esleen Wanjiku</t>
  </si>
  <si>
    <t xml:space="preserve">Thika Sports Club</t>
  </si>
  <si>
    <t xml:space="preserve">thikasportsclub@gmail.com</t>
  </si>
  <si>
    <t xml:space="preserve">0708453739</t>
  </si>
  <si>
    <t xml:space="preserve">CUST101020</t>
  </si>
  <si>
    <t xml:space="preserve">bethwgikura@gmail.com</t>
  </si>
  <si>
    <t xml:space="preserve">accountant@thikasportsclub.co.ke</t>
  </si>
  <si>
    <t xml:space="preserve">Thomas Kariuki</t>
  </si>
  <si>
    <t xml:space="preserve">Tigoni Grown Ltd</t>
  </si>
  <si>
    <t xml:space="preserve">thomas.kariuki@tigonigrown.com</t>
  </si>
  <si>
    <t xml:space="preserve">CUST101394</t>
  </si>
  <si>
    <t xml:space="preserve">Rosemary Njari</t>
  </si>
  <si>
    <t xml:space="preserve">Tigoni Study Centre</t>
  </si>
  <si>
    <t xml:space="preserve">tigonistudycentre@gmail.com</t>
  </si>
  <si>
    <t xml:space="preserve">CUST101022</t>
  </si>
  <si>
    <t xml:space="preserve">Robert Ngugi</t>
  </si>
  <si>
    <t xml:space="preserve">Tile &amp; Carpet Centre Ltd</t>
  </si>
  <si>
    <t xml:space="preserve">ngugim@tilecentre.com</t>
  </si>
  <si>
    <t xml:space="preserve">CUST101023</t>
  </si>
  <si>
    <t xml:space="preserve">danm@tilecentre.com</t>
  </si>
  <si>
    <t xml:space="preserve">George Wambua</t>
  </si>
  <si>
    <t xml:space="preserve">Tipilikwani Mara Camp Limited</t>
  </si>
  <si>
    <t xml:space="preserve">procurement@atua-enkop.com</t>
  </si>
  <si>
    <t xml:space="preserve">0704861409</t>
  </si>
  <si>
    <t xml:space="preserve">CUST101025</t>
  </si>
  <si>
    <t xml:space="preserve">accounts2@atua-enkop.com</t>
  </si>
  <si>
    <t xml:space="preserve">collins Koril</t>
  </si>
  <si>
    <t xml:space="preserve">Top Image Cleaning Services Ltd</t>
  </si>
  <si>
    <t xml:space="preserve">topimageke@gmail.com</t>
  </si>
  <si>
    <t xml:space="preserve">0727310652</t>
  </si>
  <si>
    <t xml:space="preserve">CUST101031</t>
  </si>
  <si>
    <t xml:space="preserve">topimageke@gmail.com; info@topimagecleaners.com</t>
  </si>
  <si>
    <t xml:space="preserve">Isaac Kamau</t>
  </si>
  <si>
    <t xml:space="preserve">Torrent East Africa Ltd</t>
  </si>
  <si>
    <t xml:space="preserve">info_ke@torrentclosures.com</t>
  </si>
  <si>
    <t xml:space="preserve">0799031044</t>
  </si>
  <si>
    <t xml:space="preserve">CUST101032</t>
  </si>
  <si>
    <t xml:space="preserve">s.njuguna@torrentclosures.com</t>
  </si>
  <si>
    <t xml:space="preserve">Susan T</t>
  </si>
  <si>
    <t xml:space="preserve">Total Touch Cargo Ltd</t>
  </si>
  <si>
    <t xml:space="preserve">admin@totaltouch-cargo.com</t>
  </si>
  <si>
    <t xml:space="preserve">0722700411</t>
  </si>
  <si>
    <t xml:space="preserve">CUST101034</t>
  </si>
  <si>
    <t xml:space="preserve">ttc@totaltouch-cargo.com</t>
  </si>
  <si>
    <t xml:space="preserve">Alphonce Omandi</t>
  </si>
  <si>
    <t xml:space="preserve">Tracos Limited</t>
  </si>
  <si>
    <t xml:space="preserve">info@tracosltd.com</t>
  </si>
  <si>
    <t xml:space="preserve">0719390039</t>
  </si>
  <si>
    <t xml:space="preserve">CUST101530</t>
  </si>
  <si>
    <t xml:space="preserve">tracos2019@gmail.com</t>
  </si>
  <si>
    <t xml:space="preserve">Fred Mwangi</t>
  </si>
  <si>
    <t xml:space="preserve">Trade House Africa Ltd</t>
  </si>
  <si>
    <t xml:space="preserve">operations@tradehouse.co.ke</t>
  </si>
  <si>
    <t xml:space="preserve">0731788093</t>
  </si>
  <si>
    <t xml:space="preserve">CUST101035</t>
  </si>
  <si>
    <t xml:space="preserve">info@tradehouse.co.ke</t>
  </si>
  <si>
    <t xml:space="preserve">salescordinator@tradehouse.co.ke</t>
  </si>
  <si>
    <t xml:space="preserve">Jael Njoki</t>
  </si>
  <si>
    <t xml:space="preserve">Trans Business Machines Ltd</t>
  </si>
  <si>
    <t xml:space="preserve">jnjoki@tbm.co.ke</t>
  </si>
  <si>
    <t xml:space="preserve">CUST101038</t>
  </si>
  <si>
    <t xml:space="preserve">0202908000</t>
  </si>
  <si>
    <t xml:space="preserve">Charity Kagina</t>
  </si>
  <si>
    <t xml:space="preserve">Transcentury Ltd</t>
  </si>
  <si>
    <t xml:space="preserve">charity@transcentury.co.ke</t>
  </si>
  <si>
    <t xml:space="preserve">0722721572</t>
  </si>
  <si>
    <t xml:space="preserve">CUST101439</t>
  </si>
  <si>
    <t xml:space="preserve">Adam Samji</t>
  </si>
  <si>
    <t xml:space="preserve">Tribe 44 Limited</t>
  </si>
  <si>
    <t xml:space="preserve">0738-600437</t>
  </si>
  <si>
    <t xml:space="preserve">CUST101040</t>
  </si>
  <si>
    <t xml:space="preserve">Fredrick Omondi</t>
  </si>
  <si>
    <t xml:space="preserve">Tribe Hotel Ltd</t>
  </si>
  <si>
    <t xml:space="preserve">creditors1@tribehotel-kenya.com</t>
  </si>
  <si>
    <t xml:space="preserve">CUST101041</t>
  </si>
  <si>
    <t xml:space="preserve">saccounts@tribehotelsgroup.com</t>
  </si>
  <si>
    <t xml:space="preserve">Janeffer Waime</t>
  </si>
  <si>
    <t xml:space="preserve">purchasing@tribehotelsgroup.com</t>
  </si>
  <si>
    <t xml:space="preserve">Joan Metto</t>
  </si>
  <si>
    <t xml:space="preserve">receiving@tribehotel-kenya.com</t>
  </si>
  <si>
    <t xml:space="preserve">0751439885</t>
  </si>
  <si>
    <t xml:space="preserve">purchasingofficer@tribehotelsgroup.com</t>
  </si>
  <si>
    <t xml:space="preserve">+254 732 186 000</t>
  </si>
  <si>
    <t xml:space="preserve">Michael Ondir</t>
  </si>
  <si>
    <t xml:space="preserve">accounts@tribehotelsgroup.com</t>
  </si>
  <si>
    <t xml:space="preserve">0715698299</t>
  </si>
  <si>
    <t xml:space="preserve">Ann Njuguna</t>
  </si>
  <si>
    <t xml:space="preserve">Tripple O'S Hotel</t>
  </si>
  <si>
    <t xml:space="preserve">trippleoshotel@gmail.com</t>
  </si>
  <si>
    <t xml:space="preserve">CUST101046</t>
  </si>
  <si>
    <t xml:space="preserve">info@trippleoshotel.com</t>
  </si>
  <si>
    <t xml:space="preserve">Betty Kiseli</t>
  </si>
  <si>
    <t xml:space="preserve">Tropical Hub</t>
  </si>
  <si>
    <t xml:space="preserve">tropicalhubfirm@gmail.com</t>
  </si>
  <si>
    <t xml:space="preserve">0716482681</t>
  </si>
  <si>
    <t xml:space="preserve">CUST101460</t>
  </si>
  <si>
    <t xml:space="preserve">bettlewanza@gmail.com</t>
  </si>
  <si>
    <t xml:space="preserve">Maureen Maureen</t>
  </si>
  <si>
    <t xml:space="preserve">Tuffsteel Limited</t>
  </si>
  <si>
    <t xml:space="preserve">stores@tuffsteel.co.ke</t>
  </si>
  <si>
    <t xml:space="preserve">0708919191</t>
  </si>
  <si>
    <t xml:space="preserve">CUST101881</t>
  </si>
  <si>
    <t xml:space="preserve">purchase@tuffsteel.co.ke</t>
  </si>
  <si>
    <t xml:space="preserve">Mohammed Babu</t>
  </si>
  <si>
    <t xml:space="preserve">Turtle Bay Hotel</t>
  </si>
  <si>
    <t xml:space="preserve">purchasing@turtlebayhotel.co.ke</t>
  </si>
  <si>
    <t xml:space="preserve">0795577852</t>
  </si>
  <si>
    <t xml:space="preserve">CUST101492</t>
  </si>
  <si>
    <t xml:space="preserve">Malindi</t>
  </si>
  <si>
    <t xml:space="preserve">accounts@turtlebay.co.ke</t>
  </si>
  <si>
    <t xml:space="preserve">Onesmus Onesmus</t>
  </si>
  <si>
    <t xml:space="preserve">0796881043</t>
  </si>
  <si>
    <t xml:space="preserve">Peter peter</t>
  </si>
  <si>
    <t xml:space="preserve">0711793771</t>
  </si>
  <si>
    <t xml:space="preserve">Maggie Mburu</t>
  </si>
  <si>
    <t xml:space="preserve">Two Rivers Lifestyle Centre Ltd</t>
  </si>
  <si>
    <t xml:space="preserve">m.mburu@tworivers.co.ke</t>
  </si>
  <si>
    <t xml:space="preserve">0721323943</t>
  </si>
  <si>
    <t xml:space="preserve">CUST101042</t>
  </si>
  <si>
    <t xml:space="preserve">Alice Wanjiku</t>
  </si>
  <si>
    <t xml:space="preserve">Two Ways Africa Ltd</t>
  </si>
  <si>
    <t xml:space="preserve">twowaysafrica4@gmail.com</t>
  </si>
  <si>
    <t xml:space="preserve">0736008420</t>
  </si>
  <si>
    <t xml:space="preserve">CUST101054</t>
  </si>
  <si>
    <t xml:space="preserve">Getrude Wanjira</t>
  </si>
  <si>
    <t xml:space="preserve">Umash Funeral Services Ltd</t>
  </si>
  <si>
    <t xml:space="preserve">info@umash.co.ke</t>
  </si>
  <si>
    <t xml:space="preserve">0722524615</t>
  </si>
  <si>
    <t xml:space="preserve">CUST101058</t>
  </si>
  <si>
    <t xml:space="preserve">Leonard Otieno</t>
  </si>
  <si>
    <t xml:space="preserve">Umoja Projects</t>
  </si>
  <si>
    <t xml:space="preserve">leonardotieno66@yahoo.com</t>
  </si>
  <si>
    <t xml:space="preserve">CUST101059</t>
  </si>
  <si>
    <t xml:space="preserve">Umoja</t>
  </si>
  <si>
    <t xml:space="preserve">Unipro</t>
  </si>
  <si>
    <t xml:space="preserve">Unipro Limited</t>
  </si>
  <si>
    <t xml:space="preserve">CUST101448</t>
  </si>
  <si>
    <t xml:space="preserve">info@unipro.co.ke</t>
  </si>
  <si>
    <t xml:space="preserve">Leonard Nambubi</t>
  </si>
  <si>
    <t xml:space="preserve">United States Embassy Nairobi</t>
  </si>
  <si>
    <t xml:space="preserve">nambubilo@state.gov</t>
  </si>
  <si>
    <t xml:space="preserve">+254 712 532 064</t>
  </si>
  <si>
    <t xml:space="preserve">CUST101065</t>
  </si>
  <si>
    <t xml:space="preserve">nairobipayables@state.gov</t>
  </si>
  <si>
    <t xml:space="preserve">ALI KHAN</t>
  </si>
  <si>
    <t xml:space="preserve">VMX Fitness Ltd</t>
  </si>
  <si>
    <t xml:space="preserve">alykhan@vmx-fitness.com</t>
  </si>
  <si>
    <t xml:space="preserve">0737190006</t>
  </si>
  <si>
    <t xml:space="preserve">CUST101890</t>
  </si>
  <si>
    <t xml:space="preserve">Village Market</t>
  </si>
  <si>
    <t xml:space="preserve">soha@centurycitykenya.com</t>
  </si>
  <si>
    <t xml:space="preserve">VMX Fitness VMX Fitness</t>
  </si>
  <si>
    <t xml:space="preserve">Vallarine Akinyi</t>
  </si>
  <si>
    <t xml:space="preserve">0707348077</t>
  </si>
  <si>
    <t xml:space="preserve">Gladys Kerich</t>
  </si>
  <si>
    <t xml:space="preserve">Van Woustraat Limited</t>
  </si>
  <si>
    <t xml:space="preserve">gladys.kerich@vwt.co.ke</t>
  </si>
  <si>
    <t xml:space="preserve">CUST101067</t>
  </si>
  <si>
    <t xml:space="preserve">Nelson Wafula</t>
  </si>
  <si>
    <t xml:space="preserve">Vector Aerospace</t>
  </si>
  <si>
    <t xml:space="preserve">nelson.wafula@standardaero.com</t>
  </si>
  <si>
    <t xml:space="preserve">CUST101520</t>
  </si>
  <si>
    <t xml:space="preserve">Vert Ltd</t>
  </si>
  <si>
    <t xml:space="preserve">vert-mgtaccts@verltd.co.ke</t>
  </si>
  <si>
    <t xml:space="preserve">0723743335</t>
  </si>
  <si>
    <t xml:space="preserve">CUST101882</t>
  </si>
  <si>
    <t xml:space="preserve">accounts@vertltd.co.ke</t>
  </si>
  <si>
    <t xml:space="preserve">Jamime Jamime</t>
  </si>
  <si>
    <t xml:space="preserve">Victoria Technical Enterprises Ltd</t>
  </si>
  <si>
    <t xml:space="preserve">0722841061</t>
  </si>
  <si>
    <t xml:space="preserve">CUST101072</t>
  </si>
  <si>
    <t xml:space="preserve">jemima.undisa@yahoo.com</t>
  </si>
  <si>
    <t xml:space="preserve">Jemima Undisa</t>
  </si>
  <si>
    <t xml:space="preserve">Victoria technical Victoria Technical</t>
  </si>
  <si>
    <t xml:space="preserve">Esther Nganga</t>
  </si>
  <si>
    <t xml:space="preserve">Viewers Park Hotel</t>
  </si>
  <si>
    <t xml:space="preserve">viewersparkhotel@gmail.com</t>
  </si>
  <si>
    <t xml:space="preserve">CUST101073</t>
  </si>
  <si>
    <t xml:space="preserve">Cyrus Mwangi</t>
  </si>
  <si>
    <t xml:space="preserve">Villa Rosa Kempinski C/O Simba Colt Ltd</t>
  </si>
  <si>
    <t xml:space="preserve">cyrus.mwangi@kempinski.com</t>
  </si>
  <si>
    <t xml:space="preserve">CUST101075</t>
  </si>
  <si>
    <t xml:space="preserve">joy.cherotich@kempinski.com</t>
  </si>
  <si>
    <t xml:space="preserve">Jackson Oleputuai</t>
  </si>
  <si>
    <t xml:space="preserve">jackson.oleputuai@kempinski.com</t>
  </si>
  <si>
    <t xml:space="preserve">0721654815</t>
  </si>
  <si>
    <t xml:space="preserve">Judith Amakobe</t>
  </si>
  <si>
    <t xml:space="preserve">judith.amakobe@kempinski.com</t>
  </si>
  <si>
    <t xml:space="preserve">0719159137</t>
  </si>
  <si>
    <t xml:space="preserve">Maureen Muthoni</t>
  </si>
  <si>
    <t xml:space="preserve">Village Mastars Limited</t>
  </si>
  <si>
    <t xml:space="preserve">vmastars@gmail.com</t>
  </si>
  <si>
    <t xml:space="preserve">0707525924</t>
  </si>
  <si>
    <t xml:space="preserve">CUST101467</t>
  </si>
  <si>
    <t xml:space="preserve">info@villagemastarslimited.co.ke</t>
  </si>
  <si>
    <t xml:space="preserve">Salome</t>
  </si>
  <si>
    <t xml:space="preserve">0728237960</t>
  </si>
  <si>
    <t xml:space="preserve">Otieno Kopiyo</t>
  </si>
  <si>
    <t xml:space="preserve">Vinstar Express Supplies LTD</t>
  </si>
  <si>
    <t xml:space="preserve">otienokopiyo41@yahoo.com</t>
  </si>
  <si>
    <t xml:space="preserve">CUST101806</t>
  </si>
  <si>
    <t xml:space="preserve">Mital Velani</t>
  </si>
  <si>
    <t xml:space="preserve">Viva Healthcare Limited</t>
  </si>
  <si>
    <t xml:space="preserve">mitalvelani@vivahealthcare.org</t>
  </si>
  <si>
    <t xml:space="preserve">CUST101078</t>
  </si>
  <si>
    <t xml:space="preserve">Duncan Karuri</t>
  </si>
  <si>
    <t xml:space="preserve">Vivo Energy Kenya Limited</t>
  </si>
  <si>
    <t xml:space="preserve">duncan.karuri@vivoenergy.com</t>
  </si>
  <si>
    <t xml:space="preserve">CUST101851</t>
  </si>
  <si>
    <t xml:space="preserve">sandra.mutua@vivoenergy.com</t>
  </si>
  <si>
    <t xml:space="preserve">Haroon Armaan</t>
  </si>
  <si>
    <t xml:space="preserve">armaan.haroon@vivoenergy.com</t>
  </si>
  <si>
    <t xml:space="preserve">0708712655</t>
  </si>
  <si>
    <t xml:space="preserve">Walter bombe</t>
  </si>
  <si>
    <t xml:space="preserve">Walbon Enterprises</t>
  </si>
  <si>
    <t xml:space="preserve">walbonenterprises@gmail.com</t>
  </si>
  <si>
    <t xml:space="preserve">0711133610</t>
  </si>
  <si>
    <t xml:space="preserve">CUST101429</t>
  </si>
  <si>
    <t xml:space="preserve">Walker Kontos</t>
  </si>
  <si>
    <t xml:space="preserve">ckariuki@walkerkontos.com</t>
  </si>
  <si>
    <t xml:space="preserve">0735411030</t>
  </si>
  <si>
    <t xml:space="preserve">CUST101083</t>
  </si>
  <si>
    <t xml:space="preserve">accounts@walkerkontos.com</t>
  </si>
  <si>
    <t xml:space="preserve">Eric Masamba</t>
  </si>
  <si>
    <t xml:space="preserve">Waridi Paradise Hotel And Suites</t>
  </si>
  <si>
    <t xml:space="preserve">info@waridi-paradise.com</t>
  </si>
  <si>
    <t xml:space="preserve">CUST101084</t>
  </si>
  <si>
    <t xml:space="preserve">samuel.accounts@waridi-paradise.com</t>
  </si>
  <si>
    <t xml:space="preserve">Samuel kariuki</t>
  </si>
  <si>
    <t xml:space="preserve">Dorothy</t>
  </si>
  <si>
    <t xml:space="preserve">Weetabix East Africa Ltd</t>
  </si>
  <si>
    <t xml:space="preserve">dcm@weetabix.com</t>
  </si>
  <si>
    <t xml:space="preserve">0720999046</t>
  </si>
  <si>
    <t xml:space="preserve">CUST101088</t>
  </si>
  <si>
    <t xml:space="preserve">rkb@weetabix.com</t>
  </si>
  <si>
    <t xml:space="preserve">Veronica Muita</t>
  </si>
  <si>
    <t xml:space="preserve">Westgate Shopping Mall Limited</t>
  </si>
  <si>
    <t xml:space="preserve">veronica@althaus.co.ke</t>
  </si>
  <si>
    <t xml:space="preserve">0780557775</t>
  </si>
  <si>
    <t xml:space="preserve">CUST101449</t>
  </si>
  <si>
    <t xml:space="preserve">martin@althaus.co.ke</t>
  </si>
  <si>
    <t xml:space="preserve">Lizah Biwott</t>
  </si>
  <si>
    <t xml:space="preserve">Weston Hotel Ltd</t>
  </si>
  <si>
    <t xml:space="preserve">lbiwott@westonhotel.com</t>
  </si>
  <si>
    <t xml:space="preserve">0709995052</t>
  </si>
  <si>
    <t xml:space="preserve">CUST101090</t>
  </si>
  <si>
    <t xml:space="preserve">lngeno@westonhotel.com</t>
  </si>
  <si>
    <t xml:space="preserve">Eugene Otieno</t>
  </si>
  <si>
    <t xml:space="preserve">Whitesands Hotel.</t>
  </si>
  <si>
    <t xml:space="preserve">Eugene.Otieno@sarovahotels.com</t>
  </si>
  <si>
    <t xml:space="preserve">CUST101093</t>
  </si>
  <si>
    <t xml:space="preserve">sawadho.haret@sarovahotels.com</t>
  </si>
  <si>
    <t xml:space="preserve">Evans Omondi</t>
  </si>
  <si>
    <t xml:space="preserve">evans.omondi@sarovahotels.com</t>
  </si>
  <si>
    <t xml:space="preserve">0719022530</t>
  </si>
  <si>
    <t xml:space="preserve">Austin Odhiambo</t>
  </si>
  <si>
    <t xml:space="preserve">Wigot Gardens Ltd</t>
  </si>
  <si>
    <t xml:space="preserve">austineodhiambo03@gmail.com</t>
  </si>
  <si>
    <t xml:space="preserve">CUST101094</t>
  </si>
  <si>
    <t xml:space="preserve">info@wigotgardens.co.ke</t>
  </si>
  <si>
    <t xml:space="preserve">Pamela Oluoch</t>
  </si>
  <si>
    <t xml:space="preserve">Philip Sambu</t>
  </si>
  <si>
    <t xml:space="preserve">Wilderness Lodges</t>
  </si>
  <si>
    <t xml:space="preserve">sambu@wildernesslodges.co.ke</t>
  </si>
  <si>
    <t xml:space="preserve">CUST101097</t>
  </si>
  <si>
    <t xml:space="preserve">kyalo@wildernesslodges.co.ke</t>
  </si>
  <si>
    <t xml:space="preserve">Janet Kiragu</t>
  </si>
  <si>
    <t xml:space="preserve">Windsor Golf And Country Club</t>
  </si>
  <si>
    <t xml:space="preserve">jkiragu@windsor.co.ke</t>
  </si>
  <si>
    <t xml:space="preserve">CUST101098</t>
  </si>
  <si>
    <t xml:space="preserve">stores@windsor.co.ke</t>
  </si>
  <si>
    <t xml:space="preserve">jmalonza@windsor.co.ke</t>
  </si>
  <si>
    <t xml:space="preserve">Zachary Muiga</t>
  </si>
  <si>
    <t xml:space="preserve">zmuiga@windsor.co.ke</t>
  </si>
  <si>
    <t xml:space="preserve">Everlyne Ireri</t>
  </si>
  <si>
    <t xml:space="preserve">Workable Limited Liability Parnership</t>
  </si>
  <si>
    <t xml:space="preserve">maureen@workable.space</t>
  </si>
  <si>
    <t xml:space="preserve">CUST101102</t>
  </si>
  <si>
    <t xml:space="preserve">Benard Wabwire</t>
  </si>
  <si>
    <t xml:space="preserve">XC Three Sixty EA Ltd</t>
  </si>
  <si>
    <t xml:space="preserve">benard@xc360.co.ke</t>
  </si>
  <si>
    <t xml:space="preserve">0728861739</t>
  </si>
  <si>
    <t xml:space="preserve">CUST101466</t>
  </si>
  <si>
    <t xml:space="preserve">accounts@xc360.co.ke</t>
  </si>
  <si>
    <t xml:space="preserve">Viral Shah</t>
  </si>
  <si>
    <t xml:space="preserve">YO BRANDS STORE</t>
  </si>
  <si>
    <t xml:space="preserve">yobrandsstore@yahoo.com</t>
  </si>
  <si>
    <t xml:space="preserve">0723678074</t>
  </si>
  <si>
    <t xml:space="preserve">CUST102232</t>
  </si>
  <si>
    <t xml:space="preserve">VIRZGUDDYBOY@YAHOO.COM</t>
  </si>
  <si>
    <t xml:space="preserve">Ms. Frida</t>
  </si>
  <si>
    <t xml:space="preserve">Yalah Enterprises Company Ltd</t>
  </si>
  <si>
    <t xml:space="preserve">yalahenterprise@gmail.com</t>
  </si>
  <si>
    <t xml:space="preserve">0724007051</t>
  </si>
  <si>
    <t xml:space="preserve">CUST101107</t>
  </si>
  <si>
    <t xml:space="preserve">Muhsin muhsin</t>
  </si>
  <si>
    <t xml:space="preserve">Yusra's Butchery Limited</t>
  </si>
  <si>
    <t xml:space="preserve">yusrabutchery@yahoo.com</t>
  </si>
  <si>
    <t xml:space="preserve">0721734194</t>
  </si>
  <si>
    <t xml:space="preserve">CUST101893</t>
  </si>
  <si>
    <t xml:space="preserve">yusrabutchery@gmail.com</t>
  </si>
  <si>
    <t xml:space="preserve">Linda Justus</t>
  </si>
  <si>
    <t xml:space="preserve">Zaf Holdings Ltd</t>
  </si>
  <si>
    <t xml:space="preserve">linda.justus@ke.knightfrank.com</t>
  </si>
  <si>
    <t xml:space="preserve">CUST101109</t>
  </si>
  <si>
    <t xml:space="preserve">Faith Kioko</t>
  </si>
  <si>
    <t xml:space="preserve">Zamara Risk And Insurance Brokers Ltd</t>
  </si>
  <si>
    <t xml:space="preserve">fkioko@zamara.co.ke</t>
  </si>
  <si>
    <t xml:space="preserve">0726775492</t>
  </si>
  <si>
    <t xml:space="preserve">CUST101111</t>
  </si>
  <si>
    <t xml:space="preserve">NANCY THUO</t>
  </si>
  <si>
    <t xml:space="preserve">Zanash Enterprises</t>
  </si>
  <si>
    <t xml:space="preserve">nancymt@gmail.com</t>
  </si>
  <si>
    <t xml:space="preserve">+254 704 073252</t>
  </si>
  <si>
    <t xml:space="preserve">CUST102245</t>
  </si>
  <si>
    <t xml:space="preserve">Asif Sumra</t>
  </si>
  <si>
    <t xml:space="preserve">Zen Garden Ltd</t>
  </si>
  <si>
    <t xml:space="preserve">accounts@zengarden.co.ke</t>
  </si>
  <si>
    <t xml:space="preserve">CUST101114</t>
  </si>
  <si>
    <t xml:space="preserve">Yasin Abdulrazak</t>
  </si>
  <si>
    <t xml:space="preserve">0722659007</t>
  </si>
  <si>
    <t xml:space="preserve">Emmanuel muasya</t>
  </si>
  <si>
    <t xml:space="preserve">andrex paper ltd</t>
  </si>
  <si>
    <t xml:space="preserve">andrexltd@gmail.com</t>
  </si>
  <si>
    <t xml:space="preserve">0722119074</t>
  </si>
  <si>
    <t xml:space="preserve">CUST102413</t>
  </si>
  <si>
    <t xml:space="preserve">Magdaline Naishore</t>
  </si>
  <si>
    <t xml:space="preserve">lake naivasha parklane resort</t>
  </si>
  <si>
    <t xml:space="preserve">info@lakenaivashaparklaneresort.co.ke</t>
  </si>
  <si>
    <t xml:space="preserve">0722321578</t>
  </si>
  <si>
    <t xml:space="preserve">CUST103182</t>
  </si>
  <si>
    <t xml:space="preserve">Esther Manyasa</t>
  </si>
  <si>
    <t xml:space="preserve">mariakani cottage hospital</t>
  </si>
  <si>
    <t xml:space="preserve">mcottage@nitsuminet.com</t>
  </si>
  <si>
    <t xml:space="preserve">CUST100594</t>
  </si>
  <si>
    <t xml:space="preserve">procurement@mchkenya.org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</si>
</sst>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89878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A78D6"/>
        <bgColor rgb="FF4F81B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FF6600"/>
      <rgbColor rgb="FF4F81BD"/>
      <rgbColor rgb="FF898781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Account manager alignment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Summary!$A$7:$A$8</c:f>
              <c:strCache>
                <c:ptCount val="2"/>
                <c:pt idx="0">
                  <c:v>Owner match (CRM = ERP rep)</c:v>
                </c:pt>
                <c:pt idx="1">
                  <c:v>Owner different</c:v>
                </c:pt>
              </c:strCache>
            </c:strRef>
          </c:cat>
          <c:val>
            <c:numRef>
              <c:f>Summary!$B$7:$B$8</c:f>
              <c:numCache>
                <c:formatCode>General</c:formatCode>
                <c:ptCount val="2"/>
                <c:pt idx="0">
                  <c:v>259</c:v>
                </c:pt>
                <c:pt idx="1">
                  <c:v>736</c:v>
                </c:pt>
              </c:numCache>
            </c:numRef>
          </c:val>
        </c:ser>
        <c:gapWidth val="150"/>
        <c:overlap val="0"/>
        <c:axId val="7428540"/>
        <c:axId val="40335631"/>
      </c:barChart>
      <c:catAx>
        <c:axId val="74285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335631"/>
        <c:crosses val="autoZero"/>
        <c:auto val="1"/>
        <c:lblAlgn val="ctr"/>
        <c:lblOffset val="100"/>
        <c:noMultiLvlLbl val="0"/>
      </c:catAx>
      <c:valAx>
        <c:axId val="403356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contacts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285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131040</xdr:rowOff>
    </xdr:from>
    <xdr:to>
      <xdr:col>12</xdr:col>
      <xdr:colOff>147600</xdr:colOff>
      <xdr:row>17</xdr:row>
      <xdr:rowOff>153000</xdr:rowOff>
    </xdr:to>
    <xdr:graphicFrame>
      <xdr:nvGraphicFramePr>
        <xdr:cNvPr id="0" name="Chart 1"/>
        <xdr:cNvGraphicFramePr/>
      </xdr:nvGraphicFramePr>
      <xdr:xfrm>
        <a:off x="4981680" y="5716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4" t="n">
        <f aca="false">COUNTA('Matched Contacts'!A2:A996)</f>
        <v>995</v>
      </c>
      <c r="C5" s="5" t="n">
        <f aca="false">B5/$B$5</f>
        <v>1</v>
      </c>
    </row>
    <row r="6" customFormat="false" ht="15" hidden="false" customHeight="false" outlineLevel="0" collapsed="false">
      <c r="A6" s="4" t="s">
        <v>6</v>
      </c>
      <c r="B6" s="4" t="n">
        <f aca="false">SUMPRODUCT(1/COUNTIF('Matched Contacts'!B2:B996,'Matched Contacts'!B2:B996))</f>
        <v>664</v>
      </c>
      <c r="C6" s="5" t="n">
        <f aca="false">B6/$B$5</f>
        <v>0.667336683417085</v>
      </c>
    </row>
    <row r="7" customFormat="false" ht="15" hidden="false" customHeight="false" outlineLevel="0" collapsed="false">
      <c r="A7" s="4" t="s">
        <v>7</v>
      </c>
      <c r="B7" s="4" t="n">
        <f aca="false">COUNTIF('Matched Contacts'!L2:L996,"Match")</f>
        <v>259</v>
      </c>
      <c r="C7" s="5" t="n">
        <f aca="false">B7/$B$5</f>
        <v>0.260301507537688</v>
      </c>
    </row>
    <row r="8" customFormat="false" ht="15" hidden="false" customHeight="false" outlineLevel="0" collapsed="false">
      <c r="A8" s="4" t="s">
        <v>8</v>
      </c>
      <c r="B8" s="4" t="n">
        <f aca="false">COUNTIF('Matched Contacts'!L2:L996,"Different")</f>
        <v>736</v>
      </c>
      <c r="C8" s="5" t="n">
        <f aca="false">B8/$B$5</f>
        <v>0.739698492462312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20"/>
    <col collapsed="false" customWidth="true" hidden="false" outlineLevel="0" max="12" min="12" style="0" width="14"/>
  </cols>
  <sheetData>
    <row r="1" customFormat="false" ht="15" hidden="false" customHeight="false" outlineLevel="0" collapsed="false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</row>
    <row r="2" customFormat="false" ht="15" hidden="false" customHeight="false" outlineLevel="0" collapsed="false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  <c r="H2" s="4" t="s">
        <v>28</v>
      </c>
      <c r="I2" s="4" t="s">
        <v>29</v>
      </c>
      <c r="J2" s="4" t="s">
        <v>30</v>
      </c>
      <c r="K2" s="4" t="s">
        <v>23</v>
      </c>
      <c r="L2" s="4" t="str">
        <f aca="false">IF(TRIM(LOWER(E2))=TRIM(LOWER(J2)),"Match","Different")</f>
        <v>Different</v>
      </c>
    </row>
    <row r="3" customFormat="false" ht="15" hidden="false" customHeight="false" outlineLevel="0" collapsed="false">
      <c r="A3" s="4" t="s">
        <v>31</v>
      </c>
      <c r="B3" s="4" t="s">
        <v>22</v>
      </c>
      <c r="C3" s="4"/>
      <c r="D3" s="4"/>
      <c r="E3" s="4" t="s">
        <v>32</v>
      </c>
      <c r="F3" s="4" t="s">
        <v>26</v>
      </c>
      <c r="G3" s="4" t="s">
        <v>27</v>
      </c>
      <c r="H3" s="4" t="s">
        <v>28</v>
      </c>
      <c r="I3" s="4" t="s">
        <v>29</v>
      </c>
      <c r="J3" s="4" t="s">
        <v>30</v>
      </c>
      <c r="K3" s="4" t="s">
        <v>23</v>
      </c>
      <c r="L3" s="4" t="str">
        <f aca="false">IF(TRIM(LOWER(E3))=TRIM(LOWER(J3)),"Match","Different")</f>
        <v>Different</v>
      </c>
    </row>
    <row r="4" customFormat="false" ht="15" hidden="false" customHeight="false" outlineLevel="0" collapsed="false">
      <c r="A4" s="4" t="s">
        <v>33</v>
      </c>
      <c r="B4" s="4" t="s">
        <v>22</v>
      </c>
      <c r="C4" s="4"/>
      <c r="D4" s="4"/>
      <c r="E4" s="4" t="s">
        <v>32</v>
      </c>
      <c r="F4" s="4" t="s">
        <v>26</v>
      </c>
      <c r="G4" s="4" t="s">
        <v>27</v>
      </c>
      <c r="H4" s="4" t="s">
        <v>28</v>
      </c>
      <c r="I4" s="4" t="s">
        <v>29</v>
      </c>
      <c r="J4" s="4" t="s">
        <v>30</v>
      </c>
      <c r="K4" s="4" t="s">
        <v>23</v>
      </c>
      <c r="L4" s="4" t="str">
        <f aca="false">IF(TRIM(LOWER(E4))=TRIM(LOWER(J4)),"Match","Different")</f>
        <v>Different</v>
      </c>
    </row>
    <row r="5" customFormat="false" ht="15" hidden="false" customHeight="false" outlineLevel="0" collapsed="false">
      <c r="A5" s="4" t="s">
        <v>34</v>
      </c>
      <c r="B5" s="4" t="s">
        <v>35</v>
      </c>
      <c r="C5" s="4"/>
      <c r="D5" s="4" t="s">
        <v>36</v>
      </c>
      <c r="E5" s="4" t="s">
        <v>32</v>
      </c>
      <c r="F5" s="4" t="s">
        <v>37</v>
      </c>
      <c r="G5" s="4" t="s">
        <v>38</v>
      </c>
      <c r="H5" s="4" t="s">
        <v>39</v>
      </c>
      <c r="I5" s="4" t="s">
        <v>40</v>
      </c>
      <c r="J5" s="4" t="s">
        <v>32</v>
      </c>
      <c r="K5" s="4" t="s">
        <v>41</v>
      </c>
      <c r="L5" s="4" t="str">
        <f aca="false">IF(TRIM(LOWER(E5))=TRIM(LOWER(J5)),"Match","Different")</f>
        <v>Match</v>
      </c>
    </row>
    <row r="6" customFormat="false" ht="15" hidden="false" customHeight="false" outlineLevel="0" collapsed="false">
      <c r="A6" s="4" t="s">
        <v>42</v>
      </c>
      <c r="B6" s="4" t="s">
        <v>43</v>
      </c>
      <c r="C6" s="4" t="s">
        <v>44</v>
      </c>
      <c r="D6" s="4"/>
      <c r="E6" s="4" t="s">
        <v>45</v>
      </c>
      <c r="F6" s="4" t="s">
        <v>46</v>
      </c>
      <c r="G6" s="4" t="s">
        <v>47</v>
      </c>
      <c r="H6" s="4" t="s">
        <v>48</v>
      </c>
      <c r="I6" s="4" t="s">
        <v>49</v>
      </c>
      <c r="J6" s="4" t="s">
        <v>50</v>
      </c>
      <c r="K6" s="4" t="s">
        <v>44</v>
      </c>
      <c r="L6" s="4" t="str">
        <f aca="false">IF(TRIM(LOWER(E6))=TRIM(LOWER(J6)),"Match","Different")</f>
        <v>Different</v>
      </c>
    </row>
    <row r="7" customFormat="false" ht="15" hidden="false" customHeight="false" outlineLevel="0" collapsed="false">
      <c r="A7" s="4" t="s">
        <v>51</v>
      </c>
      <c r="B7" s="4" t="s">
        <v>52</v>
      </c>
      <c r="C7" s="4" t="s">
        <v>53</v>
      </c>
      <c r="D7" s="4"/>
      <c r="E7" s="4" t="s">
        <v>54</v>
      </c>
      <c r="F7" s="4" t="s">
        <v>55</v>
      </c>
      <c r="G7" s="4" t="s">
        <v>56</v>
      </c>
      <c r="H7" s="4" t="s">
        <v>39</v>
      </c>
      <c r="I7" s="4" t="s">
        <v>57</v>
      </c>
      <c r="J7" s="4" t="s">
        <v>58</v>
      </c>
      <c r="K7" s="4" t="s">
        <v>59</v>
      </c>
      <c r="L7" s="4" t="str">
        <f aca="false">IF(TRIM(LOWER(E7))=TRIM(LOWER(J7)),"Match","Different")</f>
        <v>Different</v>
      </c>
    </row>
    <row r="8" customFormat="false" ht="15" hidden="false" customHeight="false" outlineLevel="0" collapsed="false">
      <c r="A8" s="4" t="s">
        <v>60</v>
      </c>
      <c r="B8" s="4" t="s">
        <v>61</v>
      </c>
      <c r="C8" s="4" t="s">
        <v>62</v>
      </c>
      <c r="D8" s="4" t="s">
        <v>63</v>
      </c>
      <c r="E8" s="4" t="s">
        <v>64</v>
      </c>
      <c r="F8" s="4" t="s">
        <v>65</v>
      </c>
      <c r="G8" s="4" t="s">
        <v>47</v>
      </c>
      <c r="H8" s="4" t="s">
        <v>66</v>
      </c>
      <c r="I8" s="4" t="s">
        <v>67</v>
      </c>
      <c r="J8" s="4" t="s">
        <v>64</v>
      </c>
      <c r="K8" s="4" t="s">
        <v>68</v>
      </c>
      <c r="L8" s="4" t="str">
        <f aca="false">IF(TRIM(LOWER(E8))=TRIM(LOWER(J8)),"Match","Different")</f>
        <v>Match</v>
      </c>
    </row>
    <row r="9" customFormat="false" ht="15" hidden="false" customHeight="false" outlineLevel="0" collapsed="false">
      <c r="A9" s="4" t="s">
        <v>69</v>
      </c>
      <c r="B9" s="4" t="s">
        <v>61</v>
      </c>
      <c r="C9" s="4" t="s">
        <v>70</v>
      </c>
      <c r="D9" s="4"/>
      <c r="E9" s="4" t="s">
        <v>64</v>
      </c>
      <c r="F9" s="4" t="s">
        <v>65</v>
      </c>
      <c r="G9" s="4" t="s">
        <v>47</v>
      </c>
      <c r="H9" s="4" t="s">
        <v>66</v>
      </c>
      <c r="I9" s="4" t="s">
        <v>67</v>
      </c>
      <c r="J9" s="4" t="s">
        <v>64</v>
      </c>
      <c r="K9" s="4" t="s">
        <v>68</v>
      </c>
      <c r="L9" s="4" t="str">
        <f aca="false">IF(TRIM(LOWER(E9))=TRIM(LOWER(J9)),"Match","Different")</f>
        <v>Match</v>
      </c>
    </row>
    <row r="10" customFormat="false" ht="15" hidden="false" customHeight="false" outlineLevel="0" collapsed="false">
      <c r="A10" s="4" t="s">
        <v>71</v>
      </c>
      <c r="B10" s="4" t="s">
        <v>61</v>
      </c>
      <c r="C10" s="4" t="s">
        <v>72</v>
      </c>
      <c r="D10" s="4" t="s">
        <v>73</v>
      </c>
      <c r="E10" s="4" t="s">
        <v>64</v>
      </c>
      <c r="F10" s="4" t="s">
        <v>65</v>
      </c>
      <c r="G10" s="4" t="s">
        <v>47</v>
      </c>
      <c r="H10" s="4" t="s">
        <v>66</v>
      </c>
      <c r="I10" s="4" t="s">
        <v>67</v>
      </c>
      <c r="J10" s="4" t="s">
        <v>64</v>
      </c>
      <c r="K10" s="4" t="s">
        <v>68</v>
      </c>
      <c r="L10" s="4" t="str">
        <f aca="false">IF(TRIM(LOWER(E10))=TRIM(LOWER(J10)),"Match","Different")</f>
        <v>Match</v>
      </c>
    </row>
    <row r="11" customFormat="false" ht="15" hidden="false" customHeight="false" outlineLevel="0" collapsed="false">
      <c r="A11" s="4" t="s">
        <v>74</v>
      </c>
      <c r="B11" s="4" t="s">
        <v>61</v>
      </c>
      <c r="C11" s="4" t="s">
        <v>75</v>
      </c>
      <c r="D11" s="4" t="s">
        <v>76</v>
      </c>
      <c r="E11" s="4" t="s">
        <v>64</v>
      </c>
      <c r="F11" s="4" t="s">
        <v>65</v>
      </c>
      <c r="G11" s="4" t="s">
        <v>47</v>
      </c>
      <c r="H11" s="4" t="s">
        <v>66</v>
      </c>
      <c r="I11" s="4" t="s">
        <v>67</v>
      </c>
      <c r="J11" s="4" t="s">
        <v>64</v>
      </c>
      <c r="K11" s="4" t="s">
        <v>68</v>
      </c>
      <c r="L11" s="4" t="str">
        <f aca="false">IF(TRIM(LOWER(E11))=TRIM(LOWER(J11)),"Match","Different")</f>
        <v>Match</v>
      </c>
    </row>
    <row r="12" customFormat="false" ht="15" hidden="false" customHeight="false" outlineLevel="0" collapsed="false">
      <c r="A12" s="4" t="s">
        <v>77</v>
      </c>
      <c r="B12" s="4" t="s">
        <v>78</v>
      </c>
      <c r="C12" s="4" t="s">
        <v>79</v>
      </c>
      <c r="D12" s="4" t="s">
        <v>80</v>
      </c>
      <c r="E12" s="4" t="s">
        <v>64</v>
      </c>
      <c r="F12" s="4" t="s">
        <v>81</v>
      </c>
      <c r="G12" s="4" t="s">
        <v>82</v>
      </c>
      <c r="H12" s="4" t="s">
        <v>39</v>
      </c>
      <c r="I12" s="4" t="s">
        <v>83</v>
      </c>
      <c r="J12" s="4" t="s">
        <v>64</v>
      </c>
      <c r="K12" s="4" t="s">
        <v>84</v>
      </c>
      <c r="L12" s="4" t="str">
        <f aca="false">IF(TRIM(LOWER(E12))=TRIM(LOWER(J12)),"Match","Different")</f>
        <v>Match</v>
      </c>
    </row>
    <row r="13" customFormat="false" ht="15" hidden="false" customHeight="false" outlineLevel="0" collapsed="false">
      <c r="A13" s="4" t="s">
        <v>85</v>
      </c>
      <c r="B13" s="4" t="s">
        <v>86</v>
      </c>
      <c r="C13" s="4" t="s">
        <v>87</v>
      </c>
      <c r="D13" s="4" t="s">
        <v>88</v>
      </c>
      <c r="E13" s="4" t="s">
        <v>89</v>
      </c>
      <c r="F13" s="4" t="s">
        <v>90</v>
      </c>
      <c r="G13" s="4" t="s">
        <v>47</v>
      </c>
      <c r="H13" s="4" t="s">
        <v>39</v>
      </c>
      <c r="I13" s="4" t="s">
        <v>91</v>
      </c>
      <c r="J13" s="4" t="s">
        <v>92</v>
      </c>
      <c r="K13" s="4" t="s">
        <v>93</v>
      </c>
      <c r="L13" s="4" t="str">
        <f aca="false">IF(TRIM(LOWER(E13))=TRIM(LOWER(J13)),"Match","Different")</f>
        <v>Different</v>
      </c>
    </row>
    <row r="14" customFormat="false" ht="15" hidden="false" customHeight="false" outlineLevel="0" collapsed="false">
      <c r="A14" s="4" t="s">
        <v>94</v>
      </c>
      <c r="B14" s="4" t="s">
        <v>95</v>
      </c>
      <c r="C14" s="4" t="s">
        <v>96</v>
      </c>
      <c r="D14" s="4"/>
      <c r="E14" s="4" t="s">
        <v>64</v>
      </c>
      <c r="F14" s="4" t="s">
        <v>97</v>
      </c>
      <c r="G14" s="4" t="s">
        <v>98</v>
      </c>
      <c r="H14" s="4" t="s">
        <v>39</v>
      </c>
      <c r="I14" s="4" t="s">
        <v>99</v>
      </c>
      <c r="J14" s="4" t="s">
        <v>100</v>
      </c>
      <c r="K14" s="4" t="s">
        <v>96</v>
      </c>
      <c r="L14" s="4" t="str">
        <f aca="false">IF(TRIM(LOWER(E14))=TRIM(LOWER(J14)),"Match","Different")</f>
        <v>Different</v>
      </c>
    </row>
    <row r="15" customFormat="false" ht="15" hidden="false" customHeight="false" outlineLevel="0" collapsed="false">
      <c r="A15" s="4" t="s">
        <v>101</v>
      </c>
      <c r="B15" s="4" t="s">
        <v>102</v>
      </c>
      <c r="C15" s="4" t="s">
        <v>103</v>
      </c>
      <c r="D15" s="4"/>
      <c r="E15" s="4" t="s">
        <v>104</v>
      </c>
      <c r="F15" s="4" t="s">
        <v>105</v>
      </c>
      <c r="G15" s="4" t="s">
        <v>47</v>
      </c>
      <c r="H15" s="4" t="s">
        <v>39</v>
      </c>
      <c r="I15" s="4" t="s">
        <v>106</v>
      </c>
      <c r="J15" s="4" t="s">
        <v>104</v>
      </c>
      <c r="K15" s="4" t="s">
        <v>107</v>
      </c>
      <c r="L15" s="4" t="str">
        <f aca="false">IF(TRIM(LOWER(E15))=TRIM(LOWER(J15)),"Match","Different")</f>
        <v>Match</v>
      </c>
    </row>
    <row r="16" customFormat="false" ht="15" hidden="false" customHeight="false" outlineLevel="0" collapsed="false">
      <c r="A16" s="4" t="s">
        <v>108</v>
      </c>
      <c r="B16" s="4" t="s">
        <v>109</v>
      </c>
      <c r="C16" s="4" t="s">
        <v>110</v>
      </c>
      <c r="D16" s="4" t="s">
        <v>111</v>
      </c>
      <c r="E16" s="4" t="s">
        <v>112</v>
      </c>
      <c r="F16" s="4" t="s">
        <v>113</v>
      </c>
      <c r="G16" s="4" t="s">
        <v>56</v>
      </c>
      <c r="H16" s="4" t="s">
        <v>114</v>
      </c>
      <c r="I16" s="4" t="s">
        <v>115</v>
      </c>
      <c r="J16" s="4" t="s">
        <v>112</v>
      </c>
      <c r="K16" s="4" t="s">
        <v>116</v>
      </c>
      <c r="L16" s="4" t="str">
        <f aca="false">IF(TRIM(LOWER(E16))=TRIM(LOWER(J16)),"Match","Different")</f>
        <v>Match</v>
      </c>
    </row>
    <row r="17" customFormat="false" ht="15" hidden="false" customHeight="false" outlineLevel="0" collapsed="false">
      <c r="A17" s="4" t="s">
        <v>117</v>
      </c>
      <c r="B17" s="4" t="s">
        <v>118</v>
      </c>
      <c r="C17" s="4" t="s">
        <v>119</v>
      </c>
      <c r="D17" s="4" t="s">
        <v>120</v>
      </c>
      <c r="E17" s="4" t="s">
        <v>104</v>
      </c>
      <c r="F17" s="4" t="s">
        <v>121</v>
      </c>
      <c r="G17" s="4" t="s">
        <v>122</v>
      </c>
      <c r="H17" s="4" t="s">
        <v>28</v>
      </c>
      <c r="I17" s="4" t="s">
        <v>123</v>
      </c>
      <c r="J17" s="4" t="s">
        <v>104</v>
      </c>
      <c r="K17" s="4" t="s">
        <v>119</v>
      </c>
      <c r="L17" s="4" t="str">
        <f aca="false">IF(TRIM(LOWER(E17))=TRIM(LOWER(J17)),"Match","Different")</f>
        <v>Match</v>
      </c>
    </row>
    <row r="18" customFormat="false" ht="15" hidden="false" customHeight="false" outlineLevel="0" collapsed="false">
      <c r="A18" s="4" t="s">
        <v>124</v>
      </c>
      <c r="B18" s="4" t="s">
        <v>125</v>
      </c>
      <c r="C18" s="4" t="s">
        <v>126</v>
      </c>
      <c r="D18" s="4"/>
      <c r="E18" s="4" t="s">
        <v>89</v>
      </c>
      <c r="F18" s="4" t="s">
        <v>127</v>
      </c>
      <c r="G18" s="4" t="s">
        <v>128</v>
      </c>
      <c r="H18" s="4" t="s">
        <v>39</v>
      </c>
      <c r="I18" s="4" t="s">
        <v>129</v>
      </c>
      <c r="J18" s="4" t="s">
        <v>30</v>
      </c>
      <c r="K18" s="4" t="s">
        <v>130</v>
      </c>
      <c r="L18" s="4" t="str">
        <f aca="false">IF(TRIM(LOWER(E18))=TRIM(LOWER(J18)),"Match","Different")</f>
        <v>Different</v>
      </c>
    </row>
    <row r="19" customFormat="false" ht="15" hidden="false" customHeight="false" outlineLevel="0" collapsed="false">
      <c r="A19" s="4" t="s">
        <v>131</v>
      </c>
      <c r="B19" s="4" t="s">
        <v>132</v>
      </c>
      <c r="C19" s="4" t="s">
        <v>133</v>
      </c>
      <c r="D19" s="4" t="s">
        <v>134</v>
      </c>
      <c r="E19" s="4" t="s">
        <v>50</v>
      </c>
      <c r="F19" s="4" t="s">
        <v>135</v>
      </c>
      <c r="G19" s="4" t="s">
        <v>136</v>
      </c>
      <c r="H19" s="4" t="s">
        <v>66</v>
      </c>
      <c r="I19" s="4" t="s">
        <v>91</v>
      </c>
      <c r="J19" s="4" t="s">
        <v>50</v>
      </c>
      <c r="K19" s="4" t="s">
        <v>133</v>
      </c>
      <c r="L19" s="4" t="str">
        <f aca="false">IF(TRIM(LOWER(E19))=TRIM(LOWER(J19)),"Match","Different")</f>
        <v>Match</v>
      </c>
    </row>
    <row r="20" customFormat="false" ht="15" hidden="false" customHeight="false" outlineLevel="0" collapsed="false">
      <c r="A20" s="4" t="s">
        <v>137</v>
      </c>
      <c r="B20" s="4" t="s">
        <v>132</v>
      </c>
      <c r="C20" s="4" t="s">
        <v>138</v>
      </c>
      <c r="D20" s="4"/>
      <c r="E20" s="4" t="s">
        <v>50</v>
      </c>
      <c r="F20" s="4" t="s">
        <v>135</v>
      </c>
      <c r="G20" s="4" t="s">
        <v>136</v>
      </c>
      <c r="H20" s="4" t="s">
        <v>66</v>
      </c>
      <c r="I20" s="4" t="s">
        <v>91</v>
      </c>
      <c r="J20" s="4" t="s">
        <v>50</v>
      </c>
      <c r="K20" s="4" t="s">
        <v>133</v>
      </c>
      <c r="L20" s="4" t="str">
        <f aca="false">IF(TRIM(LOWER(E20))=TRIM(LOWER(J20)),"Match","Different")</f>
        <v>Match</v>
      </c>
    </row>
    <row r="21" customFormat="false" ht="15" hidden="false" customHeight="false" outlineLevel="0" collapsed="false">
      <c r="A21" s="4" t="s">
        <v>139</v>
      </c>
      <c r="B21" s="4" t="s">
        <v>140</v>
      </c>
      <c r="C21" s="4" t="s">
        <v>141</v>
      </c>
      <c r="D21" s="4" t="s">
        <v>142</v>
      </c>
      <c r="E21" s="4" t="s">
        <v>64</v>
      </c>
      <c r="F21" s="4" t="s">
        <v>143</v>
      </c>
      <c r="G21" s="4" t="s">
        <v>38</v>
      </c>
      <c r="H21" s="4" t="s">
        <v>39</v>
      </c>
      <c r="I21" s="4" t="s">
        <v>57</v>
      </c>
      <c r="J21" s="4" t="s">
        <v>64</v>
      </c>
      <c r="K21" s="4" t="s">
        <v>141</v>
      </c>
      <c r="L21" s="4" t="str">
        <f aca="false">IF(TRIM(LOWER(E21))=TRIM(LOWER(J21)),"Match","Different")</f>
        <v>Match</v>
      </c>
    </row>
    <row r="22" customFormat="false" ht="15" hidden="false" customHeight="false" outlineLevel="0" collapsed="false">
      <c r="A22" s="4" t="s">
        <v>144</v>
      </c>
      <c r="B22" s="4" t="s">
        <v>145</v>
      </c>
      <c r="C22" s="4"/>
      <c r="D22" s="4"/>
      <c r="E22" s="4" t="s">
        <v>32</v>
      </c>
      <c r="F22" s="4" t="s">
        <v>146</v>
      </c>
      <c r="G22" s="4" t="s">
        <v>38</v>
      </c>
      <c r="H22" s="4" t="s">
        <v>39</v>
      </c>
      <c r="I22" s="4" t="s">
        <v>147</v>
      </c>
      <c r="J22" s="4" t="s">
        <v>32</v>
      </c>
      <c r="K22" s="4" t="s">
        <v>148</v>
      </c>
      <c r="L22" s="4" t="str">
        <f aca="false">IF(TRIM(LOWER(E22))=TRIM(LOWER(J22)),"Match","Different")</f>
        <v>Match</v>
      </c>
    </row>
    <row r="23" customFormat="false" ht="15" hidden="false" customHeight="false" outlineLevel="0" collapsed="false">
      <c r="A23" s="4" t="s">
        <v>149</v>
      </c>
      <c r="B23" s="4" t="s">
        <v>150</v>
      </c>
      <c r="C23" s="4" t="s">
        <v>151</v>
      </c>
      <c r="D23" s="4" t="s">
        <v>152</v>
      </c>
      <c r="E23" s="4" t="s">
        <v>89</v>
      </c>
      <c r="F23" s="4" t="s">
        <v>153</v>
      </c>
      <c r="G23" s="4" t="s">
        <v>82</v>
      </c>
      <c r="H23" s="4" t="s">
        <v>39</v>
      </c>
      <c r="I23" s="4" t="s">
        <v>57</v>
      </c>
      <c r="J23" s="4" t="s">
        <v>92</v>
      </c>
      <c r="K23" s="4" t="s">
        <v>154</v>
      </c>
      <c r="L23" s="4" t="str">
        <f aca="false">IF(TRIM(LOWER(E23))=TRIM(LOWER(J23)),"Match","Different")</f>
        <v>Different</v>
      </c>
    </row>
    <row r="24" customFormat="false" ht="15" hidden="false" customHeight="false" outlineLevel="0" collapsed="false">
      <c r="A24" s="4" t="s">
        <v>155</v>
      </c>
      <c r="B24" s="4" t="s">
        <v>150</v>
      </c>
      <c r="C24" s="4" t="s">
        <v>156</v>
      </c>
      <c r="D24" s="4" t="s">
        <v>152</v>
      </c>
      <c r="E24" s="4" t="s">
        <v>89</v>
      </c>
      <c r="F24" s="4" t="s">
        <v>153</v>
      </c>
      <c r="G24" s="4" t="s">
        <v>82</v>
      </c>
      <c r="H24" s="4" t="s">
        <v>39</v>
      </c>
      <c r="I24" s="4" t="s">
        <v>57</v>
      </c>
      <c r="J24" s="4" t="s">
        <v>92</v>
      </c>
      <c r="K24" s="4" t="s">
        <v>154</v>
      </c>
      <c r="L24" s="4" t="str">
        <f aca="false">IF(TRIM(LOWER(E24))=TRIM(LOWER(J24)),"Match","Different")</f>
        <v>Different</v>
      </c>
    </row>
    <row r="25" customFormat="false" ht="15" hidden="false" customHeight="false" outlineLevel="0" collapsed="false">
      <c r="A25" s="4" t="s">
        <v>157</v>
      </c>
      <c r="B25" s="4" t="s">
        <v>158</v>
      </c>
      <c r="C25" s="4" t="s">
        <v>159</v>
      </c>
      <c r="D25" s="4"/>
      <c r="E25" s="4" t="s">
        <v>54</v>
      </c>
      <c r="F25" s="4" t="s">
        <v>160</v>
      </c>
      <c r="G25" s="4" t="s">
        <v>161</v>
      </c>
      <c r="H25" s="4" t="s">
        <v>66</v>
      </c>
      <c r="I25" s="4" t="s">
        <v>162</v>
      </c>
      <c r="J25" s="4" t="s">
        <v>32</v>
      </c>
      <c r="K25" s="4" t="s">
        <v>163</v>
      </c>
      <c r="L25" s="4" t="str">
        <f aca="false">IF(TRIM(LOWER(E25))=TRIM(LOWER(J25)),"Match","Different")</f>
        <v>Different</v>
      </c>
    </row>
    <row r="26" customFormat="false" ht="15" hidden="false" customHeight="false" outlineLevel="0" collapsed="false">
      <c r="A26" s="4" t="s">
        <v>164</v>
      </c>
      <c r="B26" s="4" t="s">
        <v>165</v>
      </c>
      <c r="C26" s="4" t="s">
        <v>166</v>
      </c>
      <c r="D26" s="4"/>
      <c r="E26" s="4" t="s">
        <v>50</v>
      </c>
      <c r="F26" s="4" t="s">
        <v>167</v>
      </c>
      <c r="G26" s="4" t="s">
        <v>56</v>
      </c>
      <c r="H26" s="4" t="s">
        <v>39</v>
      </c>
      <c r="I26" s="4" t="s">
        <v>57</v>
      </c>
      <c r="J26" s="4" t="s">
        <v>50</v>
      </c>
      <c r="K26" s="4" t="s">
        <v>166</v>
      </c>
      <c r="L26" s="4" t="str">
        <f aca="false">IF(TRIM(LOWER(E26))=TRIM(LOWER(J26)),"Match","Different")</f>
        <v>Match</v>
      </c>
    </row>
    <row r="27" customFormat="false" ht="15" hidden="false" customHeight="false" outlineLevel="0" collapsed="false">
      <c r="A27" s="4" t="s">
        <v>168</v>
      </c>
      <c r="B27" s="4" t="s">
        <v>169</v>
      </c>
      <c r="C27" s="4"/>
      <c r="D27" s="4"/>
      <c r="E27" s="4" t="s">
        <v>170</v>
      </c>
      <c r="F27" s="4" t="s">
        <v>171</v>
      </c>
      <c r="G27" s="4" t="s">
        <v>56</v>
      </c>
      <c r="H27" s="4" t="s">
        <v>172</v>
      </c>
      <c r="I27" s="4" t="s">
        <v>173</v>
      </c>
      <c r="J27" s="4" t="s">
        <v>174</v>
      </c>
      <c r="K27" s="4" t="s">
        <v>175</v>
      </c>
      <c r="L27" s="4" t="str">
        <f aca="false">IF(TRIM(LOWER(E27))=TRIM(LOWER(J27)),"Match","Different")</f>
        <v>Different</v>
      </c>
    </row>
    <row r="28" customFormat="false" ht="15" hidden="false" customHeight="false" outlineLevel="0" collapsed="false">
      <c r="A28" s="4" t="s">
        <v>176</v>
      </c>
      <c r="B28" s="4" t="s">
        <v>169</v>
      </c>
      <c r="C28" s="4" t="s">
        <v>177</v>
      </c>
      <c r="D28" s="4" t="s">
        <v>178</v>
      </c>
      <c r="E28" s="4" t="s">
        <v>170</v>
      </c>
      <c r="F28" s="4" t="s">
        <v>171</v>
      </c>
      <c r="G28" s="4" t="s">
        <v>56</v>
      </c>
      <c r="H28" s="4" t="s">
        <v>172</v>
      </c>
      <c r="I28" s="4" t="s">
        <v>173</v>
      </c>
      <c r="J28" s="4" t="s">
        <v>174</v>
      </c>
      <c r="K28" s="4" t="s">
        <v>175</v>
      </c>
      <c r="L28" s="4" t="str">
        <f aca="false">IF(TRIM(LOWER(E28))=TRIM(LOWER(J28)),"Match","Different")</f>
        <v>Different</v>
      </c>
    </row>
    <row r="29" customFormat="false" ht="15" hidden="false" customHeight="false" outlineLevel="0" collapsed="false">
      <c r="A29" s="4" t="s">
        <v>179</v>
      </c>
      <c r="B29" s="4" t="s">
        <v>180</v>
      </c>
      <c r="C29" s="4" t="s">
        <v>181</v>
      </c>
      <c r="D29" s="4" t="s">
        <v>182</v>
      </c>
      <c r="E29" s="4" t="s">
        <v>50</v>
      </c>
      <c r="F29" s="4" t="s">
        <v>183</v>
      </c>
      <c r="G29" s="4" t="s">
        <v>136</v>
      </c>
      <c r="H29" s="4" t="s">
        <v>28</v>
      </c>
      <c r="I29" s="4" t="s">
        <v>123</v>
      </c>
      <c r="J29" s="4" t="s">
        <v>32</v>
      </c>
      <c r="K29" s="4" t="s">
        <v>184</v>
      </c>
      <c r="L29" s="4" t="str">
        <f aca="false">IF(TRIM(LOWER(E29))=TRIM(LOWER(J29)),"Match","Different")</f>
        <v>Different</v>
      </c>
    </row>
    <row r="30" customFormat="false" ht="15" hidden="false" customHeight="false" outlineLevel="0" collapsed="false">
      <c r="A30" s="4" t="s">
        <v>185</v>
      </c>
      <c r="B30" s="4" t="s">
        <v>186</v>
      </c>
      <c r="C30" s="4" t="s">
        <v>187</v>
      </c>
      <c r="D30" s="4"/>
      <c r="E30" s="4" t="s">
        <v>54</v>
      </c>
      <c r="F30" s="4" t="s">
        <v>188</v>
      </c>
      <c r="G30" s="4" t="s">
        <v>27</v>
      </c>
      <c r="H30" s="4" t="s">
        <v>39</v>
      </c>
      <c r="I30" s="4" t="s">
        <v>129</v>
      </c>
      <c r="J30" s="4" t="s">
        <v>100</v>
      </c>
      <c r="K30" s="4" t="s">
        <v>189</v>
      </c>
      <c r="L30" s="4" t="str">
        <f aca="false">IF(TRIM(LOWER(E30))=TRIM(LOWER(J30)),"Match","Different")</f>
        <v>Different</v>
      </c>
    </row>
    <row r="31" customFormat="false" ht="15" hidden="false" customHeight="false" outlineLevel="0" collapsed="false">
      <c r="A31" s="4" t="s">
        <v>190</v>
      </c>
      <c r="B31" s="4" t="s">
        <v>191</v>
      </c>
      <c r="C31" s="4" t="s">
        <v>192</v>
      </c>
      <c r="D31" s="4"/>
      <c r="E31" s="4" t="s">
        <v>54</v>
      </c>
      <c r="F31" s="4" t="s">
        <v>193</v>
      </c>
      <c r="G31" s="4" t="s">
        <v>56</v>
      </c>
      <c r="H31" s="4" t="s">
        <v>39</v>
      </c>
      <c r="I31" s="4" t="s">
        <v>194</v>
      </c>
      <c r="J31" s="4" t="s">
        <v>30</v>
      </c>
      <c r="K31" s="4" t="s">
        <v>195</v>
      </c>
      <c r="L31" s="4" t="str">
        <f aca="false">IF(TRIM(LOWER(E31))=TRIM(LOWER(J31)),"Match","Different")</f>
        <v>Different</v>
      </c>
    </row>
    <row r="32" customFormat="false" ht="15" hidden="false" customHeight="false" outlineLevel="0" collapsed="false">
      <c r="A32" s="4" t="s">
        <v>196</v>
      </c>
      <c r="B32" s="4" t="s">
        <v>197</v>
      </c>
      <c r="C32" s="4" t="s">
        <v>198</v>
      </c>
      <c r="D32" s="4" t="s">
        <v>199</v>
      </c>
      <c r="E32" s="4" t="s">
        <v>64</v>
      </c>
      <c r="F32" s="4" t="s">
        <v>200</v>
      </c>
      <c r="G32" s="4" t="s">
        <v>38</v>
      </c>
      <c r="H32" s="4" t="s">
        <v>39</v>
      </c>
      <c r="I32" s="4" t="s">
        <v>129</v>
      </c>
      <c r="J32" s="4" t="s">
        <v>64</v>
      </c>
      <c r="K32" s="4" t="s">
        <v>201</v>
      </c>
      <c r="L32" s="4" t="str">
        <f aca="false">IF(TRIM(LOWER(E32))=TRIM(LOWER(J32)),"Match","Different")</f>
        <v>Match</v>
      </c>
    </row>
    <row r="33" customFormat="false" ht="15" hidden="false" customHeight="false" outlineLevel="0" collapsed="false">
      <c r="A33" s="4" t="s">
        <v>202</v>
      </c>
      <c r="B33" s="4" t="s">
        <v>203</v>
      </c>
      <c r="C33" s="4" t="s">
        <v>204</v>
      </c>
      <c r="D33" s="4" t="s">
        <v>205</v>
      </c>
      <c r="E33" s="4" t="s">
        <v>64</v>
      </c>
      <c r="F33" s="4" t="s">
        <v>206</v>
      </c>
      <c r="G33" s="4" t="s">
        <v>207</v>
      </c>
      <c r="H33" s="4" t="s">
        <v>39</v>
      </c>
      <c r="I33" s="4" t="s">
        <v>208</v>
      </c>
      <c r="J33" s="4" t="s">
        <v>64</v>
      </c>
      <c r="K33" s="4" t="s">
        <v>209</v>
      </c>
      <c r="L33" s="4" t="str">
        <f aca="false">IF(TRIM(LOWER(E33))=TRIM(LOWER(J33)),"Match","Different")</f>
        <v>Match</v>
      </c>
    </row>
    <row r="34" customFormat="false" ht="15" hidden="false" customHeight="false" outlineLevel="0" collapsed="false">
      <c r="A34" s="4" t="s">
        <v>210</v>
      </c>
      <c r="B34" s="4" t="s">
        <v>211</v>
      </c>
      <c r="C34" s="4" t="s">
        <v>212</v>
      </c>
      <c r="D34" s="4"/>
      <c r="E34" s="4" t="s">
        <v>104</v>
      </c>
      <c r="F34" s="4" t="s">
        <v>213</v>
      </c>
      <c r="G34" s="4" t="s">
        <v>38</v>
      </c>
      <c r="H34" s="4" t="s">
        <v>39</v>
      </c>
      <c r="I34" s="4" t="s">
        <v>57</v>
      </c>
      <c r="J34" s="4" t="s">
        <v>104</v>
      </c>
      <c r="K34" s="4" t="s">
        <v>212</v>
      </c>
      <c r="L34" s="4" t="str">
        <f aca="false">IF(TRIM(LOWER(E34))=TRIM(LOWER(J34)),"Match","Different")</f>
        <v>Match</v>
      </c>
    </row>
    <row r="35" customFormat="false" ht="15" hidden="false" customHeight="false" outlineLevel="0" collapsed="false">
      <c r="A35" s="4" t="s">
        <v>214</v>
      </c>
      <c r="B35" s="4" t="s">
        <v>215</v>
      </c>
      <c r="C35" s="4" t="s">
        <v>216</v>
      </c>
      <c r="D35" s="4" t="s">
        <v>217</v>
      </c>
      <c r="E35" s="4" t="s">
        <v>170</v>
      </c>
      <c r="F35" s="4" t="s">
        <v>218</v>
      </c>
      <c r="G35" s="4" t="s">
        <v>128</v>
      </c>
      <c r="H35" s="4" t="s">
        <v>172</v>
      </c>
      <c r="I35" s="4" t="s">
        <v>173</v>
      </c>
      <c r="J35" s="4" t="s">
        <v>174</v>
      </c>
      <c r="K35" s="4" t="s">
        <v>219</v>
      </c>
      <c r="L35" s="4" t="str">
        <f aca="false">IF(TRIM(LOWER(E35))=TRIM(LOWER(J35)),"Match","Different")</f>
        <v>Different</v>
      </c>
    </row>
    <row r="36" customFormat="false" ht="15" hidden="false" customHeight="false" outlineLevel="0" collapsed="false">
      <c r="A36" s="4" t="s">
        <v>220</v>
      </c>
      <c r="B36" s="4" t="s">
        <v>215</v>
      </c>
      <c r="C36" s="4" t="s">
        <v>221</v>
      </c>
      <c r="D36" s="4"/>
      <c r="E36" s="4" t="s">
        <v>170</v>
      </c>
      <c r="F36" s="4" t="s">
        <v>218</v>
      </c>
      <c r="G36" s="4" t="s">
        <v>128</v>
      </c>
      <c r="H36" s="4" t="s">
        <v>172</v>
      </c>
      <c r="I36" s="4" t="s">
        <v>173</v>
      </c>
      <c r="J36" s="4" t="s">
        <v>174</v>
      </c>
      <c r="K36" s="4" t="s">
        <v>219</v>
      </c>
      <c r="L36" s="4" t="str">
        <f aca="false">IF(TRIM(LOWER(E36))=TRIM(LOWER(J36)),"Match","Different")</f>
        <v>Different</v>
      </c>
    </row>
    <row r="37" customFormat="false" ht="15" hidden="false" customHeight="false" outlineLevel="0" collapsed="false">
      <c r="A37" s="4" t="s">
        <v>222</v>
      </c>
      <c r="B37" s="4" t="s">
        <v>223</v>
      </c>
      <c r="C37" s="4" t="s">
        <v>224</v>
      </c>
      <c r="D37" s="4"/>
      <c r="E37" s="4" t="s">
        <v>89</v>
      </c>
      <c r="F37" s="4" t="s">
        <v>225</v>
      </c>
      <c r="G37" s="4" t="s">
        <v>128</v>
      </c>
      <c r="H37" s="4" t="s">
        <v>39</v>
      </c>
      <c r="I37" s="4" t="s">
        <v>226</v>
      </c>
      <c r="J37" s="4" t="s">
        <v>30</v>
      </c>
      <c r="K37" s="4" t="s">
        <v>227</v>
      </c>
      <c r="L37" s="4" t="str">
        <f aca="false">IF(TRIM(LOWER(E37))=TRIM(LOWER(J37)),"Match","Different")</f>
        <v>Different</v>
      </c>
    </row>
    <row r="38" customFormat="false" ht="15" hidden="false" customHeight="false" outlineLevel="0" collapsed="false">
      <c r="A38" s="4" t="s">
        <v>228</v>
      </c>
      <c r="B38" s="4" t="s">
        <v>229</v>
      </c>
      <c r="C38" s="4" t="s">
        <v>230</v>
      </c>
      <c r="D38" s="4"/>
      <c r="E38" s="4" t="s">
        <v>50</v>
      </c>
      <c r="F38" s="4" t="s">
        <v>231</v>
      </c>
      <c r="G38" s="4" t="s">
        <v>47</v>
      </c>
      <c r="H38" s="4" t="s">
        <v>28</v>
      </c>
      <c r="I38" s="4" t="s">
        <v>123</v>
      </c>
      <c r="J38" s="4" t="s">
        <v>50</v>
      </c>
      <c r="K38" s="4" t="s">
        <v>232</v>
      </c>
      <c r="L38" s="4" t="str">
        <f aca="false">IF(TRIM(LOWER(E38))=TRIM(LOWER(J38)),"Match","Different")</f>
        <v>Match</v>
      </c>
    </row>
    <row r="39" customFormat="false" ht="15" hidden="false" customHeight="false" outlineLevel="0" collapsed="false">
      <c r="A39" s="4" t="s">
        <v>233</v>
      </c>
      <c r="B39" s="4" t="s">
        <v>229</v>
      </c>
      <c r="C39" s="4" t="s">
        <v>232</v>
      </c>
      <c r="D39" s="4"/>
      <c r="E39" s="4" t="s">
        <v>50</v>
      </c>
      <c r="F39" s="4" t="s">
        <v>231</v>
      </c>
      <c r="G39" s="4" t="s">
        <v>47</v>
      </c>
      <c r="H39" s="4" t="s">
        <v>28</v>
      </c>
      <c r="I39" s="4" t="s">
        <v>123</v>
      </c>
      <c r="J39" s="4" t="s">
        <v>50</v>
      </c>
      <c r="K39" s="4" t="s">
        <v>232</v>
      </c>
      <c r="L39" s="4" t="str">
        <f aca="false">IF(TRIM(LOWER(E39))=TRIM(LOWER(J39)),"Match","Different")</f>
        <v>Match</v>
      </c>
    </row>
    <row r="40" customFormat="false" ht="15" hidden="false" customHeight="false" outlineLevel="0" collapsed="false">
      <c r="A40" s="4" t="s">
        <v>234</v>
      </c>
      <c r="B40" s="4" t="s">
        <v>235</v>
      </c>
      <c r="C40" s="4" t="s">
        <v>236</v>
      </c>
      <c r="D40" s="4"/>
      <c r="E40" s="4" t="s">
        <v>50</v>
      </c>
      <c r="F40" s="4" t="s">
        <v>237</v>
      </c>
      <c r="G40" s="4" t="s">
        <v>47</v>
      </c>
      <c r="H40" s="4" t="s">
        <v>39</v>
      </c>
      <c r="I40" s="4" t="s">
        <v>226</v>
      </c>
      <c r="J40" s="4" t="s">
        <v>50</v>
      </c>
      <c r="K40" s="4" t="s">
        <v>238</v>
      </c>
      <c r="L40" s="4" t="str">
        <f aca="false">IF(TRIM(LOWER(E40))=TRIM(LOWER(J40)),"Match","Different")</f>
        <v>Match</v>
      </c>
    </row>
    <row r="41" customFormat="false" ht="15" hidden="false" customHeight="false" outlineLevel="0" collapsed="false">
      <c r="A41" s="4" t="s">
        <v>239</v>
      </c>
      <c r="B41" s="4" t="s">
        <v>235</v>
      </c>
      <c r="C41" s="4" t="s">
        <v>238</v>
      </c>
      <c r="D41" s="4"/>
      <c r="E41" s="4" t="s">
        <v>50</v>
      </c>
      <c r="F41" s="4" t="s">
        <v>237</v>
      </c>
      <c r="G41" s="4" t="s">
        <v>47</v>
      </c>
      <c r="H41" s="4" t="s">
        <v>39</v>
      </c>
      <c r="I41" s="4" t="s">
        <v>226</v>
      </c>
      <c r="J41" s="4" t="s">
        <v>50</v>
      </c>
      <c r="K41" s="4" t="s">
        <v>238</v>
      </c>
      <c r="L41" s="4" t="str">
        <f aca="false">IF(TRIM(LOWER(E41))=TRIM(LOWER(J41)),"Match","Different")</f>
        <v>Match</v>
      </c>
    </row>
    <row r="42" customFormat="false" ht="15" hidden="false" customHeight="false" outlineLevel="0" collapsed="false">
      <c r="A42" s="4" t="s">
        <v>240</v>
      </c>
      <c r="B42" s="4" t="s">
        <v>235</v>
      </c>
      <c r="C42" s="4" t="s">
        <v>241</v>
      </c>
      <c r="D42" s="4" t="s">
        <v>242</v>
      </c>
      <c r="E42" s="4" t="s">
        <v>50</v>
      </c>
      <c r="F42" s="4" t="s">
        <v>237</v>
      </c>
      <c r="G42" s="4" t="s">
        <v>47</v>
      </c>
      <c r="H42" s="4" t="s">
        <v>39</v>
      </c>
      <c r="I42" s="4" t="s">
        <v>226</v>
      </c>
      <c r="J42" s="4" t="s">
        <v>50</v>
      </c>
      <c r="K42" s="4" t="s">
        <v>238</v>
      </c>
      <c r="L42" s="4" t="str">
        <f aca="false">IF(TRIM(LOWER(E42))=TRIM(LOWER(J42)),"Match","Different")</f>
        <v>Match</v>
      </c>
    </row>
    <row r="43" customFormat="false" ht="15" hidden="false" customHeight="false" outlineLevel="0" collapsed="false">
      <c r="A43" s="4" t="s">
        <v>243</v>
      </c>
      <c r="B43" s="4" t="s">
        <v>244</v>
      </c>
      <c r="C43" s="4" t="s">
        <v>245</v>
      </c>
      <c r="D43" s="4" t="s">
        <v>246</v>
      </c>
      <c r="E43" s="4" t="s">
        <v>89</v>
      </c>
      <c r="F43" s="4" t="s">
        <v>247</v>
      </c>
      <c r="G43" s="4" t="s">
        <v>128</v>
      </c>
      <c r="H43" s="4" t="s">
        <v>39</v>
      </c>
      <c r="I43" s="4" t="s">
        <v>226</v>
      </c>
      <c r="J43" s="4" t="s">
        <v>30</v>
      </c>
      <c r="K43" s="4" t="s">
        <v>248</v>
      </c>
      <c r="L43" s="4" t="str">
        <f aca="false">IF(TRIM(LOWER(E43))=TRIM(LOWER(J43)),"Match","Different")</f>
        <v>Different</v>
      </c>
    </row>
    <row r="44" customFormat="false" ht="15" hidden="false" customHeight="false" outlineLevel="0" collapsed="false">
      <c r="A44" s="4" t="s">
        <v>249</v>
      </c>
      <c r="B44" s="4" t="s">
        <v>250</v>
      </c>
      <c r="C44" s="4" t="s">
        <v>251</v>
      </c>
      <c r="D44" s="4"/>
      <c r="E44" s="4" t="s">
        <v>54</v>
      </c>
      <c r="F44" s="4" t="s">
        <v>252</v>
      </c>
      <c r="G44" s="4" t="s">
        <v>207</v>
      </c>
      <c r="H44" s="4" t="s">
        <v>39</v>
      </c>
      <c r="I44" s="4" t="s">
        <v>99</v>
      </c>
      <c r="J44" s="4" t="s">
        <v>58</v>
      </c>
      <c r="K44" s="4" t="s">
        <v>253</v>
      </c>
      <c r="L44" s="4" t="str">
        <f aca="false">IF(TRIM(LOWER(E44))=TRIM(LOWER(J44)),"Match","Different")</f>
        <v>Different</v>
      </c>
    </row>
    <row r="45" customFormat="false" ht="15" hidden="false" customHeight="false" outlineLevel="0" collapsed="false">
      <c r="A45" s="4" t="s">
        <v>254</v>
      </c>
      <c r="B45" s="4" t="s">
        <v>255</v>
      </c>
      <c r="C45" s="4" t="s">
        <v>256</v>
      </c>
      <c r="D45" s="4"/>
      <c r="E45" s="4" t="s">
        <v>54</v>
      </c>
      <c r="F45" s="4" t="s">
        <v>257</v>
      </c>
      <c r="G45" s="4" t="s">
        <v>161</v>
      </c>
      <c r="H45" s="4" t="s">
        <v>66</v>
      </c>
      <c r="I45" s="4" t="s">
        <v>162</v>
      </c>
      <c r="J45" s="4" t="s">
        <v>58</v>
      </c>
      <c r="K45" s="4" t="s">
        <v>258</v>
      </c>
      <c r="L45" s="4" t="str">
        <f aca="false">IF(TRIM(LOWER(E45))=TRIM(LOWER(J45)),"Match","Different")</f>
        <v>Different</v>
      </c>
    </row>
    <row r="46" customFormat="false" ht="15" hidden="false" customHeight="false" outlineLevel="0" collapsed="false">
      <c r="A46" s="4" t="s">
        <v>259</v>
      </c>
      <c r="B46" s="4" t="s">
        <v>260</v>
      </c>
      <c r="C46" s="4"/>
      <c r="D46" s="4"/>
      <c r="E46" s="4" t="s">
        <v>32</v>
      </c>
      <c r="F46" s="4" t="s">
        <v>261</v>
      </c>
      <c r="G46" s="4" t="s">
        <v>56</v>
      </c>
      <c r="H46" s="4" t="s">
        <v>66</v>
      </c>
      <c r="I46" s="4" t="s">
        <v>262</v>
      </c>
      <c r="J46" s="4" t="s">
        <v>32</v>
      </c>
      <c r="K46" s="4" t="s">
        <v>263</v>
      </c>
      <c r="L46" s="4" t="str">
        <f aca="false">IF(TRIM(LOWER(E46))=TRIM(LOWER(J46)),"Match","Different")</f>
        <v>Match</v>
      </c>
    </row>
    <row r="47" customFormat="false" ht="15" hidden="false" customHeight="false" outlineLevel="0" collapsed="false">
      <c r="A47" s="4" t="s">
        <v>259</v>
      </c>
      <c r="B47" s="4" t="s">
        <v>260</v>
      </c>
      <c r="C47" s="4"/>
      <c r="D47" s="4"/>
      <c r="E47" s="4" t="s">
        <v>32</v>
      </c>
      <c r="F47" s="4" t="s">
        <v>261</v>
      </c>
      <c r="G47" s="4" t="s">
        <v>56</v>
      </c>
      <c r="H47" s="4" t="s">
        <v>66</v>
      </c>
      <c r="I47" s="4" t="s">
        <v>262</v>
      </c>
      <c r="J47" s="4" t="s">
        <v>32</v>
      </c>
      <c r="K47" s="4" t="s">
        <v>263</v>
      </c>
      <c r="L47" s="4" t="str">
        <f aca="false">IF(TRIM(LOWER(E47))=TRIM(LOWER(J47)),"Match","Different")</f>
        <v>Match</v>
      </c>
    </row>
    <row r="48" customFormat="false" ht="15" hidden="false" customHeight="false" outlineLevel="0" collapsed="false">
      <c r="A48" s="4" t="s">
        <v>259</v>
      </c>
      <c r="B48" s="4" t="s">
        <v>260</v>
      </c>
      <c r="C48" s="4"/>
      <c r="D48" s="4"/>
      <c r="E48" s="4" t="s">
        <v>32</v>
      </c>
      <c r="F48" s="4" t="s">
        <v>261</v>
      </c>
      <c r="G48" s="4" t="s">
        <v>56</v>
      </c>
      <c r="H48" s="4" t="s">
        <v>66</v>
      </c>
      <c r="I48" s="4" t="s">
        <v>262</v>
      </c>
      <c r="J48" s="4" t="s">
        <v>32</v>
      </c>
      <c r="K48" s="4" t="s">
        <v>263</v>
      </c>
      <c r="L48" s="4" t="str">
        <f aca="false">IF(TRIM(LOWER(E48))=TRIM(LOWER(J48)),"Match","Different")</f>
        <v>Match</v>
      </c>
    </row>
    <row r="49" customFormat="false" ht="15" hidden="false" customHeight="false" outlineLevel="0" collapsed="false">
      <c r="A49" s="4" t="s">
        <v>264</v>
      </c>
      <c r="B49" s="4" t="s">
        <v>260</v>
      </c>
      <c r="C49" s="4" t="s">
        <v>265</v>
      </c>
      <c r="D49" s="4" t="s">
        <v>266</v>
      </c>
      <c r="E49" s="4" t="s">
        <v>25</v>
      </c>
      <c r="F49" s="4" t="s">
        <v>261</v>
      </c>
      <c r="G49" s="4" t="s">
        <v>56</v>
      </c>
      <c r="H49" s="4" t="s">
        <v>66</v>
      </c>
      <c r="I49" s="4" t="s">
        <v>262</v>
      </c>
      <c r="J49" s="4" t="s">
        <v>32</v>
      </c>
      <c r="K49" s="4" t="s">
        <v>263</v>
      </c>
      <c r="L49" s="4" t="str">
        <f aca="false">IF(TRIM(LOWER(E49))=TRIM(LOWER(J49)),"Match","Different")</f>
        <v>Different</v>
      </c>
    </row>
    <row r="50" customFormat="false" ht="15" hidden="false" customHeight="false" outlineLevel="0" collapsed="false">
      <c r="A50" s="4" t="s">
        <v>264</v>
      </c>
      <c r="B50" s="4" t="s">
        <v>260</v>
      </c>
      <c r="C50" s="4"/>
      <c r="D50" s="4"/>
      <c r="E50" s="4" t="s">
        <v>32</v>
      </c>
      <c r="F50" s="4" t="s">
        <v>261</v>
      </c>
      <c r="G50" s="4" t="s">
        <v>56</v>
      </c>
      <c r="H50" s="4" t="s">
        <v>66</v>
      </c>
      <c r="I50" s="4" t="s">
        <v>262</v>
      </c>
      <c r="J50" s="4" t="s">
        <v>32</v>
      </c>
      <c r="K50" s="4" t="s">
        <v>263</v>
      </c>
      <c r="L50" s="4" t="str">
        <f aca="false">IF(TRIM(LOWER(E50))=TRIM(LOWER(J50)),"Match","Different")</f>
        <v>Match</v>
      </c>
    </row>
    <row r="51" customFormat="false" ht="15" hidden="false" customHeight="false" outlineLevel="0" collapsed="false">
      <c r="A51" s="4" t="s">
        <v>267</v>
      </c>
      <c r="B51" s="4" t="s">
        <v>260</v>
      </c>
      <c r="C51" s="4" t="s">
        <v>268</v>
      </c>
      <c r="D51" s="4" t="s">
        <v>269</v>
      </c>
      <c r="E51" s="4" t="s">
        <v>32</v>
      </c>
      <c r="F51" s="4" t="s">
        <v>261</v>
      </c>
      <c r="G51" s="4" t="s">
        <v>56</v>
      </c>
      <c r="H51" s="4" t="s">
        <v>66</v>
      </c>
      <c r="I51" s="4" t="s">
        <v>262</v>
      </c>
      <c r="J51" s="4" t="s">
        <v>32</v>
      </c>
      <c r="K51" s="4" t="s">
        <v>263</v>
      </c>
      <c r="L51" s="4" t="str">
        <f aca="false">IF(TRIM(LOWER(E51))=TRIM(LOWER(J51)),"Match","Different")</f>
        <v>Match</v>
      </c>
    </row>
    <row r="52" customFormat="false" ht="15" hidden="false" customHeight="false" outlineLevel="0" collapsed="false">
      <c r="A52" s="4" t="s">
        <v>270</v>
      </c>
      <c r="B52" s="4" t="s">
        <v>260</v>
      </c>
      <c r="C52" s="4" t="s">
        <v>271</v>
      </c>
      <c r="D52" s="4" t="s">
        <v>272</v>
      </c>
      <c r="E52" s="4" t="s">
        <v>25</v>
      </c>
      <c r="F52" s="4" t="s">
        <v>261</v>
      </c>
      <c r="G52" s="4" t="s">
        <v>56</v>
      </c>
      <c r="H52" s="4" t="s">
        <v>66</v>
      </c>
      <c r="I52" s="4" t="s">
        <v>262</v>
      </c>
      <c r="J52" s="4" t="s">
        <v>32</v>
      </c>
      <c r="K52" s="4" t="s">
        <v>263</v>
      </c>
      <c r="L52" s="4" t="str">
        <f aca="false">IF(TRIM(LOWER(E52))=TRIM(LOWER(J52)),"Match","Different")</f>
        <v>Different</v>
      </c>
    </row>
    <row r="53" customFormat="false" ht="15" hidden="false" customHeight="false" outlineLevel="0" collapsed="false">
      <c r="A53" s="4" t="s">
        <v>273</v>
      </c>
      <c r="B53" s="4" t="s">
        <v>274</v>
      </c>
      <c r="C53" s="4" t="s">
        <v>275</v>
      </c>
      <c r="D53" s="4" t="s">
        <v>276</v>
      </c>
      <c r="E53" s="4" t="s">
        <v>64</v>
      </c>
      <c r="F53" s="4" t="s">
        <v>277</v>
      </c>
      <c r="G53" s="4" t="s">
        <v>56</v>
      </c>
      <c r="H53" s="4" t="s">
        <v>66</v>
      </c>
      <c r="I53" s="4" t="s">
        <v>278</v>
      </c>
      <c r="J53" s="4" t="s">
        <v>64</v>
      </c>
      <c r="K53" s="4" t="s">
        <v>275</v>
      </c>
      <c r="L53" s="4" t="str">
        <f aca="false">IF(TRIM(LOWER(E53))=TRIM(LOWER(J53)),"Match","Different")</f>
        <v>Match</v>
      </c>
    </row>
    <row r="54" customFormat="false" ht="15" hidden="false" customHeight="false" outlineLevel="0" collapsed="false">
      <c r="A54" s="4" t="s">
        <v>279</v>
      </c>
      <c r="B54" s="4" t="s">
        <v>274</v>
      </c>
      <c r="C54" s="4" t="s">
        <v>280</v>
      </c>
      <c r="D54" s="4" t="s">
        <v>281</v>
      </c>
      <c r="E54" s="4" t="s">
        <v>64</v>
      </c>
      <c r="F54" s="4" t="s">
        <v>277</v>
      </c>
      <c r="G54" s="4" t="s">
        <v>56</v>
      </c>
      <c r="H54" s="4" t="s">
        <v>66</v>
      </c>
      <c r="I54" s="4" t="s">
        <v>278</v>
      </c>
      <c r="J54" s="4" t="s">
        <v>64</v>
      </c>
      <c r="K54" s="4" t="s">
        <v>275</v>
      </c>
      <c r="L54" s="4" t="str">
        <f aca="false">IF(TRIM(LOWER(E54))=TRIM(LOWER(J54)),"Match","Different")</f>
        <v>Match</v>
      </c>
    </row>
    <row r="55" customFormat="false" ht="15" hidden="false" customHeight="false" outlineLevel="0" collapsed="false">
      <c r="A55" s="4" t="s">
        <v>282</v>
      </c>
      <c r="B55" s="4" t="s">
        <v>283</v>
      </c>
      <c r="C55" s="4" t="s">
        <v>284</v>
      </c>
      <c r="D55" s="4"/>
      <c r="E55" s="4" t="s">
        <v>25</v>
      </c>
      <c r="F55" s="4" t="s">
        <v>285</v>
      </c>
      <c r="G55" s="4" t="s">
        <v>27</v>
      </c>
      <c r="H55" s="4" t="s">
        <v>39</v>
      </c>
      <c r="I55" s="4" t="s">
        <v>83</v>
      </c>
      <c r="J55" s="4" t="s">
        <v>30</v>
      </c>
      <c r="K55" s="4" t="s">
        <v>284</v>
      </c>
      <c r="L55" s="4" t="str">
        <f aca="false">IF(TRIM(LOWER(E55))=TRIM(LOWER(J55)),"Match","Different")</f>
        <v>Different</v>
      </c>
    </row>
    <row r="56" customFormat="false" ht="15" hidden="false" customHeight="false" outlineLevel="0" collapsed="false">
      <c r="A56" s="4" t="s">
        <v>286</v>
      </c>
      <c r="B56" s="4" t="s">
        <v>287</v>
      </c>
      <c r="C56" s="4" t="s">
        <v>288</v>
      </c>
      <c r="D56" s="4" t="s">
        <v>289</v>
      </c>
      <c r="E56" s="4" t="s">
        <v>104</v>
      </c>
      <c r="F56" s="4" t="s">
        <v>290</v>
      </c>
      <c r="G56" s="4" t="s">
        <v>291</v>
      </c>
      <c r="H56" s="4" t="s">
        <v>39</v>
      </c>
      <c r="I56" s="4" t="s">
        <v>57</v>
      </c>
      <c r="J56" s="4" t="s">
        <v>104</v>
      </c>
      <c r="K56" s="4" t="s">
        <v>288</v>
      </c>
      <c r="L56" s="4" t="str">
        <f aca="false">IF(TRIM(LOWER(E56))=TRIM(LOWER(J56)),"Match","Different")</f>
        <v>Match</v>
      </c>
    </row>
    <row r="57" customFormat="false" ht="15" hidden="false" customHeight="false" outlineLevel="0" collapsed="false">
      <c r="A57" s="4" t="s">
        <v>292</v>
      </c>
      <c r="B57" s="4" t="s">
        <v>293</v>
      </c>
      <c r="C57" s="4" t="s">
        <v>294</v>
      </c>
      <c r="D57" s="4" t="s">
        <v>295</v>
      </c>
      <c r="E57" s="4" t="s">
        <v>104</v>
      </c>
      <c r="F57" s="4" t="s">
        <v>296</v>
      </c>
      <c r="G57" s="4" t="s">
        <v>122</v>
      </c>
      <c r="H57" s="4" t="s">
        <v>66</v>
      </c>
      <c r="I57" s="4" t="s">
        <v>297</v>
      </c>
      <c r="J57" s="4" t="s">
        <v>104</v>
      </c>
      <c r="K57" s="4" t="s">
        <v>298</v>
      </c>
      <c r="L57" s="4" t="str">
        <f aca="false">IF(TRIM(LOWER(E57))=TRIM(LOWER(J57)),"Match","Different")</f>
        <v>Match</v>
      </c>
    </row>
    <row r="58" customFormat="false" ht="15" hidden="false" customHeight="false" outlineLevel="0" collapsed="false">
      <c r="A58" s="4" t="s">
        <v>299</v>
      </c>
      <c r="B58" s="4" t="s">
        <v>300</v>
      </c>
      <c r="C58" s="4" t="s">
        <v>301</v>
      </c>
      <c r="D58" s="4" t="s">
        <v>302</v>
      </c>
      <c r="E58" s="4" t="s">
        <v>25</v>
      </c>
      <c r="F58" s="4" t="s">
        <v>303</v>
      </c>
      <c r="G58" s="4" t="s">
        <v>291</v>
      </c>
      <c r="H58" s="4" t="s">
        <v>28</v>
      </c>
      <c r="I58" s="4" t="s">
        <v>123</v>
      </c>
      <c r="J58" s="4" t="s">
        <v>32</v>
      </c>
      <c r="K58" s="4" t="s">
        <v>301</v>
      </c>
      <c r="L58" s="4" t="str">
        <f aca="false">IF(TRIM(LOWER(E58))=TRIM(LOWER(J58)),"Match","Different")</f>
        <v>Different</v>
      </c>
    </row>
    <row r="59" customFormat="false" ht="15" hidden="false" customHeight="false" outlineLevel="0" collapsed="false">
      <c r="A59" s="4" t="s">
        <v>304</v>
      </c>
      <c r="B59" s="4" t="s">
        <v>305</v>
      </c>
      <c r="C59" s="4" t="s">
        <v>306</v>
      </c>
      <c r="D59" s="4" t="s">
        <v>307</v>
      </c>
      <c r="E59" s="4" t="s">
        <v>104</v>
      </c>
      <c r="F59" s="4" t="s">
        <v>308</v>
      </c>
      <c r="G59" s="4" t="s">
        <v>122</v>
      </c>
      <c r="H59" s="4" t="s">
        <v>39</v>
      </c>
      <c r="I59" s="4" t="s">
        <v>309</v>
      </c>
      <c r="J59" s="4" t="s">
        <v>104</v>
      </c>
      <c r="K59" s="4" t="s">
        <v>310</v>
      </c>
      <c r="L59" s="4" t="str">
        <f aca="false">IF(TRIM(LOWER(E59))=TRIM(LOWER(J59)),"Match","Different")</f>
        <v>Match</v>
      </c>
    </row>
    <row r="60" customFormat="false" ht="15" hidden="false" customHeight="false" outlineLevel="0" collapsed="false">
      <c r="A60" s="4" t="s">
        <v>311</v>
      </c>
      <c r="B60" s="4" t="s">
        <v>312</v>
      </c>
      <c r="C60" s="4" t="s">
        <v>313</v>
      </c>
      <c r="D60" s="4" t="s">
        <v>314</v>
      </c>
      <c r="E60" s="4" t="s">
        <v>104</v>
      </c>
      <c r="F60" s="4" t="s">
        <v>315</v>
      </c>
      <c r="G60" s="4" t="s">
        <v>38</v>
      </c>
      <c r="H60" s="4" t="s">
        <v>39</v>
      </c>
      <c r="I60" s="4" t="s">
        <v>99</v>
      </c>
      <c r="J60" s="4" t="s">
        <v>104</v>
      </c>
      <c r="K60" s="4" t="s">
        <v>316</v>
      </c>
      <c r="L60" s="4" t="str">
        <f aca="false">IF(TRIM(LOWER(E60))=TRIM(LOWER(J60)),"Match","Different")</f>
        <v>Match</v>
      </c>
    </row>
    <row r="61" customFormat="false" ht="15" hidden="false" customHeight="false" outlineLevel="0" collapsed="false">
      <c r="A61" s="4" t="s">
        <v>317</v>
      </c>
      <c r="B61" s="4" t="s">
        <v>318</v>
      </c>
      <c r="C61" s="4" t="s">
        <v>319</v>
      </c>
      <c r="D61" s="4" t="s">
        <v>320</v>
      </c>
      <c r="E61" s="4" t="s">
        <v>89</v>
      </c>
      <c r="F61" s="4" t="s">
        <v>321</v>
      </c>
      <c r="G61" s="4" t="s">
        <v>27</v>
      </c>
      <c r="H61" s="4" t="s">
        <v>39</v>
      </c>
      <c r="I61" s="4" t="s">
        <v>83</v>
      </c>
      <c r="J61" s="4" t="s">
        <v>32</v>
      </c>
      <c r="K61" s="4" t="s">
        <v>322</v>
      </c>
      <c r="L61" s="4" t="str">
        <f aca="false">IF(TRIM(LOWER(E61))=TRIM(LOWER(J61)),"Match","Different")</f>
        <v>Different</v>
      </c>
    </row>
    <row r="62" customFormat="false" ht="15" hidden="false" customHeight="false" outlineLevel="0" collapsed="false">
      <c r="A62" s="4" t="s">
        <v>323</v>
      </c>
      <c r="B62" s="4" t="s">
        <v>324</v>
      </c>
      <c r="C62" s="4" t="s">
        <v>325</v>
      </c>
      <c r="D62" s="4" t="s">
        <v>326</v>
      </c>
      <c r="E62" s="4" t="s">
        <v>64</v>
      </c>
      <c r="F62" s="4" t="s">
        <v>327</v>
      </c>
      <c r="G62" s="4" t="s">
        <v>207</v>
      </c>
      <c r="H62" s="4" t="s">
        <v>39</v>
      </c>
      <c r="I62" s="4" t="s">
        <v>99</v>
      </c>
      <c r="J62" s="4" t="s">
        <v>64</v>
      </c>
      <c r="K62" s="4" t="s">
        <v>328</v>
      </c>
      <c r="L62" s="4" t="str">
        <f aca="false">IF(TRIM(LOWER(E62))=TRIM(LOWER(J62)),"Match","Different")</f>
        <v>Match</v>
      </c>
    </row>
    <row r="63" customFormat="false" ht="15" hidden="false" customHeight="false" outlineLevel="0" collapsed="false">
      <c r="A63" s="4" t="s">
        <v>329</v>
      </c>
      <c r="B63" s="4" t="s">
        <v>330</v>
      </c>
      <c r="C63" s="4" t="s">
        <v>331</v>
      </c>
      <c r="D63" s="4" t="s">
        <v>332</v>
      </c>
      <c r="E63" s="4" t="s">
        <v>333</v>
      </c>
      <c r="F63" s="4" t="s">
        <v>334</v>
      </c>
      <c r="G63" s="4" t="s">
        <v>335</v>
      </c>
      <c r="H63" s="4" t="s">
        <v>336</v>
      </c>
      <c r="I63" s="4" t="s">
        <v>336</v>
      </c>
      <c r="J63" s="4" t="s">
        <v>333</v>
      </c>
      <c r="K63" s="4" t="s">
        <v>337</v>
      </c>
      <c r="L63" s="4" t="str">
        <f aca="false">IF(TRIM(LOWER(E63))=TRIM(LOWER(J63)),"Match","Different")</f>
        <v>Match</v>
      </c>
    </row>
    <row r="64" customFormat="false" ht="15" hidden="false" customHeight="false" outlineLevel="0" collapsed="false">
      <c r="A64" s="4" t="s">
        <v>338</v>
      </c>
      <c r="B64" s="4" t="s">
        <v>339</v>
      </c>
      <c r="C64" s="4" t="s">
        <v>340</v>
      </c>
      <c r="D64" s="4"/>
      <c r="E64" s="4" t="s">
        <v>341</v>
      </c>
      <c r="F64" s="4" t="s">
        <v>342</v>
      </c>
      <c r="G64" s="4" t="s">
        <v>56</v>
      </c>
      <c r="H64" s="4" t="s">
        <v>39</v>
      </c>
      <c r="I64" s="4" t="s">
        <v>99</v>
      </c>
      <c r="J64" s="4" t="s">
        <v>104</v>
      </c>
      <c r="K64" s="4" t="s">
        <v>343</v>
      </c>
      <c r="L64" s="4" t="str">
        <f aca="false">IF(TRIM(LOWER(E64))=TRIM(LOWER(J64)),"Match","Different")</f>
        <v>Different</v>
      </c>
    </row>
    <row r="65" customFormat="false" ht="15" hidden="false" customHeight="false" outlineLevel="0" collapsed="false">
      <c r="A65" s="4" t="s">
        <v>344</v>
      </c>
      <c r="B65" s="4" t="s">
        <v>339</v>
      </c>
      <c r="C65" s="4" t="s">
        <v>345</v>
      </c>
      <c r="D65" s="4"/>
      <c r="E65" s="4" t="s">
        <v>104</v>
      </c>
      <c r="F65" s="4" t="s">
        <v>342</v>
      </c>
      <c r="G65" s="4" t="s">
        <v>56</v>
      </c>
      <c r="H65" s="4" t="s">
        <v>39</v>
      </c>
      <c r="I65" s="4" t="s">
        <v>99</v>
      </c>
      <c r="J65" s="4" t="s">
        <v>104</v>
      </c>
      <c r="K65" s="4" t="s">
        <v>343</v>
      </c>
      <c r="L65" s="4" t="str">
        <f aca="false">IF(TRIM(LOWER(E65))=TRIM(LOWER(J65)),"Match","Different")</f>
        <v>Match</v>
      </c>
    </row>
    <row r="66" customFormat="false" ht="15" hidden="false" customHeight="false" outlineLevel="0" collapsed="false">
      <c r="A66" s="4" t="s">
        <v>346</v>
      </c>
      <c r="B66" s="4" t="s">
        <v>347</v>
      </c>
      <c r="C66" s="4" t="s">
        <v>348</v>
      </c>
      <c r="D66" s="4"/>
      <c r="E66" s="4" t="s">
        <v>50</v>
      </c>
      <c r="F66" s="4" t="s">
        <v>349</v>
      </c>
      <c r="G66" s="4" t="s">
        <v>128</v>
      </c>
      <c r="H66" s="4" t="s">
        <v>66</v>
      </c>
      <c r="I66" s="4" t="s">
        <v>297</v>
      </c>
      <c r="J66" s="4" t="s">
        <v>100</v>
      </c>
      <c r="K66" s="4" t="s">
        <v>348</v>
      </c>
      <c r="L66" s="4" t="str">
        <f aca="false">IF(TRIM(LOWER(E66))=TRIM(LOWER(J66)),"Match","Different")</f>
        <v>Different</v>
      </c>
    </row>
    <row r="67" customFormat="false" ht="15" hidden="false" customHeight="false" outlineLevel="0" collapsed="false">
      <c r="A67" s="4" t="s">
        <v>350</v>
      </c>
      <c r="B67" s="4" t="s">
        <v>351</v>
      </c>
      <c r="C67" s="4" t="s">
        <v>352</v>
      </c>
      <c r="D67" s="4" t="s">
        <v>353</v>
      </c>
      <c r="E67" s="4" t="s">
        <v>50</v>
      </c>
      <c r="F67" s="4" t="s">
        <v>354</v>
      </c>
      <c r="G67" s="4" t="s">
        <v>38</v>
      </c>
      <c r="H67" s="4" t="s">
        <v>28</v>
      </c>
      <c r="I67" s="4" t="s">
        <v>123</v>
      </c>
      <c r="J67" s="4" t="s">
        <v>32</v>
      </c>
      <c r="K67" s="4" t="s">
        <v>355</v>
      </c>
      <c r="L67" s="4" t="str">
        <f aca="false">IF(TRIM(LOWER(E67))=TRIM(LOWER(J67)),"Match","Different")</f>
        <v>Different</v>
      </c>
    </row>
    <row r="68" customFormat="false" ht="15" hidden="false" customHeight="false" outlineLevel="0" collapsed="false">
      <c r="A68" s="4" t="s">
        <v>356</v>
      </c>
      <c r="B68" s="4" t="s">
        <v>357</v>
      </c>
      <c r="C68" s="4"/>
      <c r="D68" s="4"/>
      <c r="E68" s="4" t="s">
        <v>32</v>
      </c>
      <c r="F68" s="4" t="s">
        <v>358</v>
      </c>
      <c r="G68" s="4" t="s">
        <v>359</v>
      </c>
      <c r="H68" s="4" t="s">
        <v>39</v>
      </c>
      <c r="I68" s="4" t="s">
        <v>40</v>
      </c>
      <c r="J68" s="4" t="s">
        <v>32</v>
      </c>
      <c r="K68" s="4" t="s">
        <v>360</v>
      </c>
      <c r="L68" s="4" t="str">
        <f aca="false">IF(TRIM(LOWER(E68))=TRIM(LOWER(J68)),"Match","Different")</f>
        <v>Match</v>
      </c>
    </row>
    <row r="69" customFormat="false" ht="15" hidden="false" customHeight="false" outlineLevel="0" collapsed="false">
      <c r="A69" s="4" t="s">
        <v>361</v>
      </c>
      <c r="B69" s="4" t="s">
        <v>357</v>
      </c>
      <c r="C69" s="4" t="s">
        <v>362</v>
      </c>
      <c r="D69" s="4" t="s">
        <v>363</v>
      </c>
      <c r="E69" s="4" t="s">
        <v>25</v>
      </c>
      <c r="F69" s="4" t="s">
        <v>358</v>
      </c>
      <c r="G69" s="4" t="s">
        <v>359</v>
      </c>
      <c r="H69" s="4" t="s">
        <v>39</v>
      </c>
      <c r="I69" s="4" t="s">
        <v>40</v>
      </c>
      <c r="J69" s="4" t="s">
        <v>32</v>
      </c>
      <c r="K69" s="4" t="s">
        <v>360</v>
      </c>
      <c r="L69" s="4" t="str">
        <f aca="false">IF(TRIM(LOWER(E69))=TRIM(LOWER(J69)),"Match","Different")</f>
        <v>Different</v>
      </c>
    </row>
    <row r="70" customFormat="false" ht="15" hidden="false" customHeight="false" outlineLevel="0" collapsed="false">
      <c r="A70" s="4" t="s">
        <v>364</v>
      </c>
      <c r="B70" s="4" t="s">
        <v>357</v>
      </c>
      <c r="C70" s="4" t="s">
        <v>365</v>
      </c>
      <c r="D70" s="4" t="s">
        <v>366</v>
      </c>
      <c r="E70" s="4" t="s">
        <v>25</v>
      </c>
      <c r="F70" s="4" t="s">
        <v>358</v>
      </c>
      <c r="G70" s="4" t="s">
        <v>359</v>
      </c>
      <c r="H70" s="4" t="s">
        <v>39</v>
      </c>
      <c r="I70" s="4" t="s">
        <v>40</v>
      </c>
      <c r="J70" s="4" t="s">
        <v>32</v>
      </c>
      <c r="K70" s="4" t="s">
        <v>360</v>
      </c>
      <c r="L70" s="4" t="str">
        <f aca="false">IF(TRIM(LOWER(E70))=TRIM(LOWER(J70)),"Match","Different")</f>
        <v>Different</v>
      </c>
    </row>
    <row r="71" customFormat="false" ht="15" hidden="false" customHeight="false" outlineLevel="0" collapsed="false">
      <c r="A71" s="4" t="s">
        <v>367</v>
      </c>
      <c r="B71" s="4" t="s">
        <v>368</v>
      </c>
      <c r="C71" s="4"/>
      <c r="D71" s="4" t="s">
        <v>369</v>
      </c>
      <c r="E71" s="4" t="s">
        <v>170</v>
      </c>
      <c r="F71" s="4" t="s">
        <v>370</v>
      </c>
      <c r="G71" s="4" t="s">
        <v>359</v>
      </c>
      <c r="H71" s="4" t="s">
        <v>172</v>
      </c>
      <c r="I71" s="4" t="s">
        <v>173</v>
      </c>
      <c r="J71" s="4" t="s">
        <v>174</v>
      </c>
      <c r="K71" s="4" t="s">
        <v>371</v>
      </c>
      <c r="L71" s="4" t="str">
        <f aca="false">IF(TRIM(LOWER(E71))=TRIM(LOWER(J71)),"Match","Different")</f>
        <v>Different</v>
      </c>
    </row>
    <row r="72" customFormat="false" ht="15" hidden="false" customHeight="false" outlineLevel="0" collapsed="false">
      <c r="A72" s="4" t="s">
        <v>372</v>
      </c>
      <c r="B72" s="4" t="s">
        <v>368</v>
      </c>
      <c r="C72" s="4" t="s">
        <v>373</v>
      </c>
      <c r="D72" s="4" t="s">
        <v>369</v>
      </c>
      <c r="E72" s="4" t="s">
        <v>170</v>
      </c>
      <c r="F72" s="4" t="s">
        <v>370</v>
      </c>
      <c r="G72" s="4" t="s">
        <v>359</v>
      </c>
      <c r="H72" s="4" t="s">
        <v>172</v>
      </c>
      <c r="I72" s="4" t="s">
        <v>173</v>
      </c>
      <c r="J72" s="4" t="s">
        <v>174</v>
      </c>
      <c r="K72" s="4" t="s">
        <v>371</v>
      </c>
      <c r="L72" s="4" t="str">
        <f aca="false">IF(TRIM(LOWER(E72))=TRIM(LOWER(J72)),"Match","Different")</f>
        <v>Different</v>
      </c>
    </row>
    <row r="73" customFormat="false" ht="15" hidden="false" customHeight="false" outlineLevel="0" collapsed="false">
      <c r="A73" s="4" t="s">
        <v>374</v>
      </c>
      <c r="B73" s="4" t="s">
        <v>368</v>
      </c>
      <c r="C73" s="4"/>
      <c r="D73" s="4" t="s">
        <v>375</v>
      </c>
      <c r="E73" s="4" t="s">
        <v>170</v>
      </c>
      <c r="F73" s="4" t="s">
        <v>370</v>
      </c>
      <c r="G73" s="4" t="s">
        <v>359</v>
      </c>
      <c r="H73" s="4" t="s">
        <v>172</v>
      </c>
      <c r="I73" s="4" t="s">
        <v>173</v>
      </c>
      <c r="J73" s="4" t="s">
        <v>174</v>
      </c>
      <c r="K73" s="4" t="s">
        <v>371</v>
      </c>
      <c r="L73" s="4" t="str">
        <f aca="false">IF(TRIM(LOWER(E73))=TRIM(LOWER(J73)),"Match","Different")</f>
        <v>Different</v>
      </c>
    </row>
    <row r="74" customFormat="false" ht="15" hidden="false" customHeight="false" outlineLevel="0" collapsed="false">
      <c r="A74" s="4" t="s">
        <v>376</v>
      </c>
      <c r="B74" s="4" t="s">
        <v>377</v>
      </c>
      <c r="C74" s="4" t="s">
        <v>378</v>
      </c>
      <c r="D74" s="4"/>
      <c r="E74" s="4" t="s">
        <v>54</v>
      </c>
      <c r="F74" s="4" t="s">
        <v>379</v>
      </c>
      <c r="G74" s="4" t="s">
        <v>82</v>
      </c>
      <c r="H74" s="4" t="s">
        <v>66</v>
      </c>
      <c r="I74" s="4" t="s">
        <v>278</v>
      </c>
      <c r="J74" s="4" t="s">
        <v>58</v>
      </c>
      <c r="K74" s="4" t="s">
        <v>380</v>
      </c>
      <c r="L74" s="4" t="str">
        <f aca="false">IF(TRIM(LOWER(E74))=TRIM(LOWER(J74)),"Match","Different")</f>
        <v>Different</v>
      </c>
    </row>
    <row r="75" customFormat="false" ht="15" hidden="false" customHeight="false" outlineLevel="0" collapsed="false">
      <c r="A75" s="4" t="s">
        <v>381</v>
      </c>
      <c r="B75" s="4" t="s">
        <v>382</v>
      </c>
      <c r="C75" s="4"/>
      <c r="D75" s="4"/>
      <c r="E75" s="4" t="s">
        <v>383</v>
      </c>
      <c r="F75" s="4" t="s">
        <v>384</v>
      </c>
      <c r="G75" s="4" t="s">
        <v>38</v>
      </c>
      <c r="H75" s="4" t="s">
        <v>39</v>
      </c>
      <c r="I75" s="4" t="s">
        <v>99</v>
      </c>
      <c r="J75" s="4" t="s">
        <v>104</v>
      </c>
      <c r="K75" s="4" t="s">
        <v>385</v>
      </c>
      <c r="L75" s="4" t="str">
        <f aca="false">IF(TRIM(LOWER(E75))=TRIM(LOWER(J75)),"Match","Different")</f>
        <v>Different</v>
      </c>
    </row>
    <row r="76" customFormat="false" ht="15" hidden="false" customHeight="false" outlineLevel="0" collapsed="false">
      <c r="A76" s="4" t="s">
        <v>386</v>
      </c>
      <c r="B76" s="4" t="s">
        <v>382</v>
      </c>
      <c r="C76" s="4" t="s">
        <v>385</v>
      </c>
      <c r="D76" s="4"/>
      <c r="E76" s="4" t="s">
        <v>104</v>
      </c>
      <c r="F76" s="4" t="s">
        <v>384</v>
      </c>
      <c r="G76" s="4" t="s">
        <v>38</v>
      </c>
      <c r="H76" s="4" t="s">
        <v>39</v>
      </c>
      <c r="I76" s="4" t="s">
        <v>99</v>
      </c>
      <c r="J76" s="4" t="s">
        <v>104</v>
      </c>
      <c r="K76" s="4" t="s">
        <v>385</v>
      </c>
      <c r="L76" s="4" t="str">
        <f aca="false">IF(TRIM(LOWER(E76))=TRIM(LOWER(J76)),"Match","Different")</f>
        <v>Match</v>
      </c>
    </row>
    <row r="77" customFormat="false" ht="15" hidden="false" customHeight="false" outlineLevel="0" collapsed="false">
      <c r="A77" s="4" t="s">
        <v>387</v>
      </c>
      <c r="B77" s="4" t="s">
        <v>388</v>
      </c>
      <c r="C77" s="4" t="s">
        <v>389</v>
      </c>
      <c r="D77" s="4" t="s">
        <v>390</v>
      </c>
      <c r="E77" s="4" t="s">
        <v>25</v>
      </c>
      <c r="F77" s="4" t="s">
        <v>391</v>
      </c>
      <c r="G77" s="4" t="s">
        <v>359</v>
      </c>
      <c r="H77" s="4" t="s">
        <v>66</v>
      </c>
      <c r="I77" s="4" t="s">
        <v>297</v>
      </c>
      <c r="J77" s="4" t="s">
        <v>392</v>
      </c>
      <c r="K77" s="4" t="s">
        <v>393</v>
      </c>
      <c r="L77" s="4" t="str">
        <f aca="false">IF(TRIM(LOWER(E77))=TRIM(LOWER(J77)),"Match","Different")</f>
        <v>Different</v>
      </c>
    </row>
    <row r="78" customFormat="false" ht="15" hidden="false" customHeight="false" outlineLevel="0" collapsed="false">
      <c r="A78" s="4" t="s">
        <v>394</v>
      </c>
      <c r="B78" s="4" t="s">
        <v>388</v>
      </c>
      <c r="C78" s="4" t="s">
        <v>395</v>
      </c>
      <c r="D78" s="4"/>
      <c r="E78" s="4" t="s">
        <v>25</v>
      </c>
      <c r="F78" s="4" t="s">
        <v>391</v>
      </c>
      <c r="G78" s="4" t="s">
        <v>359</v>
      </c>
      <c r="H78" s="4" t="s">
        <v>66</v>
      </c>
      <c r="I78" s="4" t="s">
        <v>297</v>
      </c>
      <c r="J78" s="4" t="s">
        <v>392</v>
      </c>
      <c r="K78" s="4" t="s">
        <v>393</v>
      </c>
      <c r="L78" s="4" t="str">
        <f aca="false">IF(TRIM(LOWER(E78))=TRIM(LOWER(J78)),"Match","Different")</f>
        <v>Different</v>
      </c>
    </row>
    <row r="79" customFormat="false" ht="15" hidden="false" customHeight="false" outlineLevel="0" collapsed="false">
      <c r="A79" s="4" t="s">
        <v>396</v>
      </c>
      <c r="B79" s="4" t="s">
        <v>388</v>
      </c>
      <c r="C79" s="4" t="s">
        <v>393</v>
      </c>
      <c r="D79" s="4" t="s">
        <v>397</v>
      </c>
      <c r="E79" s="4" t="s">
        <v>25</v>
      </c>
      <c r="F79" s="4" t="s">
        <v>391</v>
      </c>
      <c r="G79" s="4" t="s">
        <v>359</v>
      </c>
      <c r="H79" s="4" t="s">
        <v>66</v>
      </c>
      <c r="I79" s="4" t="s">
        <v>297</v>
      </c>
      <c r="J79" s="4" t="s">
        <v>392</v>
      </c>
      <c r="K79" s="4" t="s">
        <v>393</v>
      </c>
      <c r="L79" s="4" t="str">
        <f aca="false">IF(TRIM(LOWER(E79))=TRIM(LOWER(J79)),"Match","Different")</f>
        <v>Different</v>
      </c>
    </row>
    <row r="80" customFormat="false" ht="15" hidden="false" customHeight="false" outlineLevel="0" collapsed="false">
      <c r="A80" s="4" t="s">
        <v>398</v>
      </c>
      <c r="B80" s="4" t="s">
        <v>399</v>
      </c>
      <c r="C80" s="4"/>
      <c r="D80" s="4" t="s">
        <v>400</v>
      </c>
      <c r="E80" s="4" t="s">
        <v>383</v>
      </c>
      <c r="F80" s="4" t="s">
        <v>401</v>
      </c>
      <c r="G80" s="4" t="s">
        <v>27</v>
      </c>
      <c r="H80" s="4" t="s">
        <v>66</v>
      </c>
      <c r="I80" s="4" t="s">
        <v>402</v>
      </c>
      <c r="J80" s="4" t="s">
        <v>100</v>
      </c>
      <c r="K80" s="4" t="s">
        <v>403</v>
      </c>
      <c r="L80" s="4" t="str">
        <f aca="false">IF(TRIM(LOWER(E80))=TRIM(LOWER(J80)),"Match","Different")</f>
        <v>Different</v>
      </c>
    </row>
    <row r="81" customFormat="false" ht="15" hidden="false" customHeight="false" outlineLevel="0" collapsed="false">
      <c r="A81" s="4" t="s">
        <v>404</v>
      </c>
      <c r="B81" s="4" t="s">
        <v>399</v>
      </c>
      <c r="C81" s="4" t="s">
        <v>405</v>
      </c>
      <c r="D81" s="4"/>
      <c r="E81" s="4" t="s">
        <v>54</v>
      </c>
      <c r="F81" s="4" t="s">
        <v>401</v>
      </c>
      <c r="G81" s="4" t="s">
        <v>27</v>
      </c>
      <c r="H81" s="4" t="s">
        <v>66</v>
      </c>
      <c r="I81" s="4" t="s">
        <v>402</v>
      </c>
      <c r="J81" s="4" t="s">
        <v>100</v>
      </c>
      <c r="K81" s="4" t="s">
        <v>403</v>
      </c>
      <c r="L81" s="4" t="str">
        <f aca="false">IF(TRIM(LOWER(E81))=TRIM(LOWER(J81)),"Match","Different")</f>
        <v>Different</v>
      </c>
    </row>
    <row r="82" customFormat="false" ht="15" hidden="false" customHeight="false" outlineLevel="0" collapsed="false">
      <c r="A82" s="4" t="s">
        <v>406</v>
      </c>
      <c r="B82" s="4" t="s">
        <v>407</v>
      </c>
      <c r="C82" s="4" t="s">
        <v>408</v>
      </c>
      <c r="D82" s="4" t="s">
        <v>409</v>
      </c>
      <c r="E82" s="4" t="s">
        <v>104</v>
      </c>
      <c r="F82" s="4" t="s">
        <v>410</v>
      </c>
      <c r="G82" s="4" t="s">
        <v>56</v>
      </c>
      <c r="H82" s="4" t="s">
        <v>66</v>
      </c>
      <c r="I82" s="4" t="s">
        <v>91</v>
      </c>
      <c r="J82" s="4" t="s">
        <v>104</v>
      </c>
      <c r="K82" s="4" t="s">
        <v>411</v>
      </c>
      <c r="L82" s="4" t="str">
        <f aca="false">IF(TRIM(LOWER(E82))=TRIM(LOWER(J82)),"Match","Different")</f>
        <v>Match</v>
      </c>
    </row>
    <row r="83" customFormat="false" ht="15" hidden="false" customHeight="false" outlineLevel="0" collapsed="false">
      <c r="A83" s="4" t="s">
        <v>412</v>
      </c>
      <c r="B83" s="4" t="s">
        <v>407</v>
      </c>
      <c r="C83" s="4" t="s">
        <v>411</v>
      </c>
      <c r="D83" s="4"/>
      <c r="E83" s="4" t="s">
        <v>341</v>
      </c>
      <c r="F83" s="4" t="s">
        <v>410</v>
      </c>
      <c r="G83" s="4" t="s">
        <v>56</v>
      </c>
      <c r="H83" s="4" t="s">
        <v>66</v>
      </c>
      <c r="I83" s="4" t="s">
        <v>91</v>
      </c>
      <c r="J83" s="4" t="s">
        <v>104</v>
      </c>
      <c r="K83" s="4" t="s">
        <v>411</v>
      </c>
      <c r="L83" s="4" t="str">
        <f aca="false">IF(TRIM(LOWER(E83))=TRIM(LOWER(J83)),"Match","Different")</f>
        <v>Different</v>
      </c>
    </row>
    <row r="84" customFormat="false" ht="15" hidden="false" customHeight="false" outlineLevel="0" collapsed="false">
      <c r="A84" s="4" t="s">
        <v>413</v>
      </c>
      <c r="B84" s="4" t="s">
        <v>407</v>
      </c>
      <c r="C84" s="4"/>
      <c r="D84" s="4"/>
      <c r="E84" s="4" t="s">
        <v>32</v>
      </c>
      <c r="F84" s="4" t="s">
        <v>410</v>
      </c>
      <c r="G84" s="4" t="s">
        <v>56</v>
      </c>
      <c r="H84" s="4" t="s">
        <v>66</v>
      </c>
      <c r="I84" s="4" t="s">
        <v>91</v>
      </c>
      <c r="J84" s="4" t="s">
        <v>104</v>
      </c>
      <c r="K84" s="4" t="s">
        <v>411</v>
      </c>
      <c r="L84" s="4" t="str">
        <f aca="false">IF(TRIM(LOWER(E84))=TRIM(LOWER(J84)),"Match","Different")</f>
        <v>Different</v>
      </c>
    </row>
    <row r="85" customFormat="false" ht="15" hidden="false" customHeight="false" outlineLevel="0" collapsed="false">
      <c r="A85" s="4" t="s">
        <v>414</v>
      </c>
      <c r="B85" s="4" t="s">
        <v>415</v>
      </c>
      <c r="C85" s="4" t="s">
        <v>416</v>
      </c>
      <c r="D85" s="4" t="s">
        <v>417</v>
      </c>
      <c r="E85" s="4" t="s">
        <v>89</v>
      </c>
      <c r="F85" s="4" t="s">
        <v>418</v>
      </c>
      <c r="G85" s="4" t="s">
        <v>27</v>
      </c>
      <c r="H85" s="4" t="s">
        <v>28</v>
      </c>
      <c r="I85" s="4" t="s">
        <v>123</v>
      </c>
      <c r="J85" s="4" t="s">
        <v>100</v>
      </c>
      <c r="K85" s="4"/>
      <c r="L85" s="4" t="str">
        <f aca="false">IF(TRIM(LOWER(E85))=TRIM(LOWER(J85)),"Match","Different")</f>
        <v>Different</v>
      </c>
    </row>
    <row r="86" customFormat="false" ht="15" hidden="false" customHeight="false" outlineLevel="0" collapsed="false">
      <c r="A86" s="4" t="s">
        <v>419</v>
      </c>
      <c r="B86" s="4" t="s">
        <v>420</v>
      </c>
      <c r="C86" s="4" t="s">
        <v>421</v>
      </c>
      <c r="D86" s="4" t="s">
        <v>422</v>
      </c>
      <c r="E86" s="4" t="s">
        <v>64</v>
      </c>
      <c r="F86" s="4" t="s">
        <v>423</v>
      </c>
      <c r="G86" s="4" t="s">
        <v>207</v>
      </c>
      <c r="H86" s="4" t="s">
        <v>39</v>
      </c>
      <c r="I86" s="4" t="s">
        <v>99</v>
      </c>
      <c r="J86" s="4" t="s">
        <v>100</v>
      </c>
      <c r="K86" s="4" t="s">
        <v>424</v>
      </c>
      <c r="L86" s="4" t="str">
        <f aca="false">IF(TRIM(LOWER(E86))=TRIM(LOWER(J86)),"Match","Different")</f>
        <v>Different</v>
      </c>
    </row>
    <row r="87" customFormat="false" ht="15" hidden="false" customHeight="false" outlineLevel="0" collapsed="false">
      <c r="A87" s="4" t="s">
        <v>425</v>
      </c>
      <c r="B87" s="4" t="s">
        <v>426</v>
      </c>
      <c r="C87" s="4" t="s">
        <v>427</v>
      </c>
      <c r="D87" s="4" t="s">
        <v>428</v>
      </c>
      <c r="E87" s="4" t="s">
        <v>25</v>
      </c>
      <c r="F87" s="4" t="s">
        <v>429</v>
      </c>
      <c r="G87" s="4" t="s">
        <v>47</v>
      </c>
      <c r="H87" s="4" t="s">
        <v>39</v>
      </c>
      <c r="I87" s="4" t="s">
        <v>430</v>
      </c>
      <c r="J87" s="4" t="s">
        <v>50</v>
      </c>
      <c r="K87" s="4" t="s">
        <v>431</v>
      </c>
      <c r="L87" s="4" t="str">
        <f aca="false">IF(TRIM(LOWER(E87))=TRIM(LOWER(J87)),"Match","Different")</f>
        <v>Different</v>
      </c>
    </row>
    <row r="88" customFormat="false" ht="15" hidden="false" customHeight="false" outlineLevel="0" collapsed="false">
      <c r="A88" s="4" t="s">
        <v>432</v>
      </c>
      <c r="B88" s="4" t="s">
        <v>426</v>
      </c>
      <c r="C88" s="4" t="s">
        <v>433</v>
      </c>
      <c r="D88" s="4" t="s">
        <v>434</v>
      </c>
      <c r="E88" s="4" t="s">
        <v>25</v>
      </c>
      <c r="F88" s="4" t="s">
        <v>429</v>
      </c>
      <c r="G88" s="4" t="s">
        <v>47</v>
      </c>
      <c r="H88" s="4" t="s">
        <v>39</v>
      </c>
      <c r="I88" s="4" t="s">
        <v>430</v>
      </c>
      <c r="J88" s="4" t="s">
        <v>50</v>
      </c>
      <c r="K88" s="4" t="s">
        <v>431</v>
      </c>
      <c r="L88" s="4" t="str">
        <f aca="false">IF(TRIM(LOWER(E88))=TRIM(LOWER(J88)),"Match","Different")</f>
        <v>Different</v>
      </c>
    </row>
    <row r="89" customFormat="false" ht="15" hidden="false" customHeight="false" outlineLevel="0" collapsed="false">
      <c r="A89" s="4" t="s">
        <v>432</v>
      </c>
      <c r="B89" s="4" t="s">
        <v>426</v>
      </c>
      <c r="C89" s="4" t="s">
        <v>435</v>
      </c>
      <c r="D89" s="4" t="s">
        <v>436</v>
      </c>
      <c r="E89" s="4" t="s">
        <v>25</v>
      </c>
      <c r="F89" s="4" t="s">
        <v>429</v>
      </c>
      <c r="G89" s="4" t="s">
        <v>47</v>
      </c>
      <c r="H89" s="4" t="s">
        <v>39</v>
      </c>
      <c r="I89" s="4" t="s">
        <v>430</v>
      </c>
      <c r="J89" s="4" t="s">
        <v>50</v>
      </c>
      <c r="K89" s="4" t="s">
        <v>431</v>
      </c>
      <c r="L89" s="4" t="str">
        <f aca="false">IF(TRIM(LOWER(E89))=TRIM(LOWER(J89)),"Match","Different")</f>
        <v>Different</v>
      </c>
    </row>
    <row r="90" customFormat="false" ht="15" hidden="false" customHeight="false" outlineLevel="0" collapsed="false">
      <c r="A90" s="4" t="s">
        <v>437</v>
      </c>
      <c r="B90" s="4" t="s">
        <v>426</v>
      </c>
      <c r="C90" s="4" t="s">
        <v>438</v>
      </c>
      <c r="D90" s="4" t="s">
        <v>439</v>
      </c>
      <c r="E90" s="4" t="s">
        <v>25</v>
      </c>
      <c r="F90" s="4" t="s">
        <v>429</v>
      </c>
      <c r="G90" s="4" t="s">
        <v>47</v>
      </c>
      <c r="H90" s="4" t="s">
        <v>39</v>
      </c>
      <c r="I90" s="4" t="s">
        <v>430</v>
      </c>
      <c r="J90" s="4" t="s">
        <v>50</v>
      </c>
      <c r="K90" s="4" t="s">
        <v>431</v>
      </c>
      <c r="L90" s="4" t="str">
        <f aca="false">IF(TRIM(LOWER(E90))=TRIM(LOWER(J90)),"Match","Different")</f>
        <v>Different</v>
      </c>
    </row>
    <row r="91" customFormat="false" ht="15" hidden="false" customHeight="false" outlineLevel="0" collapsed="false">
      <c r="A91" s="4" t="s">
        <v>440</v>
      </c>
      <c r="B91" s="4" t="s">
        <v>426</v>
      </c>
      <c r="C91" s="4" t="s">
        <v>441</v>
      </c>
      <c r="D91" s="4"/>
      <c r="E91" s="4" t="s">
        <v>170</v>
      </c>
      <c r="F91" s="4" t="s">
        <v>429</v>
      </c>
      <c r="G91" s="4" t="s">
        <v>47</v>
      </c>
      <c r="H91" s="4" t="s">
        <v>39</v>
      </c>
      <c r="I91" s="4" t="s">
        <v>430</v>
      </c>
      <c r="J91" s="4" t="s">
        <v>50</v>
      </c>
      <c r="K91" s="4" t="s">
        <v>431</v>
      </c>
      <c r="L91" s="4" t="str">
        <f aca="false">IF(TRIM(LOWER(E91))=TRIM(LOWER(J91)),"Match","Different")</f>
        <v>Different</v>
      </c>
    </row>
    <row r="92" customFormat="false" ht="15" hidden="false" customHeight="false" outlineLevel="0" collapsed="false">
      <c r="A92" s="4" t="s">
        <v>442</v>
      </c>
      <c r="B92" s="4" t="s">
        <v>426</v>
      </c>
      <c r="C92" s="4" t="s">
        <v>443</v>
      </c>
      <c r="D92" s="4" t="s">
        <v>444</v>
      </c>
      <c r="E92" s="4" t="s">
        <v>25</v>
      </c>
      <c r="F92" s="4" t="s">
        <v>429</v>
      </c>
      <c r="G92" s="4" t="s">
        <v>47</v>
      </c>
      <c r="H92" s="4" t="s">
        <v>39</v>
      </c>
      <c r="I92" s="4" t="s">
        <v>430</v>
      </c>
      <c r="J92" s="4" t="s">
        <v>50</v>
      </c>
      <c r="K92" s="4" t="s">
        <v>431</v>
      </c>
      <c r="L92" s="4" t="str">
        <f aca="false">IF(TRIM(LOWER(E92))=TRIM(LOWER(J92)),"Match","Different")</f>
        <v>Different</v>
      </c>
    </row>
    <row r="93" customFormat="false" ht="15" hidden="false" customHeight="false" outlineLevel="0" collapsed="false">
      <c r="A93" s="4" t="s">
        <v>445</v>
      </c>
      <c r="B93" s="4" t="s">
        <v>426</v>
      </c>
      <c r="C93" s="4" t="s">
        <v>446</v>
      </c>
      <c r="D93" s="4" t="s">
        <v>447</v>
      </c>
      <c r="E93" s="4" t="s">
        <v>25</v>
      </c>
      <c r="F93" s="4" t="s">
        <v>429</v>
      </c>
      <c r="G93" s="4" t="s">
        <v>47</v>
      </c>
      <c r="H93" s="4" t="s">
        <v>39</v>
      </c>
      <c r="I93" s="4" t="s">
        <v>430</v>
      </c>
      <c r="J93" s="4" t="s">
        <v>50</v>
      </c>
      <c r="K93" s="4" t="s">
        <v>431</v>
      </c>
      <c r="L93" s="4" t="str">
        <f aca="false">IF(TRIM(LOWER(E93))=TRIM(LOWER(J93)),"Match","Different")</f>
        <v>Different</v>
      </c>
    </row>
    <row r="94" customFormat="false" ht="15" hidden="false" customHeight="false" outlineLevel="0" collapsed="false">
      <c r="A94" s="4" t="s">
        <v>448</v>
      </c>
      <c r="B94" s="4" t="s">
        <v>426</v>
      </c>
      <c r="C94" s="4" t="s">
        <v>431</v>
      </c>
      <c r="D94" s="4" t="s">
        <v>449</v>
      </c>
      <c r="E94" s="4" t="s">
        <v>25</v>
      </c>
      <c r="F94" s="4" t="s">
        <v>429</v>
      </c>
      <c r="G94" s="4" t="s">
        <v>47</v>
      </c>
      <c r="H94" s="4" t="s">
        <v>39</v>
      </c>
      <c r="I94" s="4" t="s">
        <v>430</v>
      </c>
      <c r="J94" s="4" t="s">
        <v>50</v>
      </c>
      <c r="K94" s="4" t="s">
        <v>431</v>
      </c>
      <c r="L94" s="4" t="str">
        <f aca="false">IF(TRIM(LOWER(E94))=TRIM(LOWER(J94)),"Match","Different")</f>
        <v>Different</v>
      </c>
    </row>
    <row r="95" customFormat="false" ht="15" hidden="false" customHeight="false" outlineLevel="0" collapsed="false">
      <c r="A95" s="4" t="s">
        <v>450</v>
      </c>
      <c r="B95" s="4" t="s">
        <v>426</v>
      </c>
      <c r="C95" s="4"/>
      <c r="D95" s="4" t="s">
        <v>451</v>
      </c>
      <c r="E95" s="4" t="s">
        <v>170</v>
      </c>
      <c r="F95" s="4" t="s">
        <v>429</v>
      </c>
      <c r="G95" s="4" t="s">
        <v>47</v>
      </c>
      <c r="H95" s="4" t="s">
        <v>39</v>
      </c>
      <c r="I95" s="4" t="s">
        <v>430</v>
      </c>
      <c r="J95" s="4" t="s">
        <v>50</v>
      </c>
      <c r="K95" s="4" t="s">
        <v>431</v>
      </c>
      <c r="L95" s="4" t="str">
        <f aca="false">IF(TRIM(LOWER(E95))=TRIM(LOWER(J95)),"Match","Different")</f>
        <v>Different</v>
      </c>
    </row>
    <row r="96" customFormat="false" ht="15" hidden="false" customHeight="false" outlineLevel="0" collapsed="false">
      <c r="A96" s="4" t="s">
        <v>452</v>
      </c>
      <c r="B96" s="4" t="s">
        <v>426</v>
      </c>
      <c r="C96" s="4"/>
      <c r="D96" s="4" t="s">
        <v>453</v>
      </c>
      <c r="E96" s="4" t="s">
        <v>383</v>
      </c>
      <c r="F96" s="4" t="s">
        <v>429</v>
      </c>
      <c r="G96" s="4" t="s">
        <v>47</v>
      </c>
      <c r="H96" s="4" t="s">
        <v>39</v>
      </c>
      <c r="I96" s="4" t="s">
        <v>430</v>
      </c>
      <c r="J96" s="4" t="s">
        <v>50</v>
      </c>
      <c r="K96" s="4" t="s">
        <v>431</v>
      </c>
      <c r="L96" s="4" t="str">
        <f aca="false">IF(TRIM(LOWER(E96))=TRIM(LOWER(J96)),"Match","Different")</f>
        <v>Different</v>
      </c>
    </row>
    <row r="97" customFormat="false" ht="15" hidden="false" customHeight="false" outlineLevel="0" collapsed="false">
      <c r="A97" s="4" t="s">
        <v>454</v>
      </c>
      <c r="B97" s="4" t="s">
        <v>455</v>
      </c>
      <c r="C97" s="4" t="s">
        <v>456</v>
      </c>
      <c r="D97" s="4" t="s">
        <v>457</v>
      </c>
      <c r="E97" s="4" t="s">
        <v>170</v>
      </c>
      <c r="F97" s="4" t="s">
        <v>458</v>
      </c>
      <c r="G97" s="4" t="s">
        <v>47</v>
      </c>
      <c r="H97" s="4" t="s">
        <v>172</v>
      </c>
      <c r="I97" s="4" t="s">
        <v>173</v>
      </c>
      <c r="J97" s="4" t="s">
        <v>174</v>
      </c>
      <c r="K97" s="4"/>
      <c r="L97" s="4" t="str">
        <f aca="false">IF(TRIM(LOWER(E97))=TRIM(LOWER(J97)),"Match","Different")</f>
        <v>Different</v>
      </c>
    </row>
    <row r="98" customFormat="false" ht="15" hidden="false" customHeight="false" outlineLevel="0" collapsed="false">
      <c r="A98" s="4" t="s">
        <v>459</v>
      </c>
      <c r="B98" s="4" t="s">
        <v>455</v>
      </c>
      <c r="C98" s="4" t="s">
        <v>460</v>
      </c>
      <c r="D98" s="4"/>
      <c r="E98" s="4" t="s">
        <v>170</v>
      </c>
      <c r="F98" s="4" t="s">
        <v>458</v>
      </c>
      <c r="G98" s="4" t="s">
        <v>47</v>
      </c>
      <c r="H98" s="4" t="s">
        <v>172</v>
      </c>
      <c r="I98" s="4" t="s">
        <v>173</v>
      </c>
      <c r="J98" s="4" t="s">
        <v>174</v>
      </c>
      <c r="K98" s="4"/>
      <c r="L98" s="4" t="str">
        <f aca="false">IF(TRIM(LOWER(E98))=TRIM(LOWER(J98)),"Match","Different")</f>
        <v>Different</v>
      </c>
    </row>
    <row r="99" customFormat="false" ht="15" hidden="false" customHeight="false" outlineLevel="0" collapsed="false">
      <c r="A99" s="4" t="s">
        <v>461</v>
      </c>
      <c r="B99" s="4" t="s">
        <v>455</v>
      </c>
      <c r="C99" s="4" t="s">
        <v>462</v>
      </c>
      <c r="D99" s="4" t="s">
        <v>463</v>
      </c>
      <c r="E99" s="4" t="s">
        <v>25</v>
      </c>
      <c r="F99" s="4" t="s">
        <v>458</v>
      </c>
      <c r="G99" s="4" t="s">
        <v>47</v>
      </c>
      <c r="H99" s="4" t="s">
        <v>172</v>
      </c>
      <c r="I99" s="4" t="s">
        <v>173</v>
      </c>
      <c r="J99" s="4" t="s">
        <v>174</v>
      </c>
      <c r="K99" s="4"/>
      <c r="L99" s="4" t="str">
        <f aca="false">IF(TRIM(LOWER(E99))=TRIM(LOWER(J99)),"Match","Different")</f>
        <v>Different</v>
      </c>
    </row>
    <row r="100" customFormat="false" ht="15" hidden="false" customHeight="false" outlineLevel="0" collapsed="false">
      <c r="A100" s="4" t="s">
        <v>464</v>
      </c>
      <c r="B100" s="4" t="s">
        <v>455</v>
      </c>
      <c r="C100" s="4" t="s">
        <v>465</v>
      </c>
      <c r="D100" s="4" t="s">
        <v>466</v>
      </c>
      <c r="E100" s="4" t="s">
        <v>25</v>
      </c>
      <c r="F100" s="4" t="s">
        <v>458</v>
      </c>
      <c r="G100" s="4" t="s">
        <v>47</v>
      </c>
      <c r="H100" s="4" t="s">
        <v>172</v>
      </c>
      <c r="I100" s="4" t="s">
        <v>173</v>
      </c>
      <c r="J100" s="4" t="s">
        <v>174</v>
      </c>
      <c r="K100" s="4"/>
      <c r="L100" s="4" t="str">
        <f aca="false">IF(TRIM(LOWER(E100))=TRIM(LOWER(J100)),"Match","Different")</f>
        <v>Different</v>
      </c>
    </row>
    <row r="101" customFormat="false" ht="15" hidden="false" customHeight="false" outlineLevel="0" collapsed="false">
      <c r="A101" s="4" t="s">
        <v>467</v>
      </c>
      <c r="B101" s="4" t="s">
        <v>468</v>
      </c>
      <c r="C101" s="4" t="s">
        <v>469</v>
      </c>
      <c r="D101" s="4" t="s">
        <v>470</v>
      </c>
      <c r="E101" s="4" t="s">
        <v>25</v>
      </c>
      <c r="F101" s="4" t="s">
        <v>471</v>
      </c>
      <c r="G101" s="4" t="s">
        <v>136</v>
      </c>
      <c r="H101" s="4" t="s">
        <v>66</v>
      </c>
      <c r="I101" s="4" t="s">
        <v>91</v>
      </c>
      <c r="J101" s="4" t="s">
        <v>100</v>
      </c>
      <c r="K101" s="4" t="s">
        <v>472</v>
      </c>
      <c r="L101" s="4" t="str">
        <f aca="false">IF(TRIM(LOWER(E101))=TRIM(LOWER(J101)),"Match","Different")</f>
        <v>Different</v>
      </c>
    </row>
    <row r="102" customFormat="false" ht="15" hidden="false" customHeight="false" outlineLevel="0" collapsed="false">
      <c r="A102" s="4" t="s">
        <v>473</v>
      </c>
      <c r="B102" s="4" t="s">
        <v>468</v>
      </c>
      <c r="C102" s="4" t="s">
        <v>474</v>
      </c>
      <c r="D102" s="4" t="s">
        <v>475</v>
      </c>
      <c r="E102" s="4" t="s">
        <v>25</v>
      </c>
      <c r="F102" s="4" t="s">
        <v>471</v>
      </c>
      <c r="G102" s="4" t="s">
        <v>136</v>
      </c>
      <c r="H102" s="4" t="s">
        <v>66</v>
      </c>
      <c r="I102" s="4" t="s">
        <v>91</v>
      </c>
      <c r="J102" s="4" t="s">
        <v>100</v>
      </c>
      <c r="K102" s="4" t="s">
        <v>472</v>
      </c>
      <c r="L102" s="4" t="str">
        <f aca="false">IF(TRIM(LOWER(E102))=TRIM(LOWER(J102)),"Match","Different")</f>
        <v>Different</v>
      </c>
    </row>
    <row r="103" customFormat="false" ht="15" hidden="false" customHeight="false" outlineLevel="0" collapsed="false">
      <c r="A103" s="4" t="s">
        <v>476</v>
      </c>
      <c r="B103" s="4" t="s">
        <v>477</v>
      </c>
      <c r="C103" s="4" t="s">
        <v>478</v>
      </c>
      <c r="D103" s="4" t="s">
        <v>479</v>
      </c>
      <c r="E103" s="4" t="s">
        <v>170</v>
      </c>
      <c r="F103" s="4" t="s">
        <v>480</v>
      </c>
      <c r="G103" s="4" t="s">
        <v>56</v>
      </c>
      <c r="H103" s="4" t="s">
        <v>172</v>
      </c>
      <c r="I103" s="4" t="s">
        <v>173</v>
      </c>
      <c r="J103" s="4" t="s">
        <v>174</v>
      </c>
      <c r="K103" s="4" t="s">
        <v>481</v>
      </c>
      <c r="L103" s="4" t="str">
        <f aca="false">IF(TRIM(LOWER(E103))=TRIM(LOWER(J103)),"Match","Different")</f>
        <v>Different</v>
      </c>
    </row>
    <row r="104" customFormat="false" ht="15" hidden="false" customHeight="false" outlineLevel="0" collapsed="false">
      <c r="A104" s="4" t="s">
        <v>482</v>
      </c>
      <c r="B104" s="4" t="s">
        <v>477</v>
      </c>
      <c r="C104" s="4" t="s">
        <v>483</v>
      </c>
      <c r="D104" s="4" t="s">
        <v>484</v>
      </c>
      <c r="E104" s="4" t="s">
        <v>170</v>
      </c>
      <c r="F104" s="4" t="s">
        <v>480</v>
      </c>
      <c r="G104" s="4" t="s">
        <v>56</v>
      </c>
      <c r="H104" s="4" t="s">
        <v>172</v>
      </c>
      <c r="I104" s="4" t="s">
        <v>173</v>
      </c>
      <c r="J104" s="4" t="s">
        <v>174</v>
      </c>
      <c r="K104" s="4" t="s">
        <v>481</v>
      </c>
      <c r="L104" s="4" t="str">
        <f aca="false">IF(TRIM(LOWER(E104))=TRIM(LOWER(J104)),"Match","Different")</f>
        <v>Different</v>
      </c>
    </row>
    <row r="105" customFormat="false" ht="15" hidden="false" customHeight="false" outlineLevel="0" collapsed="false">
      <c r="A105" s="4" t="s">
        <v>485</v>
      </c>
      <c r="B105" s="4" t="s">
        <v>477</v>
      </c>
      <c r="C105" s="4" t="s">
        <v>486</v>
      </c>
      <c r="D105" s="4" t="s">
        <v>487</v>
      </c>
      <c r="E105" s="4" t="s">
        <v>170</v>
      </c>
      <c r="F105" s="4" t="s">
        <v>480</v>
      </c>
      <c r="G105" s="4" t="s">
        <v>56</v>
      </c>
      <c r="H105" s="4" t="s">
        <v>172</v>
      </c>
      <c r="I105" s="4" t="s">
        <v>173</v>
      </c>
      <c r="J105" s="4" t="s">
        <v>174</v>
      </c>
      <c r="K105" s="4" t="s">
        <v>481</v>
      </c>
      <c r="L105" s="4" t="str">
        <f aca="false">IF(TRIM(LOWER(E105))=TRIM(LOWER(J105)),"Match","Different")</f>
        <v>Different</v>
      </c>
    </row>
    <row r="106" customFormat="false" ht="15" hidden="false" customHeight="false" outlineLevel="0" collapsed="false">
      <c r="A106" s="4" t="s">
        <v>488</v>
      </c>
      <c r="B106" s="4" t="s">
        <v>489</v>
      </c>
      <c r="C106" s="4" t="s">
        <v>490</v>
      </c>
      <c r="D106" s="4" t="s">
        <v>491</v>
      </c>
      <c r="E106" s="4" t="s">
        <v>64</v>
      </c>
      <c r="F106" s="4" t="s">
        <v>492</v>
      </c>
      <c r="G106" s="4" t="s">
        <v>56</v>
      </c>
      <c r="H106" s="4" t="s">
        <v>66</v>
      </c>
      <c r="I106" s="4" t="s">
        <v>262</v>
      </c>
      <c r="J106" s="4" t="s">
        <v>64</v>
      </c>
      <c r="K106" s="4" t="s">
        <v>493</v>
      </c>
      <c r="L106" s="4" t="str">
        <f aca="false">IF(TRIM(LOWER(E106))=TRIM(LOWER(J106)),"Match","Different")</f>
        <v>Match</v>
      </c>
    </row>
    <row r="107" customFormat="false" ht="15" hidden="false" customHeight="false" outlineLevel="0" collapsed="false">
      <c r="A107" s="4" t="s">
        <v>494</v>
      </c>
      <c r="B107" s="4" t="s">
        <v>495</v>
      </c>
      <c r="C107" s="4" t="s">
        <v>496</v>
      </c>
      <c r="D107" s="4"/>
      <c r="E107" s="4" t="s">
        <v>341</v>
      </c>
      <c r="F107" s="4" t="s">
        <v>497</v>
      </c>
      <c r="G107" s="4" t="s">
        <v>359</v>
      </c>
      <c r="H107" s="4" t="s">
        <v>498</v>
      </c>
      <c r="I107" s="4" t="s">
        <v>499</v>
      </c>
      <c r="J107" s="4" t="s">
        <v>30</v>
      </c>
      <c r="K107" s="4" t="s">
        <v>496</v>
      </c>
      <c r="L107" s="4" t="str">
        <f aca="false">IF(TRIM(LOWER(E107))=TRIM(LOWER(J107)),"Match","Different")</f>
        <v>Different</v>
      </c>
    </row>
    <row r="108" customFormat="false" ht="15" hidden="false" customHeight="false" outlineLevel="0" collapsed="false">
      <c r="A108" s="4" t="s">
        <v>500</v>
      </c>
      <c r="B108" s="4" t="s">
        <v>495</v>
      </c>
      <c r="C108" s="4" t="s">
        <v>501</v>
      </c>
      <c r="D108" s="4" t="s">
        <v>502</v>
      </c>
      <c r="E108" s="4" t="s">
        <v>50</v>
      </c>
      <c r="F108" s="4" t="s">
        <v>497</v>
      </c>
      <c r="G108" s="4" t="s">
        <v>359</v>
      </c>
      <c r="H108" s="4" t="s">
        <v>498</v>
      </c>
      <c r="I108" s="4" t="s">
        <v>499</v>
      </c>
      <c r="J108" s="4" t="s">
        <v>30</v>
      </c>
      <c r="K108" s="4" t="s">
        <v>496</v>
      </c>
      <c r="L108" s="4" t="str">
        <f aca="false">IF(TRIM(LOWER(E108))=TRIM(LOWER(J108)),"Match","Different")</f>
        <v>Different</v>
      </c>
    </row>
    <row r="109" customFormat="false" ht="15" hidden="false" customHeight="false" outlineLevel="0" collapsed="false">
      <c r="A109" s="4" t="s">
        <v>503</v>
      </c>
      <c r="B109" s="4" t="s">
        <v>504</v>
      </c>
      <c r="C109" s="4" t="s">
        <v>505</v>
      </c>
      <c r="D109" s="4"/>
      <c r="E109" s="4" t="s">
        <v>341</v>
      </c>
      <c r="F109" s="4" t="s">
        <v>506</v>
      </c>
      <c r="G109" s="4" t="s">
        <v>56</v>
      </c>
      <c r="H109" s="4" t="s">
        <v>39</v>
      </c>
      <c r="I109" s="4" t="s">
        <v>507</v>
      </c>
      <c r="J109" s="4" t="s">
        <v>30</v>
      </c>
      <c r="K109" s="4" t="s">
        <v>505</v>
      </c>
      <c r="L109" s="4" t="str">
        <f aca="false">IF(TRIM(LOWER(E109))=TRIM(LOWER(J109)),"Match","Different")</f>
        <v>Different</v>
      </c>
    </row>
    <row r="110" customFormat="false" ht="15" hidden="false" customHeight="false" outlineLevel="0" collapsed="false">
      <c r="A110" s="4" t="s">
        <v>508</v>
      </c>
      <c r="B110" s="4" t="s">
        <v>509</v>
      </c>
      <c r="C110" s="4" t="s">
        <v>510</v>
      </c>
      <c r="D110" s="4" t="s">
        <v>511</v>
      </c>
      <c r="E110" s="4" t="s">
        <v>54</v>
      </c>
      <c r="F110" s="4" t="s">
        <v>512</v>
      </c>
      <c r="G110" s="4" t="s">
        <v>513</v>
      </c>
      <c r="H110" s="4" t="s">
        <v>66</v>
      </c>
      <c r="I110" s="4" t="s">
        <v>514</v>
      </c>
      <c r="J110" s="4" t="s">
        <v>100</v>
      </c>
      <c r="K110" s="4" t="s">
        <v>510</v>
      </c>
      <c r="L110" s="4" t="str">
        <f aca="false">IF(TRIM(LOWER(E110))=TRIM(LOWER(J110)),"Match","Different")</f>
        <v>Different</v>
      </c>
    </row>
    <row r="111" customFormat="false" ht="15" hidden="false" customHeight="false" outlineLevel="0" collapsed="false">
      <c r="A111" s="4" t="s">
        <v>515</v>
      </c>
      <c r="B111" s="4" t="s">
        <v>516</v>
      </c>
      <c r="C111" s="4" t="s">
        <v>517</v>
      </c>
      <c r="D111" s="4"/>
      <c r="E111" s="4" t="s">
        <v>50</v>
      </c>
      <c r="F111" s="4" t="s">
        <v>518</v>
      </c>
      <c r="G111" s="4" t="s">
        <v>519</v>
      </c>
      <c r="H111" s="4" t="s">
        <v>48</v>
      </c>
      <c r="I111" s="4" t="s">
        <v>194</v>
      </c>
      <c r="J111" s="4" t="s">
        <v>32</v>
      </c>
      <c r="K111" s="4" t="s">
        <v>517</v>
      </c>
      <c r="L111" s="4" t="str">
        <f aca="false">IF(TRIM(LOWER(E111))=TRIM(LOWER(J111)),"Match","Different")</f>
        <v>Different</v>
      </c>
    </row>
    <row r="112" customFormat="false" ht="15" hidden="false" customHeight="false" outlineLevel="0" collapsed="false">
      <c r="A112" s="4" t="s">
        <v>520</v>
      </c>
      <c r="B112" s="4" t="s">
        <v>521</v>
      </c>
      <c r="C112" s="4" t="s">
        <v>522</v>
      </c>
      <c r="D112" s="4" t="s">
        <v>523</v>
      </c>
      <c r="E112" s="4" t="s">
        <v>89</v>
      </c>
      <c r="F112" s="4" t="s">
        <v>524</v>
      </c>
      <c r="G112" s="4" t="s">
        <v>38</v>
      </c>
      <c r="H112" s="4" t="s">
        <v>39</v>
      </c>
      <c r="I112" s="4" t="s">
        <v>40</v>
      </c>
      <c r="J112" s="4" t="s">
        <v>92</v>
      </c>
      <c r="K112" s="4" t="s">
        <v>525</v>
      </c>
      <c r="L112" s="4" t="str">
        <f aca="false">IF(TRIM(LOWER(E112))=TRIM(LOWER(J112)),"Match","Different")</f>
        <v>Different</v>
      </c>
    </row>
    <row r="113" customFormat="false" ht="15" hidden="false" customHeight="false" outlineLevel="0" collapsed="false">
      <c r="A113" s="4" t="s">
        <v>526</v>
      </c>
      <c r="B113" s="4" t="s">
        <v>527</v>
      </c>
      <c r="C113" s="4" t="s">
        <v>528</v>
      </c>
      <c r="D113" s="4" t="s">
        <v>529</v>
      </c>
      <c r="E113" s="4" t="s">
        <v>50</v>
      </c>
      <c r="F113" s="4" t="s">
        <v>530</v>
      </c>
      <c r="G113" s="4" t="s">
        <v>122</v>
      </c>
      <c r="H113" s="4" t="s">
        <v>39</v>
      </c>
      <c r="I113" s="4" t="s">
        <v>531</v>
      </c>
      <c r="J113" s="4" t="s">
        <v>32</v>
      </c>
      <c r="K113" s="4" t="s">
        <v>528</v>
      </c>
      <c r="L113" s="4" t="str">
        <f aca="false">IF(TRIM(LOWER(E113))=TRIM(LOWER(J113)),"Match","Different")</f>
        <v>Different</v>
      </c>
    </row>
    <row r="114" customFormat="false" ht="15" hidden="false" customHeight="false" outlineLevel="0" collapsed="false">
      <c r="A114" s="4" t="s">
        <v>532</v>
      </c>
      <c r="B114" s="4" t="s">
        <v>533</v>
      </c>
      <c r="C114" s="4" t="s">
        <v>534</v>
      </c>
      <c r="D114" s="4"/>
      <c r="E114" s="4" t="s">
        <v>54</v>
      </c>
      <c r="F114" s="4" t="s">
        <v>535</v>
      </c>
      <c r="G114" s="4" t="s">
        <v>82</v>
      </c>
      <c r="H114" s="4" t="s">
        <v>66</v>
      </c>
      <c r="I114" s="4" t="s">
        <v>536</v>
      </c>
      <c r="J114" s="4" t="s">
        <v>58</v>
      </c>
      <c r="K114" s="4" t="s">
        <v>537</v>
      </c>
      <c r="L114" s="4" t="str">
        <f aca="false">IF(TRIM(LOWER(E114))=TRIM(LOWER(J114)),"Match","Different")</f>
        <v>Different</v>
      </c>
    </row>
    <row r="115" customFormat="false" ht="15" hidden="false" customHeight="false" outlineLevel="0" collapsed="false">
      <c r="A115" s="4" t="s">
        <v>538</v>
      </c>
      <c r="B115" s="4" t="s">
        <v>539</v>
      </c>
      <c r="C115" s="4" t="s">
        <v>540</v>
      </c>
      <c r="D115" s="4" t="s">
        <v>541</v>
      </c>
      <c r="E115" s="4" t="s">
        <v>170</v>
      </c>
      <c r="F115" s="4" t="s">
        <v>542</v>
      </c>
      <c r="G115" s="4" t="s">
        <v>47</v>
      </c>
      <c r="H115" s="4" t="s">
        <v>172</v>
      </c>
      <c r="I115" s="4" t="s">
        <v>173</v>
      </c>
      <c r="J115" s="4" t="s">
        <v>174</v>
      </c>
      <c r="K115" s="4" t="s">
        <v>540</v>
      </c>
      <c r="L115" s="4" t="str">
        <f aca="false">IF(TRIM(LOWER(E115))=TRIM(LOWER(J115)),"Match","Different")</f>
        <v>Different</v>
      </c>
    </row>
    <row r="116" customFormat="false" ht="15" hidden="false" customHeight="false" outlineLevel="0" collapsed="false">
      <c r="A116" s="4" t="s">
        <v>543</v>
      </c>
      <c r="B116" s="4" t="s">
        <v>544</v>
      </c>
      <c r="C116" s="4" t="s">
        <v>545</v>
      </c>
      <c r="D116" s="4" t="s">
        <v>546</v>
      </c>
      <c r="E116" s="4" t="s">
        <v>170</v>
      </c>
      <c r="F116" s="4" t="s">
        <v>547</v>
      </c>
      <c r="G116" s="4" t="s">
        <v>27</v>
      </c>
      <c r="H116" s="4" t="s">
        <v>172</v>
      </c>
      <c r="I116" s="4" t="s">
        <v>173</v>
      </c>
      <c r="J116" s="4" t="s">
        <v>174</v>
      </c>
      <c r="K116" s="4" t="s">
        <v>548</v>
      </c>
      <c r="L116" s="4" t="str">
        <f aca="false">IF(TRIM(LOWER(E116))=TRIM(LOWER(J116)),"Match","Different")</f>
        <v>Different</v>
      </c>
    </row>
    <row r="117" customFormat="false" ht="15" hidden="false" customHeight="false" outlineLevel="0" collapsed="false">
      <c r="A117" s="4" t="s">
        <v>549</v>
      </c>
      <c r="B117" s="4" t="s">
        <v>550</v>
      </c>
      <c r="C117" s="4" t="s">
        <v>551</v>
      </c>
      <c r="D117" s="4"/>
      <c r="E117" s="4" t="s">
        <v>341</v>
      </c>
      <c r="F117" s="4" t="s">
        <v>552</v>
      </c>
      <c r="G117" s="4" t="s">
        <v>359</v>
      </c>
      <c r="H117" s="4" t="s">
        <v>66</v>
      </c>
      <c r="I117" s="4" t="s">
        <v>262</v>
      </c>
      <c r="J117" s="4" t="s">
        <v>50</v>
      </c>
      <c r="K117" s="4" t="s">
        <v>551</v>
      </c>
      <c r="L117" s="4" t="str">
        <f aca="false">IF(TRIM(LOWER(E117))=TRIM(LOWER(J117)),"Match","Different")</f>
        <v>Different</v>
      </c>
    </row>
    <row r="118" customFormat="false" ht="15" hidden="false" customHeight="false" outlineLevel="0" collapsed="false">
      <c r="A118" s="4" t="s">
        <v>553</v>
      </c>
      <c r="B118" s="4" t="s">
        <v>550</v>
      </c>
      <c r="C118" s="4"/>
      <c r="D118" s="4" t="s">
        <v>554</v>
      </c>
      <c r="E118" s="4" t="s">
        <v>383</v>
      </c>
      <c r="F118" s="4" t="s">
        <v>552</v>
      </c>
      <c r="G118" s="4" t="s">
        <v>359</v>
      </c>
      <c r="H118" s="4" t="s">
        <v>66</v>
      </c>
      <c r="I118" s="4" t="s">
        <v>262</v>
      </c>
      <c r="J118" s="4" t="s">
        <v>50</v>
      </c>
      <c r="K118" s="4" t="s">
        <v>551</v>
      </c>
      <c r="L118" s="4" t="str">
        <f aca="false">IF(TRIM(LOWER(E118))=TRIM(LOWER(J118)),"Match","Different")</f>
        <v>Different</v>
      </c>
    </row>
    <row r="119" customFormat="false" ht="15" hidden="false" customHeight="false" outlineLevel="0" collapsed="false">
      <c r="A119" s="4" t="s">
        <v>555</v>
      </c>
      <c r="B119" s="4" t="s">
        <v>550</v>
      </c>
      <c r="C119" s="4" t="s">
        <v>556</v>
      </c>
      <c r="D119" s="4" t="s">
        <v>557</v>
      </c>
      <c r="E119" s="4" t="s">
        <v>50</v>
      </c>
      <c r="F119" s="4" t="s">
        <v>552</v>
      </c>
      <c r="G119" s="4" t="s">
        <v>359</v>
      </c>
      <c r="H119" s="4" t="s">
        <v>66</v>
      </c>
      <c r="I119" s="4" t="s">
        <v>262</v>
      </c>
      <c r="J119" s="4" t="s">
        <v>50</v>
      </c>
      <c r="K119" s="4" t="s">
        <v>551</v>
      </c>
      <c r="L119" s="4" t="str">
        <f aca="false">IF(TRIM(LOWER(E119))=TRIM(LOWER(J119)),"Match","Different")</f>
        <v>Match</v>
      </c>
    </row>
    <row r="120" customFormat="false" ht="15" hidden="false" customHeight="false" outlineLevel="0" collapsed="false">
      <c r="A120" s="4" t="s">
        <v>558</v>
      </c>
      <c r="B120" s="4" t="s">
        <v>559</v>
      </c>
      <c r="C120" s="4" t="s">
        <v>560</v>
      </c>
      <c r="D120" s="4" t="s">
        <v>561</v>
      </c>
      <c r="E120" s="4" t="s">
        <v>50</v>
      </c>
      <c r="F120" s="4" t="s">
        <v>562</v>
      </c>
      <c r="G120" s="4" t="s">
        <v>136</v>
      </c>
      <c r="H120" s="4" t="s">
        <v>66</v>
      </c>
      <c r="I120" s="4" t="s">
        <v>297</v>
      </c>
      <c r="J120" s="4" t="s">
        <v>50</v>
      </c>
      <c r="K120" s="4" t="s">
        <v>563</v>
      </c>
      <c r="L120" s="4" t="str">
        <f aca="false">IF(TRIM(LOWER(E120))=TRIM(LOWER(J120)),"Match","Different")</f>
        <v>Match</v>
      </c>
    </row>
    <row r="121" customFormat="false" ht="15" hidden="false" customHeight="false" outlineLevel="0" collapsed="false">
      <c r="A121" s="4" t="s">
        <v>564</v>
      </c>
      <c r="B121" s="4" t="s">
        <v>565</v>
      </c>
      <c r="C121" s="4" t="s">
        <v>566</v>
      </c>
      <c r="D121" s="4"/>
      <c r="E121" s="4" t="s">
        <v>89</v>
      </c>
      <c r="F121" s="4" t="s">
        <v>567</v>
      </c>
      <c r="G121" s="4" t="s">
        <v>27</v>
      </c>
      <c r="H121" s="4" t="s">
        <v>66</v>
      </c>
      <c r="I121" s="4" t="s">
        <v>568</v>
      </c>
      <c r="J121" s="4" t="s">
        <v>100</v>
      </c>
      <c r="K121" s="4" t="s">
        <v>569</v>
      </c>
      <c r="L121" s="4" t="str">
        <f aca="false">IF(TRIM(LOWER(E121))=TRIM(LOWER(J121)),"Match","Different")</f>
        <v>Different</v>
      </c>
    </row>
    <row r="122" customFormat="false" ht="15" hidden="false" customHeight="false" outlineLevel="0" collapsed="false">
      <c r="A122" s="4" t="s">
        <v>570</v>
      </c>
      <c r="B122" s="4" t="s">
        <v>571</v>
      </c>
      <c r="C122" s="4" t="s">
        <v>572</v>
      </c>
      <c r="D122" s="4" t="s">
        <v>573</v>
      </c>
      <c r="E122" s="4" t="s">
        <v>104</v>
      </c>
      <c r="F122" s="4" t="s">
        <v>574</v>
      </c>
      <c r="G122" s="4" t="s">
        <v>575</v>
      </c>
      <c r="H122" s="4" t="s">
        <v>28</v>
      </c>
      <c r="I122" s="4" t="s">
        <v>123</v>
      </c>
      <c r="J122" s="4" t="s">
        <v>100</v>
      </c>
      <c r="K122" s="4" t="s">
        <v>572</v>
      </c>
      <c r="L122" s="4" t="str">
        <f aca="false">IF(TRIM(LOWER(E122))=TRIM(LOWER(J122)),"Match","Different")</f>
        <v>Different</v>
      </c>
    </row>
    <row r="123" customFormat="false" ht="15" hidden="false" customHeight="false" outlineLevel="0" collapsed="false">
      <c r="A123" s="4" t="s">
        <v>576</v>
      </c>
      <c r="B123" s="4" t="s">
        <v>577</v>
      </c>
      <c r="C123" s="4"/>
      <c r="D123" s="4"/>
      <c r="E123" s="4" t="s">
        <v>32</v>
      </c>
      <c r="F123" s="4" t="s">
        <v>578</v>
      </c>
      <c r="G123" s="4" t="s">
        <v>128</v>
      </c>
      <c r="H123" s="4" t="s">
        <v>39</v>
      </c>
      <c r="I123" s="4" t="s">
        <v>129</v>
      </c>
      <c r="J123" s="4" t="s">
        <v>32</v>
      </c>
      <c r="K123" s="4" t="s">
        <v>579</v>
      </c>
      <c r="L123" s="4" t="str">
        <f aca="false">IF(TRIM(LOWER(E123))=TRIM(LOWER(J123)),"Match","Different")</f>
        <v>Match</v>
      </c>
    </row>
    <row r="124" customFormat="false" ht="15" hidden="false" customHeight="false" outlineLevel="0" collapsed="false">
      <c r="A124" s="4" t="s">
        <v>580</v>
      </c>
      <c r="B124" s="4" t="s">
        <v>577</v>
      </c>
      <c r="C124" s="4" t="s">
        <v>579</v>
      </c>
      <c r="D124" s="4"/>
      <c r="E124" s="4" t="s">
        <v>50</v>
      </c>
      <c r="F124" s="4" t="s">
        <v>578</v>
      </c>
      <c r="G124" s="4" t="s">
        <v>128</v>
      </c>
      <c r="H124" s="4" t="s">
        <v>39</v>
      </c>
      <c r="I124" s="4" t="s">
        <v>129</v>
      </c>
      <c r="J124" s="4" t="s">
        <v>32</v>
      </c>
      <c r="K124" s="4" t="s">
        <v>579</v>
      </c>
      <c r="L124" s="4" t="str">
        <f aca="false">IF(TRIM(LOWER(E124))=TRIM(LOWER(J124)),"Match","Different")</f>
        <v>Different</v>
      </c>
    </row>
    <row r="125" customFormat="false" ht="15" hidden="false" customHeight="false" outlineLevel="0" collapsed="false">
      <c r="A125" s="4" t="s">
        <v>581</v>
      </c>
      <c r="B125" s="4" t="s">
        <v>582</v>
      </c>
      <c r="C125" s="4" t="s">
        <v>583</v>
      </c>
      <c r="D125" s="4" t="s">
        <v>584</v>
      </c>
      <c r="E125" s="4" t="s">
        <v>25</v>
      </c>
      <c r="F125" s="4" t="s">
        <v>585</v>
      </c>
      <c r="G125" s="4" t="s">
        <v>136</v>
      </c>
      <c r="H125" s="4" t="s">
        <v>39</v>
      </c>
      <c r="I125" s="4" t="s">
        <v>99</v>
      </c>
      <c r="J125" s="4" t="s">
        <v>32</v>
      </c>
      <c r="K125" s="4" t="s">
        <v>583</v>
      </c>
      <c r="L125" s="4" t="str">
        <f aca="false">IF(TRIM(LOWER(E125))=TRIM(LOWER(J125)),"Match","Different")</f>
        <v>Different</v>
      </c>
    </row>
    <row r="126" customFormat="false" ht="15" hidden="false" customHeight="false" outlineLevel="0" collapsed="false">
      <c r="A126" s="4" t="s">
        <v>586</v>
      </c>
      <c r="B126" s="4" t="s">
        <v>587</v>
      </c>
      <c r="C126" s="4" t="s">
        <v>588</v>
      </c>
      <c r="D126" s="4" t="s">
        <v>589</v>
      </c>
      <c r="E126" s="4" t="s">
        <v>25</v>
      </c>
      <c r="F126" s="4" t="s">
        <v>590</v>
      </c>
      <c r="G126" s="4" t="s">
        <v>128</v>
      </c>
      <c r="H126" s="4" t="s">
        <v>39</v>
      </c>
      <c r="I126" s="4" t="s">
        <v>129</v>
      </c>
      <c r="J126" s="4" t="s">
        <v>50</v>
      </c>
      <c r="K126" s="4" t="s">
        <v>591</v>
      </c>
      <c r="L126" s="4" t="str">
        <f aca="false">IF(TRIM(LOWER(E126))=TRIM(LOWER(J126)),"Match","Different")</f>
        <v>Different</v>
      </c>
    </row>
    <row r="127" customFormat="false" ht="15" hidden="false" customHeight="false" outlineLevel="0" collapsed="false">
      <c r="A127" s="4" t="s">
        <v>592</v>
      </c>
      <c r="B127" s="4" t="s">
        <v>593</v>
      </c>
      <c r="C127" s="4" t="s">
        <v>594</v>
      </c>
      <c r="D127" s="4" t="s">
        <v>595</v>
      </c>
      <c r="E127" s="4" t="s">
        <v>25</v>
      </c>
      <c r="F127" s="4" t="s">
        <v>596</v>
      </c>
      <c r="G127" s="4" t="s">
        <v>38</v>
      </c>
      <c r="H127" s="4" t="s">
        <v>48</v>
      </c>
      <c r="I127" s="4" t="s">
        <v>194</v>
      </c>
      <c r="J127" s="4" t="s">
        <v>112</v>
      </c>
      <c r="K127" s="4" t="s">
        <v>597</v>
      </c>
      <c r="L127" s="4" t="str">
        <f aca="false">IF(TRIM(LOWER(E127))=TRIM(LOWER(J127)),"Match","Different")</f>
        <v>Different</v>
      </c>
    </row>
    <row r="128" customFormat="false" ht="15" hidden="false" customHeight="false" outlineLevel="0" collapsed="false">
      <c r="A128" s="4" t="s">
        <v>598</v>
      </c>
      <c r="B128" s="4" t="s">
        <v>593</v>
      </c>
      <c r="C128" s="4" t="s">
        <v>597</v>
      </c>
      <c r="D128" s="4"/>
      <c r="E128" s="4" t="s">
        <v>25</v>
      </c>
      <c r="F128" s="4" t="s">
        <v>596</v>
      </c>
      <c r="G128" s="4" t="s">
        <v>38</v>
      </c>
      <c r="H128" s="4" t="s">
        <v>48</v>
      </c>
      <c r="I128" s="4" t="s">
        <v>194</v>
      </c>
      <c r="J128" s="4" t="s">
        <v>112</v>
      </c>
      <c r="K128" s="4" t="s">
        <v>597</v>
      </c>
      <c r="L128" s="4" t="str">
        <f aca="false">IF(TRIM(LOWER(E128))=TRIM(LOWER(J128)),"Match","Different")</f>
        <v>Different</v>
      </c>
    </row>
    <row r="129" customFormat="false" ht="15" hidden="false" customHeight="false" outlineLevel="0" collapsed="false">
      <c r="A129" s="4" t="s">
        <v>599</v>
      </c>
      <c r="B129" s="4" t="s">
        <v>593</v>
      </c>
      <c r="C129" s="4" t="s">
        <v>600</v>
      </c>
      <c r="D129" s="4"/>
      <c r="E129" s="4" t="s">
        <v>25</v>
      </c>
      <c r="F129" s="4" t="s">
        <v>596</v>
      </c>
      <c r="G129" s="4" t="s">
        <v>38</v>
      </c>
      <c r="H129" s="4" t="s">
        <v>48</v>
      </c>
      <c r="I129" s="4" t="s">
        <v>194</v>
      </c>
      <c r="J129" s="4" t="s">
        <v>112</v>
      </c>
      <c r="K129" s="4" t="s">
        <v>597</v>
      </c>
      <c r="L129" s="4" t="str">
        <f aca="false">IF(TRIM(LOWER(E129))=TRIM(LOWER(J129)),"Match","Different")</f>
        <v>Different</v>
      </c>
    </row>
    <row r="130" customFormat="false" ht="15" hidden="false" customHeight="false" outlineLevel="0" collapsed="false">
      <c r="A130" s="4" t="s">
        <v>601</v>
      </c>
      <c r="B130" s="4" t="s">
        <v>602</v>
      </c>
      <c r="C130" s="4" t="s">
        <v>603</v>
      </c>
      <c r="D130" s="4" t="s">
        <v>604</v>
      </c>
      <c r="E130" s="4" t="s">
        <v>104</v>
      </c>
      <c r="F130" s="4" t="s">
        <v>605</v>
      </c>
      <c r="G130" s="4" t="s">
        <v>38</v>
      </c>
      <c r="H130" s="4" t="s">
        <v>39</v>
      </c>
      <c r="I130" s="4" t="s">
        <v>147</v>
      </c>
      <c r="J130" s="4" t="s">
        <v>104</v>
      </c>
      <c r="K130" s="4" t="s">
        <v>606</v>
      </c>
      <c r="L130" s="4" t="str">
        <f aca="false">IF(TRIM(LOWER(E130))=TRIM(LOWER(J130)),"Match","Different")</f>
        <v>Match</v>
      </c>
    </row>
    <row r="131" customFormat="false" ht="15" hidden="false" customHeight="false" outlineLevel="0" collapsed="false">
      <c r="A131" s="4" t="s">
        <v>607</v>
      </c>
      <c r="B131" s="4" t="s">
        <v>608</v>
      </c>
      <c r="C131" s="4" t="s">
        <v>609</v>
      </c>
      <c r="D131" s="4" t="s">
        <v>604</v>
      </c>
      <c r="E131" s="4" t="s">
        <v>104</v>
      </c>
      <c r="F131" s="4" t="s">
        <v>610</v>
      </c>
      <c r="G131" s="4" t="s">
        <v>38</v>
      </c>
      <c r="H131" s="4" t="s">
        <v>28</v>
      </c>
      <c r="I131" s="4" t="s">
        <v>147</v>
      </c>
      <c r="J131" s="4" t="s">
        <v>104</v>
      </c>
      <c r="K131" s="4" t="s">
        <v>606</v>
      </c>
      <c r="L131" s="4" t="str">
        <f aca="false">IF(TRIM(LOWER(E131))=TRIM(LOWER(J131)),"Match","Different")</f>
        <v>Match</v>
      </c>
    </row>
    <row r="132" customFormat="false" ht="15" hidden="false" customHeight="false" outlineLevel="0" collapsed="false">
      <c r="A132" s="4" t="s">
        <v>611</v>
      </c>
      <c r="B132" s="4" t="s">
        <v>612</v>
      </c>
      <c r="C132" s="4" t="s">
        <v>613</v>
      </c>
      <c r="D132" s="4" t="s">
        <v>614</v>
      </c>
      <c r="E132" s="4" t="s">
        <v>25</v>
      </c>
      <c r="F132" s="4" t="s">
        <v>615</v>
      </c>
      <c r="G132" s="4" t="s">
        <v>38</v>
      </c>
      <c r="H132" s="4" t="s">
        <v>39</v>
      </c>
      <c r="I132" s="4" t="s">
        <v>147</v>
      </c>
      <c r="J132" s="4" t="s">
        <v>104</v>
      </c>
      <c r="K132" s="4" t="s">
        <v>606</v>
      </c>
      <c r="L132" s="4" t="str">
        <f aca="false">IF(TRIM(LOWER(E132))=TRIM(LOWER(J132)),"Match","Different")</f>
        <v>Different</v>
      </c>
    </row>
    <row r="133" customFormat="false" ht="15" hidden="false" customHeight="false" outlineLevel="0" collapsed="false">
      <c r="A133" s="4" t="s">
        <v>616</v>
      </c>
      <c r="B133" s="4" t="s">
        <v>617</v>
      </c>
      <c r="C133" s="4" t="s">
        <v>618</v>
      </c>
      <c r="D133" s="4"/>
      <c r="E133" s="4" t="s">
        <v>89</v>
      </c>
      <c r="F133" s="4" t="s">
        <v>619</v>
      </c>
      <c r="G133" s="4" t="s">
        <v>82</v>
      </c>
      <c r="H133" s="4" t="s">
        <v>66</v>
      </c>
      <c r="I133" s="4" t="s">
        <v>91</v>
      </c>
      <c r="J133" s="4" t="s">
        <v>30</v>
      </c>
      <c r="K133" s="4" t="s">
        <v>620</v>
      </c>
      <c r="L133" s="4" t="str">
        <f aca="false">IF(TRIM(LOWER(E133))=TRIM(LOWER(J133)),"Match","Different")</f>
        <v>Different</v>
      </c>
    </row>
    <row r="134" customFormat="false" ht="15" hidden="false" customHeight="false" outlineLevel="0" collapsed="false">
      <c r="A134" s="4" t="s">
        <v>621</v>
      </c>
      <c r="B134" s="4" t="s">
        <v>622</v>
      </c>
      <c r="C134" s="4" t="s">
        <v>623</v>
      </c>
      <c r="D134" s="4" t="s">
        <v>624</v>
      </c>
      <c r="E134" s="4" t="s">
        <v>170</v>
      </c>
      <c r="F134" s="4" t="s">
        <v>625</v>
      </c>
      <c r="G134" s="4" t="s">
        <v>359</v>
      </c>
      <c r="H134" s="4" t="s">
        <v>172</v>
      </c>
      <c r="I134" s="4" t="s">
        <v>173</v>
      </c>
      <c r="J134" s="4" t="s">
        <v>174</v>
      </c>
      <c r="K134" s="4" t="s">
        <v>623</v>
      </c>
      <c r="L134" s="4" t="str">
        <f aca="false">IF(TRIM(LOWER(E134))=TRIM(LOWER(J134)),"Match","Different")</f>
        <v>Different</v>
      </c>
    </row>
    <row r="135" customFormat="false" ht="15" hidden="false" customHeight="false" outlineLevel="0" collapsed="false">
      <c r="A135" s="4" t="s">
        <v>626</v>
      </c>
      <c r="B135" s="4" t="s">
        <v>627</v>
      </c>
      <c r="C135" s="4" t="s">
        <v>628</v>
      </c>
      <c r="D135" s="4" t="s">
        <v>629</v>
      </c>
      <c r="E135" s="4" t="s">
        <v>89</v>
      </c>
      <c r="F135" s="4" t="s">
        <v>630</v>
      </c>
      <c r="G135" s="4" t="s">
        <v>27</v>
      </c>
      <c r="H135" s="4" t="s">
        <v>39</v>
      </c>
      <c r="I135" s="4" t="s">
        <v>226</v>
      </c>
      <c r="J135" s="4" t="s">
        <v>100</v>
      </c>
      <c r="K135" s="4" t="s">
        <v>631</v>
      </c>
      <c r="L135" s="4" t="str">
        <f aca="false">IF(TRIM(LOWER(E135))=TRIM(LOWER(J135)),"Match","Different")</f>
        <v>Different</v>
      </c>
    </row>
    <row r="136" customFormat="false" ht="15" hidden="false" customHeight="false" outlineLevel="0" collapsed="false">
      <c r="A136" s="4" t="s">
        <v>632</v>
      </c>
      <c r="B136" s="4" t="s">
        <v>633</v>
      </c>
      <c r="C136" s="4" t="s">
        <v>634</v>
      </c>
      <c r="D136" s="4"/>
      <c r="E136" s="4" t="s">
        <v>104</v>
      </c>
      <c r="F136" s="4" t="s">
        <v>635</v>
      </c>
      <c r="G136" s="4" t="s">
        <v>207</v>
      </c>
      <c r="H136" s="4" t="s">
        <v>39</v>
      </c>
      <c r="I136" s="4" t="s">
        <v>636</v>
      </c>
      <c r="J136" s="4" t="s">
        <v>104</v>
      </c>
      <c r="K136" s="4" t="s">
        <v>634</v>
      </c>
      <c r="L136" s="4" t="str">
        <f aca="false">IF(TRIM(LOWER(E136))=TRIM(LOWER(J136)),"Match","Different")</f>
        <v>Match</v>
      </c>
    </row>
    <row r="137" customFormat="false" ht="15" hidden="false" customHeight="false" outlineLevel="0" collapsed="false">
      <c r="A137" s="4" t="s">
        <v>637</v>
      </c>
      <c r="B137" s="4" t="s">
        <v>638</v>
      </c>
      <c r="C137" s="4" t="s">
        <v>639</v>
      </c>
      <c r="D137" s="4"/>
      <c r="E137" s="4" t="s">
        <v>45</v>
      </c>
      <c r="F137" s="4" t="s">
        <v>640</v>
      </c>
      <c r="G137" s="4" t="s">
        <v>38</v>
      </c>
      <c r="H137" s="4" t="s">
        <v>39</v>
      </c>
      <c r="I137" s="4" t="s">
        <v>99</v>
      </c>
      <c r="J137" s="4" t="s">
        <v>32</v>
      </c>
      <c r="K137" s="4" t="s">
        <v>639</v>
      </c>
      <c r="L137" s="4" t="str">
        <f aca="false">IF(TRIM(LOWER(E137))=TRIM(LOWER(J137)),"Match","Different")</f>
        <v>Different</v>
      </c>
    </row>
    <row r="138" customFormat="false" ht="15" hidden="false" customHeight="false" outlineLevel="0" collapsed="false">
      <c r="A138" s="4" t="s">
        <v>641</v>
      </c>
      <c r="B138" s="4" t="s">
        <v>642</v>
      </c>
      <c r="C138" s="4" t="s">
        <v>643</v>
      </c>
      <c r="D138" s="4"/>
      <c r="E138" s="4" t="s">
        <v>104</v>
      </c>
      <c r="F138" s="4" t="s">
        <v>644</v>
      </c>
      <c r="G138" s="4" t="s">
        <v>38</v>
      </c>
      <c r="H138" s="4" t="s">
        <v>39</v>
      </c>
      <c r="I138" s="4" t="s">
        <v>99</v>
      </c>
      <c r="J138" s="4" t="s">
        <v>104</v>
      </c>
      <c r="K138" s="4" t="s">
        <v>645</v>
      </c>
      <c r="L138" s="4" t="str">
        <f aca="false">IF(TRIM(LOWER(E138))=TRIM(LOWER(J138)),"Match","Different")</f>
        <v>Match</v>
      </c>
    </row>
    <row r="139" customFormat="false" ht="15" hidden="false" customHeight="false" outlineLevel="0" collapsed="false">
      <c r="A139" s="4" t="s">
        <v>646</v>
      </c>
      <c r="B139" s="4" t="s">
        <v>647</v>
      </c>
      <c r="C139" s="4" t="s">
        <v>648</v>
      </c>
      <c r="D139" s="4"/>
      <c r="E139" s="4" t="s">
        <v>50</v>
      </c>
      <c r="F139" s="4" t="s">
        <v>649</v>
      </c>
      <c r="G139" s="4" t="s">
        <v>122</v>
      </c>
      <c r="H139" s="4" t="s">
        <v>39</v>
      </c>
      <c r="I139" s="4" t="s">
        <v>40</v>
      </c>
      <c r="J139" s="4" t="s">
        <v>50</v>
      </c>
      <c r="K139" s="4" t="s">
        <v>648</v>
      </c>
      <c r="L139" s="4" t="str">
        <f aca="false">IF(TRIM(LOWER(E139))=TRIM(LOWER(J139)),"Match","Different")</f>
        <v>Match</v>
      </c>
    </row>
    <row r="140" customFormat="false" ht="15" hidden="false" customHeight="false" outlineLevel="0" collapsed="false">
      <c r="A140" s="4" t="s">
        <v>650</v>
      </c>
      <c r="B140" s="4" t="s">
        <v>651</v>
      </c>
      <c r="C140" s="4" t="s">
        <v>652</v>
      </c>
      <c r="D140" s="4"/>
      <c r="E140" s="4" t="s">
        <v>64</v>
      </c>
      <c r="F140" s="4" t="s">
        <v>653</v>
      </c>
      <c r="G140" s="4" t="s">
        <v>359</v>
      </c>
      <c r="H140" s="4" t="s">
        <v>66</v>
      </c>
      <c r="I140" s="4" t="s">
        <v>278</v>
      </c>
      <c r="J140" s="4" t="s">
        <v>64</v>
      </c>
      <c r="K140" s="4" t="s">
        <v>652</v>
      </c>
      <c r="L140" s="4" t="str">
        <f aca="false">IF(TRIM(LOWER(E140))=TRIM(LOWER(J140)),"Match","Different")</f>
        <v>Match</v>
      </c>
    </row>
    <row r="141" customFormat="false" ht="15" hidden="false" customHeight="false" outlineLevel="0" collapsed="false">
      <c r="A141" s="4" t="s">
        <v>654</v>
      </c>
      <c r="B141" s="4" t="s">
        <v>655</v>
      </c>
      <c r="C141" s="4"/>
      <c r="D141" s="4"/>
      <c r="E141" s="4" t="s">
        <v>32</v>
      </c>
      <c r="F141" s="4" t="s">
        <v>656</v>
      </c>
      <c r="G141" s="4" t="s">
        <v>122</v>
      </c>
      <c r="H141" s="4" t="s">
        <v>39</v>
      </c>
      <c r="I141" s="4" t="s">
        <v>40</v>
      </c>
      <c r="J141" s="4" t="s">
        <v>100</v>
      </c>
      <c r="K141" s="4" t="s">
        <v>657</v>
      </c>
      <c r="L141" s="4" t="str">
        <f aca="false">IF(TRIM(LOWER(E141))=TRIM(LOWER(J141)),"Match","Different")</f>
        <v>Different</v>
      </c>
    </row>
    <row r="142" customFormat="false" ht="15" hidden="false" customHeight="false" outlineLevel="0" collapsed="false">
      <c r="A142" s="4" t="s">
        <v>658</v>
      </c>
      <c r="B142" s="4" t="s">
        <v>655</v>
      </c>
      <c r="C142" s="4"/>
      <c r="D142" s="4" t="s">
        <v>659</v>
      </c>
      <c r="E142" s="4" t="s">
        <v>32</v>
      </c>
      <c r="F142" s="4" t="s">
        <v>656</v>
      </c>
      <c r="G142" s="4" t="s">
        <v>122</v>
      </c>
      <c r="H142" s="4" t="s">
        <v>39</v>
      </c>
      <c r="I142" s="4" t="s">
        <v>40</v>
      </c>
      <c r="J142" s="4" t="s">
        <v>100</v>
      </c>
      <c r="K142" s="4" t="s">
        <v>657</v>
      </c>
      <c r="L142" s="4" t="str">
        <f aca="false">IF(TRIM(LOWER(E142))=TRIM(LOWER(J142)),"Match","Different")</f>
        <v>Different</v>
      </c>
    </row>
    <row r="143" customFormat="false" ht="15" hidden="false" customHeight="false" outlineLevel="0" collapsed="false">
      <c r="A143" s="4" t="s">
        <v>660</v>
      </c>
      <c r="B143" s="4" t="s">
        <v>661</v>
      </c>
      <c r="C143" s="4" t="s">
        <v>662</v>
      </c>
      <c r="D143" s="4" t="s">
        <v>663</v>
      </c>
      <c r="E143" s="4" t="s">
        <v>170</v>
      </c>
      <c r="F143" s="4" t="s">
        <v>664</v>
      </c>
      <c r="G143" s="4" t="s">
        <v>575</v>
      </c>
      <c r="H143" s="4" t="s">
        <v>172</v>
      </c>
      <c r="I143" s="4" t="s">
        <v>173</v>
      </c>
      <c r="J143" s="4" t="s">
        <v>174</v>
      </c>
      <c r="K143" s="4" t="s">
        <v>662</v>
      </c>
      <c r="L143" s="4" t="str">
        <f aca="false">IF(TRIM(LOWER(E143))=TRIM(LOWER(J143)),"Match","Different")</f>
        <v>Different</v>
      </c>
    </row>
    <row r="144" customFormat="false" ht="15" hidden="false" customHeight="false" outlineLevel="0" collapsed="false">
      <c r="A144" s="4" t="s">
        <v>665</v>
      </c>
      <c r="B144" s="4" t="s">
        <v>666</v>
      </c>
      <c r="C144" s="4" t="s">
        <v>667</v>
      </c>
      <c r="D144" s="4" t="s">
        <v>668</v>
      </c>
      <c r="E144" s="4" t="s">
        <v>104</v>
      </c>
      <c r="F144" s="4" t="s">
        <v>669</v>
      </c>
      <c r="G144" s="4" t="s">
        <v>38</v>
      </c>
      <c r="H144" s="4" t="s">
        <v>114</v>
      </c>
      <c r="I144" s="4" t="s">
        <v>670</v>
      </c>
      <c r="J144" s="4" t="s">
        <v>104</v>
      </c>
      <c r="K144" s="4" t="s">
        <v>671</v>
      </c>
      <c r="L144" s="4" t="str">
        <f aca="false">IF(TRIM(LOWER(E144))=TRIM(LOWER(J144)),"Match","Different")</f>
        <v>Match</v>
      </c>
    </row>
    <row r="145" customFormat="false" ht="15" hidden="false" customHeight="false" outlineLevel="0" collapsed="false">
      <c r="A145" s="4" t="s">
        <v>672</v>
      </c>
      <c r="B145" s="4" t="s">
        <v>666</v>
      </c>
      <c r="C145" s="4" t="s">
        <v>671</v>
      </c>
      <c r="D145" s="4"/>
      <c r="E145" s="4" t="s">
        <v>104</v>
      </c>
      <c r="F145" s="4" t="s">
        <v>669</v>
      </c>
      <c r="G145" s="4" t="s">
        <v>38</v>
      </c>
      <c r="H145" s="4" t="s">
        <v>114</v>
      </c>
      <c r="I145" s="4" t="s">
        <v>670</v>
      </c>
      <c r="J145" s="4" t="s">
        <v>104</v>
      </c>
      <c r="K145" s="4" t="s">
        <v>671</v>
      </c>
      <c r="L145" s="4" t="str">
        <f aca="false">IF(TRIM(LOWER(E145))=TRIM(LOWER(J145)),"Match","Different")</f>
        <v>Match</v>
      </c>
    </row>
    <row r="146" customFormat="false" ht="15" hidden="false" customHeight="false" outlineLevel="0" collapsed="false">
      <c r="A146" s="4" t="s">
        <v>673</v>
      </c>
      <c r="B146" s="4" t="s">
        <v>674</v>
      </c>
      <c r="C146" s="4" t="s">
        <v>675</v>
      </c>
      <c r="D146" s="4" t="s">
        <v>676</v>
      </c>
      <c r="E146" s="4" t="s">
        <v>64</v>
      </c>
      <c r="F146" s="4" t="s">
        <v>677</v>
      </c>
      <c r="G146" s="4" t="s">
        <v>27</v>
      </c>
      <c r="H146" s="4" t="s">
        <v>39</v>
      </c>
      <c r="I146" s="4" t="s">
        <v>678</v>
      </c>
      <c r="J146" s="4" t="s">
        <v>64</v>
      </c>
      <c r="K146" s="4" t="s">
        <v>679</v>
      </c>
      <c r="L146" s="4" t="str">
        <f aca="false">IF(TRIM(LOWER(E146))=TRIM(LOWER(J146)),"Match","Different")</f>
        <v>Match</v>
      </c>
    </row>
    <row r="147" customFormat="false" ht="15" hidden="false" customHeight="false" outlineLevel="0" collapsed="false">
      <c r="A147" s="4" t="s">
        <v>680</v>
      </c>
      <c r="B147" s="4" t="s">
        <v>674</v>
      </c>
      <c r="C147" s="4" t="s">
        <v>681</v>
      </c>
      <c r="D147" s="4" t="s">
        <v>682</v>
      </c>
      <c r="E147" s="4" t="s">
        <v>64</v>
      </c>
      <c r="F147" s="4" t="s">
        <v>677</v>
      </c>
      <c r="G147" s="4" t="s">
        <v>27</v>
      </c>
      <c r="H147" s="4" t="s">
        <v>39</v>
      </c>
      <c r="I147" s="4" t="s">
        <v>678</v>
      </c>
      <c r="J147" s="4" t="s">
        <v>64</v>
      </c>
      <c r="K147" s="4" t="s">
        <v>679</v>
      </c>
      <c r="L147" s="4" t="str">
        <f aca="false">IF(TRIM(LOWER(E147))=TRIM(LOWER(J147)),"Match","Different")</f>
        <v>Match</v>
      </c>
    </row>
    <row r="148" customFormat="false" ht="15" hidden="false" customHeight="false" outlineLevel="0" collapsed="false">
      <c r="A148" s="4" t="s">
        <v>683</v>
      </c>
      <c r="B148" s="4" t="s">
        <v>684</v>
      </c>
      <c r="C148" s="4" t="s">
        <v>685</v>
      </c>
      <c r="D148" s="4" t="s">
        <v>686</v>
      </c>
      <c r="E148" s="4" t="s">
        <v>104</v>
      </c>
      <c r="F148" s="4" t="s">
        <v>687</v>
      </c>
      <c r="G148" s="4" t="s">
        <v>688</v>
      </c>
      <c r="H148" s="4" t="s">
        <v>28</v>
      </c>
      <c r="I148" s="4" t="s">
        <v>123</v>
      </c>
      <c r="J148" s="4" t="s">
        <v>104</v>
      </c>
      <c r="K148" s="4" t="s">
        <v>689</v>
      </c>
      <c r="L148" s="4" t="str">
        <f aca="false">IF(TRIM(LOWER(E148))=TRIM(LOWER(J148)),"Match","Different")</f>
        <v>Match</v>
      </c>
    </row>
    <row r="149" customFormat="false" ht="15" hidden="false" customHeight="false" outlineLevel="0" collapsed="false">
      <c r="A149" s="4" t="s">
        <v>690</v>
      </c>
      <c r="B149" s="4" t="s">
        <v>684</v>
      </c>
      <c r="C149" s="4"/>
      <c r="D149" s="4"/>
      <c r="E149" s="4" t="s">
        <v>32</v>
      </c>
      <c r="F149" s="4" t="s">
        <v>687</v>
      </c>
      <c r="G149" s="4" t="s">
        <v>688</v>
      </c>
      <c r="H149" s="4" t="s">
        <v>28</v>
      </c>
      <c r="I149" s="4" t="s">
        <v>123</v>
      </c>
      <c r="J149" s="4" t="s">
        <v>104</v>
      </c>
      <c r="K149" s="4" t="s">
        <v>689</v>
      </c>
      <c r="L149" s="4" t="str">
        <f aca="false">IF(TRIM(LOWER(E149))=TRIM(LOWER(J149)),"Match","Different")</f>
        <v>Different</v>
      </c>
    </row>
    <row r="150" customFormat="false" ht="15" hidden="false" customHeight="false" outlineLevel="0" collapsed="false">
      <c r="A150" s="4" t="s">
        <v>691</v>
      </c>
      <c r="B150" s="4" t="s">
        <v>692</v>
      </c>
      <c r="C150" s="4" t="s">
        <v>693</v>
      </c>
      <c r="D150" s="4" t="s">
        <v>694</v>
      </c>
      <c r="E150" s="4" t="s">
        <v>89</v>
      </c>
      <c r="F150" s="4" t="s">
        <v>695</v>
      </c>
      <c r="G150" s="4" t="s">
        <v>47</v>
      </c>
      <c r="H150" s="4" t="s">
        <v>66</v>
      </c>
      <c r="I150" s="4" t="s">
        <v>91</v>
      </c>
      <c r="J150" s="4" t="s">
        <v>30</v>
      </c>
      <c r="K150" s="4" t="s">
        <v>696</v>
      </c>
      <c r="L150" s="4" t="str">
        <f aca="false">IF(TRIM(LOWER(E150))=TRIM(LOWER(J150)),"Match","Different")</f>
        <v>Different</v>
      </c>
    </row>
    <row r="151" customFormat="false" ht="15" hidden="false" customHeight="false" outlineLevel="0" collapsed="false">
      <c r="A151" s="4" t="s">
        <v>697</v>
      </c>
      <c r="B151" s="4" t="s">
        <v>698</v>
      </c>
      <c r="C151" s="4" t="s">
        <v>699</v>
      </c>
      <c r="D151" s="4"/>
      <c r="E151" s="4" t="s">
        <v>54</v>
      </c>
      <c r="F151" s="4" t="s">
        <v>700</v>
      </c>
      <c r="G151" s="4" t="s">
        <v>56</v>
      </c>
      <c r="H151" s="4" t="s">
        <v>114</v>
      </c>
      <c r="I151" s="4" t="s">
        <v>701</v>
      </c>
      <c r="J151" s="4" t="s">
        <v>112</v>
      </c>
      <c r="K151" s="4" t="s">
        <v>702</v>
      </c>
      <c r="L151" s="4" t="str">
        <f aca="false">IF(TRIM(LOWER(E151))=TRIM(LOWER(J151)),"Match","Different")</f>
        <v>Different</v>
      </c>
    </row>
    <row r="152" customFormat="false" ht="15" hidden="false" customHeight="false" outlineLevel="0" collapsed="false">
      <c r="A152" s="4" t="s">
        <v>703</v>
      </c>
      <c r="B152" s="4" t="s">
        <v>704</v>
      </c>
      <c r="C152" s="4" t="s">
        <v>705</v>
      </c>
      <c r="D152" s="4" t="s">
        <v>706</v>
      </c>
      <c r="E152" s="4" t="s">
        <v>104</v>
      </c>
      <c r="F152" s="4" t="s">
        <v>707</v>
      </c>
      <c r="G152" s="4" t="s">
        <v>122</v>
      </c>
      <c r="H152" s="4" t="s">
        <v>39</v>
      </c>
      <c r="I152" s="4" t="s">
        <v>531</v>
      </c>
      <c r="J152" s="4" t="s">
        <v>104</v>
      </c>
      <c r="K152" s="4" t="s">
        <v>705</v>
      </c>
      <c r="L152" s="4" t="str">
        <f aca="false">IF(TRIM(LOWER(E152))=TRIM(LOWER(J152)),"Match","Different")</f>
        <v>Match</v>
      </c>
    </row>
    <row r="153" customFormat="false" ht="15" hidden="false" customHeight="false" outlineLevel="0" collapsed="false">
      <c r="A153" s="4" t="s">
        <v>708</v>
      </c>
      <c r="B153" s="4" t="s">
        <v>709</v>
      </c>
      <c r="C153" s="4" t="s">
        <v>710</v>
      </c>
      <c r="D153" s="4"/>
      <c r="E153" s="4" t="s">
        <v>54</v>
      </c>
      <c r="F153" s="4" t="s">
        <v>711</v>
      </c>
      <c r="G153" s="4" t="s">
        <v>136</v>
      </c>
      <c r="H153" s="4" t="s">
        <v>66</v>
      </c>
      <c r="I153" s="4" t="s">
        <v>712</v>
      </c>
      <c r="J153" s="4" t="s">
        <v>100</v>
      </c>
      <c r="K153" s="4" t="s">
        <v>710</v>
      </c>
      <c r="L153" s="4" t="str">
        <f aca="false">IF(TRIM(LOWER(E153))=TRIM(LOWER(J153)),"Match","Different")</f>
        <v>Different</v>
      </c>
    </row>
    <row r="154" customFormat="false" ht="15" hidden="false" customHeight="false" outlineLevel="0" collapsed="false">
      <c r="A154" s="4" t="s">
        <v>713</v>
      </c>
      <c r="B154" s="4" t="s">
        <v>714</v>
      </c>
      <c r="C154" s="4" t="s">
        <v>715</v>
      </c>
      <c r="D154" s="4" t="s">
        <v>716</v>
      </c>
      <c r="E154" s="4" t="s">
        <v>64</v>
      </c>
      <c r="F154" s="4" t="s">
        <v>717</v>
      </c>
      <c r="G154" s="4" t="s">
        <v>56</v>
      </c>
      <c r="H154" s="4" t="s">
        <v>39</v>
      </c>
      <c r="I154" s="4" t="s">
        <v>536</v>
      </c>
      <c r="J154" s="4" t="s">
        <v>30</v>
      </c>
      <c r="K154" s="4" t="s">
        <v>718</v>
      </c>
      <c r="L154" s="4" t="str">
        <f aca="false">IF(TRIM(LOWER(E154))=TRIM(LOWER(J154)),"Match","Different")</f>
        <v>Different</v>
      </c>
    </row>
    <row r="155" customFormat="false" ht="15" hidden="false" customHeight="false" outlineLevel="0" collapsed="false">
      <c r="A155" s="4" t="s">
        <v>719</v>
      </c>
      <c r="B155" s="4" t="s">
        <v>714</v>
      </c>
      <c r="C155" s="4" t="s">
        <v>720</v>
      </c>
      <c r="D155" s="4" t="s">
        <v>721</v>
      </c>
      <c r="E155" s="4" t="s">
        <v>64</v>
      </c>
      <c r="F155" s="4" t="s">
        <v>717</v>
      </c>
      <c r="G155" s="4" t="s">
        <v>56</v>
      </c>
      <c r="H155" s="4" t="s">
        <v>39</v>
      </c>
      <c r="I155" s="4" t="s">
        <v>536</v>
      </c>
      <c r="J155" s="4" t="s">
        <v>30</v>
      </c>
      <c r="K155" s="4" t="s">
        <v>718</v>
      </c>
      <c r="L155" s="4" t="str">
        <f aca="false">IF(TRIM(LOWER(E155))=TRIM(LOWER(J155)),"Match","Different")</f>
        <v>Different</v>
      </c>
    </row>
    <row r="156" customFormat="false" ht="15" hidden="false" customHeight="false" outlineLevel="0" collapsed="false">
      <c r="A156" s="4" t="s">
        <v>722</v>
      </c>
      <c r="B156" s="4" t="s">
        <v>723</v>
      </c>
      <c r="C156" s="4" t="s">
        <v>724</v>
      </c>
      <c r="D156" s="4" t="s">
        <v>725</v>
      </c>
      <c r="E156" s="4" t="s">
        <v>50</v>
      </c>
      <c r="F156" s="4" t="s">
        <v>726</v>
      </c>
      <c r="G156" s="4" t="s">
        <v>122</v>
      </c>
      <c r="H156" s="4" t="s">
        <v>39</v>
      </c>
      <c r="I156" s="4" t="s">
        <v>40</v>
      </c>
      <c r="J156" s="4" t="s">
        <v>30</v>
      </c>
      <c r="K156" s="4" t="s">
        <v>727</v>
      </c>
      <c r="L156" s="4" t="str">
        <f aca="false">IF(TRIM(LOWER(E156))=TRIM(LOWER(J156)),"Match","Different")</f>
        <v>Different</v>
      </c>
    </row>
    <row r="157" customFormat="false" ht="15" hidden="false" customHeight="false" outlineLevel="0" collapsed="false">
      <c r="A157" s="4" t="s">
        <v>728</v>
      </c>
      <c r="B157" s="4" t="s">
        <v>729</v>
      </c>
      <c r="C157" s="4" t="s">
        <v>730</v>
      </c>
      <c r="D157" s="4"/>
      <c r="E157" s="4" t="s">
        <v>341</v>
      </c>
      <c r="F157" s="4" t="s">
        <v>731</v>
      </c>
      <c r="G157" s="4" t="s">
        <v>56</v>
      </c>
      <c r="H157" s="4" t="s">
        <v>39</v>
      </c>
      <c r="I157" s="4" t="s">
        <v>732</v>
      </c>
      <c r="J157" s="4" t="s">
        <v>50</v>
      </c>
      <c r="K157" s="4" t="s">
        <v>730</v>
      </c>
      <c r="L157" s="4" t="str">
        <f aca="false">IF(TRIM(LOWER(E157))=TRIM(LOWER(J157)),"Match","Different")</f>
        <v>Different</v>
      </c>
    </row>
    <row r="158" customFormat="false" ht="15" hidden="false" customHeight="false" outlineLevel="0" collapsed="false">
      <c r="A158" s="4" t="s">
        <v>733</v>
      </c>
      <c r="B158" s="4" t="s">
        <v>734</v>
      </c>
      <c r="C158" s="4" t="s">
        <v>735</v>
      </c>
      <c r="D158" s="4" t="s">
        <v>736</v>
      </c>
      <c r="E158" s="4" t="s">
        <v>89</v>
      </c>
      <c r="F158" s="4" t="s">
        <v>737</v>
      </c>
      <c r="G158" s="4" t="s">
        <v>47</v>
      </c>
      <c r="H158" s="4" t="s">
        <v>39</v>
      </c>
      <c r="I158" s="4" t="s">
        <v>129</v>
      </c>
      <c r="J158" s="4" t="s">
        <v>92</v>
      </c>
      <c r="K158" s="4" t="s">
        <v>738</v>
      </c>
      <c r="L158" s="4" t="str">
        <f aca="false">IF(TRIM(LOWER(E158))=TRIM(LOWER(J158)),"Match","Different")</f>
        <v>Different</v>
      </c>
    </row>
    <row r="159" customFormat="false" ht="15" hidden="false" customHeight="false" outlineLevel="0" collapsed="false">
      <c r="A159" s="4" t="s">
        <v>739</v>
      </c>
      <c r="B159" s="4" t="s">
        <v>740</v>
      </c>
      <c r="C159" s="4"/>
      <c r="D159" s="4" t="s">
        <v>741</v>
      </c>
      <c r="E159" s="4" t="s">
        <v>25</v>
      </c>
      <c r="F159" s="4" t="s">
        <v>742</v>
      </c>
      <c r="G159" s="4" t="s">
        <v>82</v>
      </c>
      <c r="H159" s="4" t="s">
        <v>743</v>
      </c>
      <c r="I159" s="4" t="s">
        <v>744</v>
      </c>
      <c r="J159" s="4" t="s">
        <v>392</v>
      </c>
      <c r="K159" s="4" t="s">
        <v>745</v>
      </c>
      <c r="L159" s="4" t="str">
        <f aca="false">IF(TRIM(LOWER(E159))=TRIM(LOWER(J159)),"Match","Different")</f>
        <v>Different</v>
      </c>
    </row>
    <row r="160" customFormat="false" ht="15" hidden="false" customHeight="false" outlineLevel="0" collapsed="false">
      <c r="A160" s="4" t="s">
        <v>746</v>
      </c>
      <c r="B160" s="4" t="s">
        <v>747</v>
      </c>
      <c r="C160" s="4"/>
      <c r="D160" s="4"/>
      <c r="E160" s="4" t="s">
        <v>89</v>
      </c>
      <c r="F160" s="4" t="s">
        <v>748</v>
      </c>
      <c r="G160" s="4" t="s">
        <v>56</v>
      </c>
      <c r="H160" s="4" t="s">
        <v>39</v>
      </c>
      <c r="I160" s="4" t="s">
        <v>91</v>
      </c>
      <c r="J160" s="4" t="s">
        <v>92</v>
      </c>
      <c r="K160" s="4" t="s">
        <v>749</v>
      </c>
      <c r="L160" s="4" t="str">
        <f aca="false">IF(TRIM(LOWER(E160))=TRIM(LOWER(J160)),"Match","Different")</f>
        <v>Different</v>
      </c>
    </row>
    <row r="161" customFormat="false" ht="15" hidden="false" customHeight="false" outlineLevel="0" collapsed="false">
      <c r="A161" s="4" t="s">
        <v>750</v>
      </c>
      <c r="B161" s="4" t="s">
        <v>747</v>
      </c>
      <c r="C161" s="4" t="s">
        <v>751</v>
      </c>
      <c r="D161" s="4" t="s">
        <v>752</v>
      </c>
      <c r="E161" s="4" t="s">
        <v>89</v>
      </c>
      <c r="F161" s="4" t="s">
        <v>748</v>
      </c>
      <c r="G161" s="4" t="s">
        <v>56</v>
      </c>
      <c r="H161" s="4" t="s">
        <v>39</v>
      </c>
      <c r="I161" s="4" t="s">
        <v>91</v>
      </c>
      <c r="J161" s="4" t="s">
        <v>92</v>
      </c>
      <c r="K161" s="4" t="s">
        <v>749</v>
      </c>
      <c r="L161" s="4" t="str">
        <f aca="false">IF(TRIM(LOWER(E161))=TRIM(LOWER(J161)),"Match","Different")</f>
        <v>Different</v>
      </c>
    </row>
    <row r="162" customFormat="false" ht="15" hidden="false" customHeight="false" outlineLevel="0" collapsed="false">
      <c r="A162" s="4" t="s">
        <v>753</v>
      </c>
      <c r="B162" s="4" t="s">
        <v>754</v>
      </c>
      <c r="C162" s="4" t="s">
        <v>755</v>
      </c>
      <c r="D162" s="4"/>
      <c r="E162" s="4" t="s">
        <v>54</v>
      </c>
      <c r="F162" s="4" t="s">
        <v>756</v>
      </c>
      <c r="G162" s="4" t="s">
        <v>56</v>
      </c>
      <c r="H162" s="4" t="s">
        <v>39</v>
      </c>
      <c r="I162" s="4" t="s">
        <v>514</v>
      </c>
      <c r="J162" s="4" t="s">
        <v>30</v>
      </c>
      <c r="K162" s="4" t="s">
        <v>757</v>
      </c>
      <c r="L162" s="4" t="str">
        <f aca="false">IF(TRIM(LOWER(E162))=TRIM(LOWER(J162)),"Match","Different")</f>
        <v>Different</v>
      </c>
    </row>
    <row r="163" customFormat="false" ht="15" hidden="false" customHeight="false" outlineLevel="0" collapsed="false">
      <c r="A163" s="4" t="s">
        <v>758</v>
      </c>
      <c r="B163" s="4" t="s">
        <v>759</v>
      </c>
      <c r="C163" s="4" t="s">
        <v>760</v>
      </c>
      <c r="D163" s="4" t="s">
        <v>761</v>
      </c>
      <c r="E163" s="4" t="s">
        <v>89</v>
      </c>
      <c r="F163" s="4" t="s">
        <v>762</v>
      </c>
      <c r="G163" s="4" t="s">
        <v>122</v>
      </c>
      <c r="H163" s="4" t="s">
        <v>39</v>
      </c>
      <c r="I163" s="4" t="s">
        <v>99</v>
      </c>
      <c r="J163" s="4" t="s">
        <v>763</v>
      </c>
      <c r="K163" s="4" t="s">
        <v>760</v>
      </c>
      <c r="L163" s="4" t="str">
        <f aca="false">IF(TRIM(LOWER(E163))=TRIM(LOWER(J163)),"Match","Different")</f>
        <v>Different</v>
      </c>
    </row>
    <row r="164" customFormat="false" ht="15" hidden="false" customHeight="false" outlineLevel="0" collapsed="false">
      <c r="A164" s="4" t="s">
        <v>764</v>
      </c>
      <c r="B164" s="4" t="s">
        <v>765</v>
      </c>
      <c r="C164" s="4" t="s">
        <v>766</v>
      </c>
      <c r="D164" s="4" t="s">
        <v>767</v>
      </c>
      <c r="E164" s="4" t="s">
        <v>64</v>
      </c>
      <c r="F164" s="4" t="s">
        <v>768</v>
      </c>
      <c r="G164" s="4" t="s">
        <v>56</v>
      </c>
      <c r="H164" s="4" t="s">
        <v>39</v>
      </c>
      <c r="I164" s="4" t="s">
        <v>99</v>
      </c>
      <c r="J164" s="4" t="s">
        <v>64</v>
      </c>
      <c r="K164" s="4" t="s">
        <v>769</v>
      </c>
      <c r="L164" s="4" t="str">
        <f aca="false">IF(TRIM(LOWER(E164))=TRIM(LOWER(J164)),"Match","Different")</f>
        <v>Match</v>
      </c>
    </row>
    <row r="165" customFormat="false" ht="15" hidden="false" customHeight="false" outlineLevel="0" collapsed="false">
      <c r="A165" s="4" t="s">
        <v>770</v>
      </c>
      <c r="B165" s="4" t="s">
        <v>771</v>
      </c>
      <c r="C165" s="4"/>
      <c r="D165" s="4" t="s">
        <v>772</v>
      </c>
      <c r="E165" s="4" t="s">
        <v>30</v>
      </c>
      <c r="F165" s="4" t="s">
        <v>773</v>
      </c>
      <c r="G165" s="4" t="s">
        <v>56</v>
      </c>
      <c r="H165" s="4" t="s">
        <v>28</v>
      </c>
      <c r="I165" s="4" t="s">
        <v>123</v>
      </c>
      <c r="J165" s="4" t="s">
        <v>30</v>
      </c>
      <c r="K165" s="4" t="s">
        <v>774</v>
      </c>
      <c r="L165" s="4" t="str">
        <f aca="false">IF(TRIM(LOWER(E165))=TRIM(LOWER(J165)),"Match","Different")</f>
        <v>Match</v>
      </c>
    </row>
    <row r="166" customFormat="false" ht="15" hidden="false" customHeight="false" outlineLevel="0" collapsed="false">
      <c r="A166" s="4" t="s">
        <v>775</v>
      </c>
      <c r="B166" s="4" t="s">
        <v>771</v>
      </c>
      <c r="C166" s="4" t="s">
        <v>776</v>
      </c>
      <c r="D166" s="4" t="s">
        <v>772</v>
      </c>
      <c r="E166" s="4" t="s">
        <v>50</v>
      </c>
      <c r="F166" s="4" t="s">
        <v>773</v>
      </c>
      <c r="G166" s="4" t="s">
        <v>56</v>
      </c>
      <c r="H166" s="4" t="s">
        <v>28</v>
      </c>
      <c r="I166" s="4" t="s">
        <v>123</v>
      </c>
      <c r="J166" s="4" t="s">
        <v>30</v>
      </c>
      <c r="K166" s="4" t="s">
        <v>774</v>
      </c>
      <c r="L166" s="4" t="str">
        <f aca="false">IF(TRIM(LOWER(E166))=TRIM(LOWER(J166)),"Match","Different")</f>
        <v>Different</v>
      </c>
    </row>
    <row r="167" customFormat="false" ht="15" hidden="false" customHeight="false" outlineLevel="0" collapsed="false">
      <c r="A167" s="4" t="s">
        <v>777</v>
      </c>
      <c r="B167" s="4" t="s">
        <v>771</v>
      </c>
      <c r="C167" s="4" t="s">
        <v>774</v>
      </c>
      <c r="D167" s="4"/>
      <c r="E167" s="4" t="s">
        <v>341</v>
      </c>
      <c r="F167" s="4" t="s">
        <v>773</v>
      </c>
      <c r="G167" s="4" t="s">
        <v>56</v>
      </c>
      <c r="H167" s="4" t="s">
        <v>28</v>
      </c>
      <c r="I167" s="4" t="s">
        <v>123</v>
      </c>
      <c r="J167" s="4" t="s">
        <v>30</v>
      </c>
      <c r="K167" s="4" t="s">
        <v>774</v>
      </c>
      <c r="L167" s="4" t="str">
        <f aca="false">IF(TRIM(LOWER(E167))=TRIM(LOWER(J167)),"Match","Different")</f>
        <v>Different</v>
      </c>
    </row>
    <row r="168" customFormat="false" ht="15" hidden="false" customHeight="false" outlineLevel="0" collapsed="false">
      <c r="A168" s="4" t="s">
        <v>778</v>
      </c>
      <c r="B168" s="4" t="s">
        <v>779</v>
      </c>
      <c r="C168" s="4" t="s">
        <v>780</v>
      </c>
      <c r="D168" s="4" t="s">
        <v>781</v>
      </c>
      <c r="E168" s="4" t="s">
        <v>25</v>
      </c>
      <c r="F168" s="4" t="s">
        <v>782</v>
      </c>
      <c r="G168" s="4" t="s">
        <v>122</v>
      </c>
      <c r="H168" s="4" t="s">
        <v>66</v>
      </c>
      <c r="I168" s="4" t="s">
        <v>123</v>
      </c>
      <c r="J168" s="4" t="s">
        <v>50</v>
      </c>
      <c r="K168" s="4" t="s">
        <v>780</v>
      </c>
      <c r="L168" s="4" t="str">
        <f aca="false">IF(TRIM(LOWER(E168))=TRIM(LOWER(J168)),"Match","Different")</f>
        <v>Different</v>
      </c>
    </row>
    <row r="169" customFormat="false" ht="15" hidden="false" customHeight="false" outlineLevel="0" collapsed="false">
      <c r="A169" s="4" t="s">
        <v>783</v>
      </c>
      <c r="B169" s="4" t="s">
        <v>784</v>
      </c>
      <c r="C169" s="4"/>
      <c r="D169" s="4" t="s">
        <v>785</v>
      </c>
      <c r="E169" s="4" t="s">
        <v>383</v>
      </c>
      <c r="F169" s="4" t="s">
        <v>786</v>
      </c>
      <c r="G169" s="4" t="s">
        <v>122</v>
      </c>
      <c r="H169" s="4" t="s">
        <v>28</v>
      </c>
      <c r="I169" s="4" t="s">
        <v>123</v>
      </c>
      <c r="J169" s="4" t="s">
        <v>32</v>
      </c>
      <c r="K169" s="4" t="s">
        <v>787</v>
      </c>
      <c r="L169" s="4" t="str">
        <f aca="false">IF(TRIM(LOWER(E169))=TRIM(LOWER(J169)),"Match","Different")</f>
        <v>Different</v>
      </c>
    </row>
    <row r="170" customFormat="false" ht="15" hidden="false" customHeight="false" outlineLevel="0" collapsed="false">
      <c r="A170" s="4" t="s">
        <v>788</v>
      </c>
      <c r="B170" s="4" t="s">
        <v>784</v>
      </c>
      <c r="C170" s="4"/>
      <c r="D170" s="4"/>
      <c r="E170" s="4" t="s">
        <v>32</v>
      </c>
      <c r="F170" s="4" t="s">
        <v>786</v>
      </c>
      <c r="G170" s="4" t="s">
        <v>122</v>
      </c>
      <c r="H170" s="4" t="s">
        <v>28</v>
      </c>
      <c r="I170" s="4" t="s">
        <v>123</v>
      </c>
      <c r="J170" s="4" t="s">
        <v>32</v>
      </c>
      <c r="K170" s="4" t="s">
        <v>787</v>
      </c>
      <c r="L170" s="4" t="str">
        <f aca="false">IF(TRIM(LOWER(E170))=TRIM(LOWER(J170)),"Match","Different")</f>
        <v>Match</v>
      </c>
    </row>
    <row r="171" customFormat="false" ht="15" hidden="false" customHeight="false" outlineLevel="0" collapsed="false">
      <c r="A171" s="4" t="s">
        <v>789</v>
      </c>
      <c r="B171" s="4" t="s">
        <v>784</v>
      </c>
      <c r="C171" s="4" t="s">
        <v>787</v>
      </c>
      <c r="D171" s="4" t="s">
        <v>785</v>
      </c>
      <c r="E171" s="4" t="s">
        <v>50</v>
      </c>
      <c r="F171" s="4" t="s">
        <v>786</v>
      </c>
      <c r="G171" s="4" t="s">
        <v>122</v>
      </c>
      <c r="H171" s="4" t="s">
        <v>28</v>
      </c>
      <c r="I171" s="4" t="s">
        <v>123</v>
      </c>
      <c r="J171" s="4" t="s">
        <v>32</v>
      </c>
      <c r="K171" s="4" t="s">
        <v>787</v>
      </c>
      <c r="L171" s="4" t="str">
        <f aca="false">IF(TRIM(LOWER(E171))=TRIM(LOWER(J171)),"Match","Different")</f>
        <v>Different</v>
      </c>
    </row>
    <row r="172" customFormat="false" ht="15" hidden="false" customHeight="false" outlineLevel="0" collapsed="false">
      <c r="A172" s="4" t="s">
        <v>790</v>
      </c>
      <c r="B172" s="4" t="s">
        <v>791</v>
      </c>
      <c r="C172" s="4" t="s">
        <v>792</v>
      </c>
      <c r="D172" s="4"/>
      <c r="E172" s="4" t="s">
        <v>54</v>
      </c>
      <c r="F172" s="4" t="s">
        <v>793</v>
      </c>
      <c r="G172" s="4" t="s">
        <v>27</v>
      </c>
      <c r="H172" s="4" t="s">
        <v>66</v>
      </c>
      <c r="I172" s="4" t="s">
        <v>91</v>
      </c>
      <c r="J172" s="4" t="s">
        <v>100</v>
      </c>
      <c r="K172" s="4" t="s">
        <v>794</v>
      </c>
      <c r="L172" s="4" t="str">
        <f aca="false">IF(TRIM(LOWER(E172))=TRIM(LOWER(J172)),"Match","Different")</f>
        <v>Different</v>
      </c>
    </row>
    <row r="173" customFormat="false" ht="15" hidden="false" customHeight="false" outlineLevel="0" collapsed="false">
      <c r="A173" s="4" t="s">
        <v>795</v>
      </c>
      <c r="B173" s="4" t="s">
        <v>796</v>
      </c>
      <c r="C173" s="4" t="s">
        <v>797</v>
      </c>
      <c r="D173" s="4" t="s">
        <v>798</v>
      </c>
      <c r="E173" s="4" t="s">
        <v>89</v>
      </c>
      <c r="F173" s="4" t="s">
        <v>799</v>
      </c>
      <c r="G173" s="4" t="s">
        <v>56</v>
      </c>
      <c r="H173" s="4" t="s">
        <v>39</v>
      </c>
      <c r="I173" s="4" t="s">
        <v>129</v>
      </c>
      <c r="J173" s="4" t="s">
        <v>30</v>
      </c>
      <c r="K173" s="4" t="s">
        <v>800</v>
      </c>
      <c r="L173" s="4" t="str">
        <f aca="false">IF(TRIM(LOWER(E173))=TRIM(LOWER(J173)),"Match","Different")</f>
        <v>Different</v>
      </c>
    </row>
    <row r="174" customFormat="false" ht="15" hidden="false" customHeight="false" outlineLevel="0" collapsed="false">
      <c r="A174" s="4" t="s">
        <v>801</v>
      </c>
      <c r="B174" s="4" t="s">
        <v>802</v>
      </c>
      <c r="C174" s="4" t="s">
        <v>803</v>
      </c>
      <c r="D174" s="4"/>
      <c r="E174" s="4" t="s">
        <v>89</v>
      </c>
      <c r="F174" s="4" t="s">
        <v>804</v>
      </c>
      <c r="G174" s="4" t="s">
        <v>128</v>
      </c>
      <c r="H174" s="4" t="s">
        <v>28</v>
      </c>
      <c r="I174" s="4" t="s">
        <v>123</v>
      </c>
      <c r="J174" s="4" t="s">
        <v>100</v>
      </c>
      <c r="K174" s="4" t="s">
        <v>803</v>
      </c>
      <c r="L174" s="4" t="str">
        <f aca="false">IF(TRIM(LOWER(E174))=TRIM(LOWER(J174)),"Match","Different")</f>
        <v>Different</v>
      </c>
    </row>
    <row r="175" customFormat="false" ht="15" hidden="false" customHeight="false" outlineLevel="0" collapsed="false">
      <c r="A175" s="4" t="s">
        <v>805</v>
      </c>
      <c r="B175" s="4" t="s">
        <v>806</v>
      </c>
      <c r="C175" s="4" t="s">
        <v>807</v>
      </c>
      <c r="D175" s="4" t="s">
        <v>808</v>
      </c>
      <c r="E175" s="4" t="s">
        <v>45</v>
      </c>
      <c r="F175" s="4" t="s">
        <v>809</v>
      </c>
      <c r="G175" s="4" t="s">
        <v>128</v>
      </c>
      <c r="H175" s="4" t="s">
        <v>39</v>
      </c>
      <c r="I175" s="4" t="s">
        <v>402</v>
      </c>
      <c r="J175" s="4" t="s">
        <v>64</v>
      </c>
      <c r="K175" s="4" t="s">
        <v>807</v>
      </c>
      <c r="L175" s="4" t="str">
        <f aca="false">IF(TRIM(LOWER(E175))=TRIM(LOWER(J175)),"Match","Different")</f>
        <v>Different</v>
      </c>
    </row>
    <row r="176" customFormat="false" ht="15" hidden="false" customHeight="false" outlineLevel="0" collapsed="false">
      <c r="A176" s="4" t="s">
        <v>810</v>
      </c>
      <c r="B176" s="4" t="s">
        <v>811</v>
      </c>
      <c r="C176" s="4" t="s">
        <v>812</v>
      </c>
      <c r="D176" s="4" t="s">
        <v>813</v>
      </c>
      <c r="E176" s="4" t="s">
        <v>89</v>
      </c>
      <c r="F176" s="4" t="s">
        <v>814</v>
      </c>
      <c r="G176" s="4" t="s">
        <v>122</v>
      </c>
      <c r="H176" s="4" t="s">
        <v>28</v>
      </c>
      <c r="I176" s="4" t="s">
        <v>536</v>
      </c>
      <c r="J176" s="4" t="s">
        <v>92</v>
      </c>
      <c r="K176" s="4" t="s">
        <v>815</v>
      </c>
      <c r="L176" s="4" t="str">
        <f aca="false">IF(TRIM(LOWER(E176))=TRIM(LOWER(J176)),"Match","Different")</f>
        <v>Different</v>
      </c>
    </row>
    <row r="177" customFormat="false" ht="15" hidden="false" customHeight="false" outlineLevel="0" collapsed="false">
      <c r="A177" s="4" t="s">
        <v>816</v>
      </c>
      <c r="B177" s="4" t="s">
        <v>817</v>
      </c>
      <c r="C177" s="4" t="s">
        <v>818</v>
      </c>
      <c r="D177" s="4" t="s">
        <v>819</v>
      </c>
      <c r="E177" s="4" t="s">
        <v>25</v>
      </c>
      <c r="F177" s="4" t="s">
        <v>820</v>
      </c>
      <c r="G177" s="4" t="s">
        <v>47</v>
      </c>
      <c r="H177" s="4" t="s">
        <v>39</v>
      </c>
      <c r="I177" s="4" t="s">
        <v>821</v>
      </c>
      <c r="J177" s="4" t="s">
        <v>32</v>
      </c>
      <c r="K177" s="4" t="s">
        <v>818</v>
      </c>
      <c r="L177" s="4" t="str">
        <f aca="false">IF(TRIM(LOWER(E177))=TRIM(LOWER(J177)),"Match","Different")</f>
        <v>Different</v>
      </c>
    </row>
    <row r="178" customFormat="false" ht="15" hidden="false" customHeight="false" outlineLevel="0" collapsed="false">
      <c r="A178" s="4" t="s">
        <v>822</v>
      </c>
      <c r="B178" s="4" t="s">
        <v>823</v>
      </c>
      <c r="C178" s="4" t="s">
        <v>824</v>
      </c>
      <c r="D178" s="4" t="s">
        <v>825</v>
      </c>
      <c r="E178" s="4" t="s">
        <v>54</v>
      </c>
      <c r="F178" s="4" t="s">
        <v>826</v>
      </c>
      <c r="G178" s="4" t="s">
        <v>207</v>
      </c>
      <c r="H178" s="4" t="s">
        <v>39</v>
      </c>
      <c r="I178" s="4" t="s">
        <v>129</v>
      </c>
      <c r="J178" s="4" t="s">
        <v>58</v>
      </c>
      <c r="K178" s="4" t="s">
        <v>827</v>
      </c>
      <c r="L178" s="4" t="str">
        <f aca="false">IF(TRIM(LOWER(E178))=TRIM(LOWER(J178)),"Match","Different")</f>
        <v>Different</v>
      </c>
    </row>
    <row r="179" customFormat="false" ht="15" hidden="false" customHeight="false" outlineLevel="0" collapsed="false">
      <c r="A179" s="4" t="s">
        <v>828</v>
      </c>
      <c r="B179" s="4" t="s">
        <v>829</v>
      </c>
      <c r="C179" s="4" t="s">
        <v>830</v>
      </c>
      <c r="D179" s="4" t="s">
        <v>831</v>
      </c>
      <c r="E179" s="4" t="s">
        <v>89</v>
      </c>
      <c r="F179" s="4" t="s">
        <v>832</v>
      </c>
      <c r="G179" s="4" t="s">
        <v>47</v>
      </c>
      <c r="H179" s="4" t="s">
        <v>39</v>
      </c>
      <c r="I179" s="4" t="s">
        <v>226</v>
      </c>
      <c r="J179" s="4" t="s">
        <v>92</v>
      </c>
      <c r="K179" s="4" t="s">
        <v>833</v>
      </c>
      <c r="L179" s="4" t="str">
        <f aca="false">IF(TRIM(LOWER(E179))=TRIM(LOWER(J179)),"Match","Different")</f>
        <v>Different</v>
      </c>
    </row>
    <row r="180" customFormat="false" ht="15" hidden="false" customHeight="false" outlineLevel="0" collapsed="false">
      <c r="A180" s="4" t="s">
        <v>834</v>
      </c>
      <c r="B180" s="4" t="s">
        <v>835</v>
      </c>
      <c r="C180" s="4" t="s">
        <v>836</v>
      </c>
      <c r="D180" s="4"/>
      <c r="E180" s="4" t="s">
        <v>54</v>
      </c>
      <c r="F180" s="4" t="s">
        <v>837</v>
      </c>
      <c r="G180" s="4" t="s">
        <v>207</v>
      </c>
      <c r="H180" s="4" t="s">
        <v>39</v>
      </c>
      <c r="I180" s="4" t="s">
        <v>99</v>
      </c>
      <c r="J180" s="4" t="s">
        <v>100</v>
      </c>
      <c r="K180" s="4" t="s">
        <v>838</v>
      </c>
      <c r="L180" s="4" t="str">
        <f aca="false">IF(TRIM(LOWER(E180))=TRIM(LOWER(J180)),"Match","Different")</f>
        <v>Different</v>
      </c>
    </row>
    <row r="181" customFormat="false" ht="15" hidden="false" customHeight="false" outlineLevel="0" collapsed="false">
      <c r="A181" s="4" t="s">
        <v>839</v>
      </c>
      <c r="B181" s="4" t="s">
        <v>840</v>
      </c>
      <c r="C181" s="4" t="s">
        <v>841</v>
      </c>
      <c r="D181" s="4" t="s">
        <v>842</v>
      </c>
      <c r="E181" s="4" t="s">
        <v>89</v>
      </c>
      <c r="F181" s="4" t="s">
        <v>843</v>
      </c>
      <c r="G181" s="4" t="s">
        <v>359</v>
      </c>
      <c r="H181" s="4" t="s">
        <v>39</v>
      </c>
      <c r="I181" s="4" t="s">
        <v>129</v>
      </c>
      <c r="J181" s="4" t="s">
        <v>92</v>
      </c>
      <c r="K181" s="4" t="s">
        <v>844</v>
      </c>
      <c r="L181" s="4" t="str">
        <f aca="false">IF(TRIM(LOWER(E181))=TRIM(LOWER(J181)),"Match","Different")</f>
        <v>Different</v>
      </c>
    </row>
    <row r="182" customFormat="false" ht="15" hidden="false" customHeight="false" outlineLevel="0" collapsed="false">
      <c r="A182" s="4" t="s">
        <v>845</v>
      </c>
      <c r="B182" s="4" t="s">
        <v>840</v>
      </c>
      <c r="C182" s="4"/>
      <c r="D182" s="4"/>
      <c r="E182" s="4" t="s">
        <v>846</v>
      </c>
      <c r="F182" s="4" t="s">
        <v>843</v>
      </c>
      <c r="G182" s="4" t="s">
        <v>359</v>
      </c>
      <c r="H182" s="4" t="s">
        <v>39</v>
      </c>
      <c r="I182" s="4" t="s">
        <v>129</v>
      </c>
      <c r="J182" s="4" t="s">
        <v>92</v>
      </c>
      <c r="K182" s="4" t="s">
        <v>844</v>
      </c>
      <c r="L182" s="4" t="str">
        <f aca="false">IF(TRIM(LOWER(E182))=TRIM(LOWER(J182)),"Match","Different")</f>
        <v>Different</v>
      </c>
    </row>
    <row r="183" customFormat="false" ht="15" hidden="false" customHeight="false" outlineLevel="0" collapsed="false">
      <c r="A183" s="4" t="s">
        <v>847</v>
      </c>
      <c r="B183" s="4" t="s">
        <v>848</v>
      </c>
      <c r="C183" s="4" t="s">
        <v>849</v>
      </c>
      <c r="D183" s="4"/>
      <c r="E183" s="4" t="s">
        <v>341</v>
      </c>
      <c r="F183" s="4" t="s">
        <v>850</v>
      </c>
      <c r="G183" s="4" t="s">
        <v>56</v>
      </c>
      <c r="H183" s="4" t="s">
        <v>39</v>
      </c>
      <c r="I183" s="4" t="s">
        <v>821</v>
      </c>
      <c r="J183" s="4" t="s">
        <v>32</v>
      </c>
      <c r="K183" s="4" t="s">
        <v>851</v>
      </c>
      <c r="L183" s="4" t="str">
        <f aca="false">IF(TRIM(LOWER(E183))=TRIM(LOWER(J183)),"Match","Different")</f>
        <v>Different</v>
      </c>
    </row>
    <row r="184" customFormat="false" ht="15" hidden="false" customHeight="false" outlineLevel="0" collapsed="false">
      <c r="A184" s="4" t="s">
        <v>852</v>
      </c>
      <c r="B184" s="4" t="s">
        <v>848</v>
      </c>
      <c r="C184" s="4"/>
      <c r="D184" s="4"/>
      <c r="E184" s="4" t="s">
        <v>32</v>
      </c>
      <c r="F184" s="4" t="s">
        <v>850</v>
      </c>
      <c r="G184" s="4" t="s">
        <v>56</v>
      </c>
      <c r="H184" s="4" t="s">
        <v>39</v>
      </c>
      <c r="I184" s="4" t="s">
        <v>821</v>
      </c>
      <c r="J184" s="4" t="s">
        <v>32</v>
      </c>
      <c r="K184" s="4" t="s">
        <v>851</v>
      </c>
      <c r="L184" s="4" t="str">
        <f aca="false">IF(TRIM(LOWER(E184))=TRIM(LOWER(J184)),"Match","Different")</f>
        <v>Match</v>
      </c>
    </row>
    <row r="185" customFormat="false" ht="15" hidden="false" customHeight="false" outlineLevel="0" collapsed="false">
      <c r="A185" s="4" t="s">
        <v>853</v>
      </c>
      <c r="B185" s="4" t="s">
        <v>848</v>
      </c>
      <c r="C185" s="4" t="s">
        <v>854</v>
      </c>
      <c r="D185" s="4" t="s">
        <v>855</v>
      </c>
      <c r="E185" s="4" t="s">
        <v>25</v>
      </c>
      <c r="F185" s="4" t="s">
        <v>850</v>
      </c>
      <c r="G185" s="4" t="s">
        <v>56</v>
      </c>
      <c r="H185" s="4" t="s">
        <v>39</v>
      </c>
      <c r="I185" s="4" t="s">
        <v>821</v>
      </c>
      <c r="J185" s="4" t="s">
        <v>32</v>
      </c>
      <c r="K185" s="4" t="s">
        <v>851</v>
      </c>
      <c r="L185" s="4" t="str">
        <f aca="false">IF(TRIM(LOWER(E185))=TRIM(LOWER(J185)),"Match","Different")</f>
        <v>Different</v>
      </c>
    </row>
    <row r="186" customFormat="false" ht="15" hidden="false" customHeight="false" outlineLevel="0" collapsed="false">
      <c r="A186" s="4" t="s">
        <v>856</v>
      </c>
      <c r="B186" s="4" t="s">
        <v>857</v>
      </c>
      <c r="C186" s="4" t="s">
        <v>858</v>
      </c>
      <c r="D186" s="4" t="s">
        <v>859</v>
      </c>
      <c r="E186" s="4" t="s">
        <v>170</v>
      </c>
      <c r="F186" s="4" t="s">
        <v>860</v>
      </c>
      <c r="G186" s="4" t="s">
        <v>56</v>
      </c>
      <c r="H186" s="4" t="s">
        <v>172</v>
      </c>
      <c r="I186" s="4" t="s">
        <v>861</v>
      </c>
      <c r="J186" s="4" t="s">
        <v>174</v>
      </c>
      <c r="K186" s="4" t="s">
        <v>862</v>
      </c>
      <c r="L186" s="4" t="str">
        <f aca="false">IF(TRIM(LOWER(E186))=TRIM(LOWER(J186)),"Match","Different")</f>
        <v>Different</v>
      </c>
    </row>
    <row r="187" customFormat="false" ht="15" hidden="false" customHeight="false" outlineLevel="0" collapsed="false">
      <c r="A187" s="4" t="s">
        <v>137</v>
      </c>
      <c r="B187" s="4" t="s">
        <v>857</v>
      </c>
      <c r="C187" s="4"/>
      <c r="D187" s="4" t="s">
        <v>863</v>
      </c>
      <c r="E187" s="4" t="s">
        <v>170</v>
      </c>
      <c r="F187" s="4" t="s">
        <v>860</v>
      </c>
      <c r="G187" s="4" t="s">
        <v>56</v>
      </c>
      <c r="H187" s="4" t="s">
        <v>172</v>
      </c>
      <c r="I187" s="4" t="s">
        <v>861</v>
      </c>
      <c r="J187" s="4" t="s">
        <v>174</v>
      </c>
      <c r="K187" s="4" t="s">
        <v>862</v>
      </c>
      <c r="L187" s="4" t="str">
        <f aca="false">IF(TRIM(LOWER(E187))=TRIM(LOWER(J187)),"Match","Different")</f>
        <v>Different</v>
      </c>
    </row>
    <row r="188" customFormat="false" ht="15" hidden="false" customHeight="false" outlineLevel="0" collapsed="false">
      <c r="A188" s="4" t="s">
        <v>137</v>
      </c>
      <c r="B188" s="4" t="s">
        <v>857</v>
      </c>
      <c r="C188" s="4"/>
      <c r="D188" s="4" t="s">
        <v>864</v>
      </c>
      <c r="E188" s="4" t="s">
        <v>170</v>
      </c>
      <c r="F188" s="4" t="s">
        <v>860</v>
      </c>
      <c r="G188" s="4" t="s">
        <v>56</v>
      </c>
      <c r="H188" s="4" t="s">
        <v>172</v>
      </c>
      <c r="I188" s="4" t="s">
        <v>861</v>
      </c>
      <c r="J188" s="4" t="s">
        <v>174</v>
      </c>
      <c r="K188" s="4" t="s">
        <v>862</v>
      </c>
      <c r="L188" s="4" t="str">
        <f aca="false">IF(TRIM(LOWER(E188))=TRIM(LOWER(J188)),"Match","Different")</f>
        <v>Different</v>
      </c>
    </row>
    <row r="189" customFormat="false" ht="15" hidden="false" customHeight="false" outlineLevel="0" collapsed="false">
      <c r="A189" s="4" t="s">
        <v>865</v>
      </c>
      <c r="B189" s="4" t="s">
        <v>866</v>
      </c>
      <c r="C189" s="4"/>
      <c r="D189" s="4"/>
      <c r="E189" s="4" t="s">
        <v>32</v>
      </c>
      <c r="F189" s="4" t="s">
        <v>867</v>
      </c>
      <c r="G189" s="4" t="s">
        <v>359</v>
      </c>
      <c r="H189" s="4" t="s">
        <v>66</v>
      </c>
      <c r="I189" s="4" t="s">
        <v>262</v>
      </c>
      <c r="J189" s="4" t="s">
        <v>32</v>
      </c>
      <c r="K189" s="4" t="s">
        <v>868</v>
      </c>
      <c r="L189" s="4" t="str">
        <f aca="false">IF(TRIM(LOWER(E189))=TRIM(LOWER(J189)),"Match","Different")</f>
        <v>Match</v>
      </c>
    </row>
    <row r="190" customFormat="false" ht="15" hidden="false" customHeight="false" outlineLevel="0" collapsed="false">
      <c r="A190" s="4" t="s">
        <v>869</v>
      </c>
      <c r="B190" s="4" t="s">
        <v>870</v>
      </c>
      <c r="C190" s="4"/>
      <c r="D190" s="4"/>
      <c r="E190" s="4" t="s">
        <v>32</v>
      </c>
      <c r="F190" s="4" t="s">
        <v>871</v>
      </c>
      <c r="G190" s="4" t="s">
        <v>82</v>
      </c>
      <c r="H190" s="4" t="s">
        <v>39</v>
      </c>
      <c r="I190" s="4" t="s">
        <v>57</v>
      </c>
      <c r="J190" s="4" t="s">
        <v>32</v>
      </c>
      <c r="K190" s="4" t="s">
        <v>872</v>
      </c>
      <c r="L190" s="4" t="str">
        <f aca="false">IF(TRIM(LOWER(E190))=TRIM(LOWER(J190)),"Match","Different")</f>
        <v>Match</v>
      </c>
    </row>
    <row r="191" customFormat="false" ht="15" hidden="false" customHeight="false" outlineLevel="0" collapsed="false">
      <c r="A191" s="4" t="s">
        <v>873</v>
      </c>
      <c r="B191" s="4" t="s">
        <v>870</v>
      </c>
      <c r="C191" s="4" t="s">
        <v>874</v>
      </c>
      <c r="D191" s="4" t="s">
        <v>875</v>
      </c>
      <c r="E191" s="4" t="s">
        <v>25</v>
      </c>
      <c r="F191" s="4" t="s">
        <v>871</v>
      </c>
      <c r="G191" s="4" t="s">
        <v>82</v>
      </c>
      <c r="H191" s="4" t="s">
        <v>39</v>
      </c>
      <c r="I191" s="4" t="s">
        <v>57</v>
      </c>
      <c r="J191" s="4" t="s">
        <v>32</v>
      </c>
      <c r="K191" s="4" t="s">
        <v>872</v>
      </c>
      <c r="L191" s="4" t="str">
        <f aca="false">IF(TRIM(LOWER(E191))=TRIM(LOWER(J191)),"Match","Different")</f>
        <v>Different</v>
      </c>
    </row>
    <row r="192" customFormat="false" ht="15" hidden="false" customHeight="false" outlineLevel="0" collapsed="false">
      <c r="A192" s="4" t="s">
        <v>876</v>
      </c>
      <c r="B192" s="4" t="s">
        <v>877</v>
      </c>
      <c r="C192" s="4" t="s">
        <v>878</v>
      </c>
      <c r="D192" s="4" t="s">
        <v>879</v>
      </c>
      <c r="E192" s="4" t="s">
        <v>89</v>
      </c>
      <c r="F192" s="4" t="s">
        <v>880</v>
      </c>
      <c r="G192" s="4" t="s">
        <v>575</v>
      </c>
      <c r="H192" s="4" t="s">
        <v>66</v>
      </c>
      <c r="I192" s="4" t="s">
        <v>881</v>
      </c>
      <c r="J192" s="4" t="s">
        <v>100</v>
      </c>
      <c r="K192" s="4" t="s">
        <v>882</v>
      </c>
      <c r="L192" s="4" t="str">
        <f aca="false">IF(TRIM(LOWER(E192))=TRIM(LOWER(J192)),"Match","Different")</f>
        <v>Different</v>
      </c>
    </row>
    <row r="193" customFormat="false" ht="15" hidden="false" customHeight="false" outlineLevel="0" collapsed="false">
      <c r="A193" s="4" t="s">
        <v>883</v>
      </c>
      <c r="B193" s="4" t="s">
        <v>884</v>
      </c>
      <c r="C193" s="4" t="s">
        <v>885</v>
      </c>
      <c r="D193" s="4"/>
      <c r="E193" s="4" t="s">
        <v>89</v>
      </c>
      <c r="F193" s="4" t="s">
        <v>886</v>
      </c>
      <c r="G193" s="4" t="s">
        <v>359</v>
      </c>
      <c r="H193" s="4" t="s">
        <v>39</v>
      </c>
      <c r="I193" s="4" t="s">
        <v>887</v>
      </c>
      <c r="J193" s="4" t="s">
        <v>100</v>
      </c>
      <c r="K193" s="4" t="s">
        <v>885</v>
      </c>
      <c r="L193" s="4" t="str">
        <f aca="false">IF(TRIM(LOWER(E193))=TRIM(LOWER(J193)),"Match","Different")</f>
        <v>Different</v>
      </c>
    </row>
    <row r="194" customFormat="false" ht="15" hidden="false" customHeight="false" outlineLevel="0" collapsed="false">
      <c r="A194" s="4" t="s">
        <v>888</v>
      </c>
      <c r="B194" s="4" t="s">
        <v>889</v>
      </c>
      <c r="C194" s="4" t="s">
        <v>890</v>
      </c>
      <c r="D194" s="4" t="s">
        <v>891</v>
      </c>
      <c r="E194" s="4" t="s">
        <v>892</v>
      </c>
      <c r="F194" s="4" t="s">
        <v>893</v>
      </c>
      <c r="G194" s="4" t="s">
        <v>122</v>
      </c>
      <c r="H194" s="4" t="s">
        <v>172</v>
      </c>
      <c r="I194" s="4" t="s">
        <v>173</v>
      </c>
      <c r="J194" s="4" t="s">
        <v>174</v>
      </c>
      <c r="K194" s="4"/>
      <c r="L194" s="4" t="str">
        <f aca="false">IF(TRIM(LOWER(E194))=TRIM(LOWER(J194)),"Match","Different")</f>
        <v>Different</v>
      </c>
    </row>
    <row r="195" customFormat="false" ht="15" hidden="false" customHeight="false" outlineLevel="0" collapsed="false">
      <c r="A195" s="4" t="s">
        <v>894</v>
      </c>
      <c r="B195" s="4" t="s">
        <v>895</v>
      </c>
      <c r="C195" s="4" t="s">
        <v>896</v>
      </c>
      <c r="D195" s="4" t="s">
        <v>897</v>
      </c>
      <c r="E195" s="4" t="s">
        <v>89</v>
      </c>
      <c r="F195" s="4" t="s">
        <v>898</v>
      </c>
      <c r="G195" s="4" t="s">
        <v>136</v>
      </c>
      <c r="H195" s="4" t="s">
        <v>66</v>
      </c>
      <c r="I195" s="4" t="s">
        <v>402</v>
      </c>
      <c r="J195" s="4" t="s">
        <v>100</v>
      </c>
      <c r="K195" s="4" t="s">
        <v>896</v>
      </c>
      <c r="L195" s="4" t="str">
        <f aca="false">IF(TRIM(LOWER(E195))=TRIM(LOWER(J195)),"Match","Different")</f>
        <v>Different</v>
      </c>
    </row>
    <row r="196" customFormat="false" ht="15" hidden="false" customHeight="false" outlineLevel="0" collapsed="false">
      <c r="A196" s="4" t="s">
        <v>899</v>
      </c>
      <c r="B196" s="4" t="s">
        <v>900</v>
      </c>
      <c r="C196" s="4" t="s">
        <v>901</v>
      </c>
      <c r="D196" s="4" t="s">
        <v>902</v>
      </c>
      <c r="E196" s="4" t="s">
        <v>89</v>
      </c>
      <c r="F196" s="4" t="s">
        <v>903</v>
      </c>
      <c r="G196" s="4" t="s">
        <v>38</v>
      </c>
      <c r="H196" s="4" t="s">
        <v>39</v>
      </c>
      <c r="I196" s="4" t="s">
        <v>732</v>
      </c>
      <c r="J196" s="4" t="s">
        <v>100</v>
      </c>
      <c r="K196" s="4" t="s">
        <v>904</v>
      </c>
      <c r="L196" s="4" t="str">
        <f aca="false">IF(TRIM(LOWER(E196))=TRIM(LOWER(J196)),"Match","Different")</f>
        <v>Different</v>
      </c>
    </row>
    <row r="197" customFormat="false" ht="15" hidden="false" customHeight="false" outlineLevel="0" collapsed="false">
      <c r="A197" s="4" t="s">
        <v>905</v>
      </c>
      <c r="B197" s="4" t="s">
        <v>900</v>
      </c>
      <c r="C197" s="4" t="s">
        <v>906</v>
      </c>
      <c r="D197" s="4" t="s">
        <v>907</v>
      </c>
      <c r="E197" s="4" t="s">
        <v>89</v>
      </c>
      <c r="F197" s="4" t="s">
        <v>903</v>
      </c>
      <c r="G197" s="4" t="s">
        <v>38</v>
      </c>
      <c r="H197" s="4" t="s">
        <v>39</v>
      </c>
      <c r="I197" s="4" t="s">
        <v>732</v>
      </c>
      <c r="J197" s="4" t="s">
        <v>100</v>
      </c>
      <c r="K197" s="4" t="s">
        <v>904</v>
      </c>
      <c r="L197" s="4" t="str">
        <f aca="false">IF(TRIM(LOWER(E197))=TRIM(LOWER(J197)),"Match","Different")</f>
        <v>Different</v>
      </c>
    </row>
    <row r="198" customFormat="false" ht="15" hidden="false" customHeight="false" outlineLevel="0" collapsed="false">
      <c r="A198" s="4" t="s">
        <v>908</v>
      </c>
      <c r="B198" s="4" t="s">
        <v>909</v>
      </c>
      <c r="C198" s="4" t="s">
        <v>910</v>
      </c>
      <c r="D198" s="4" t="s">
        <v>911</v>
      </c>
      <c r="E198" s="4" t="s">
        <v>64</v>
      </c>
      <c r="F198" s="4" t="s">
        <v>912</v>
      </c>
      <c r="G198" s="4" t="s">
        <v>82</v>
      </c>
      <c r="H198" s="4" t="s">
        <v>66</v>
      </c>
      <c r="I198" s="4" t="s">
        <v>536</v>
      </c>
      <c r="J198" s="4" t="s">
        <v>32</v>
      </c>
      <c r="K198" s="4" t="s">
        <v>913</v>
      </c>
      <c r="L198" s="4" t="str">
        <f aca="false">IF(TRIM(LOWER(E198))=TRIM(LOWER(J198)),"Match","Different")</f>
        <v>Different</v>
      </c>
    </row>
    <row r="199" customFormat="false" ht="15" hidden="false" customHeight="false" outlineLevel="0" collapsed="false">
      <c r="A199" s="4" t="s">
        <v>914</v>
      </c>
      <c r="B199" s="4" t="s">
        <v>915</v>
      </c>
      <c r="C199" s="4" t="s">
        <v>916</v>
      </c>
      <c r="D199" s="4" t="s">
        <v>917</v>
      </c>
      <c r="E199" s="4" t="s">
        <v>64</v>
      </c>
      <c r="F199" s="4" t="s">
        <v>918</v>
      </c>
      <c r="G199" s="4" t="s">
        <v>98</v>
      </c>
      <c r="H199" s="4" t="s">
        <v>39</v>
      </c>
      <c r="I199" s="4" t="s">
        <v>83</v>
      </c>
      <c r="J199" s="4" t="s">
        <v>64</v>
      </c>
      <c r="K199" s="4" t="s">
        <v>916</v>
      </c>
      <c r="L199" s="4" t="str">
        <f aca="false">IF(TRIM(LOWER(E199))=TRIM(LOWER(J199)),"Match","Different")</f>
        <v>Match</v>
      </c>
    </row>
    <row r="200" customFormat="false" ht="15" hidden="false" customHeight="false" outlineLevel="0" collapsed="false">
      <c r="A200" s="4" t="s">
        <v>919</v>
      </c>
      <c r="B200" s="4" t="s">
        <v>920</v>
      </c>
      <c r="C200" s="4" t="s">
        <v>921</v>
      </c>
      <c r="D200" s="4" t="s">
        <v>922</v>
      </c>
      <c r="E200" s="4" t="s">
        <v>112</v>
      </c>
      <c r="F200" s="4" t="s">
        <v>923</v>
      </c>
      <c r="G200" s="4" t="s">
        <v>56</v>
      </c>
      <c r="H200" s="4" t="s">
        <v>743</v>
      </c>
      <c r="I200" s="4" t="s">
        <v>924</v>
      </c>
      <c r="J200" s="4" t="s">
        <v>112</v>
      </c>
      <c r="K200" s="4" t="s">
        <v>925</v>
      </c>
      <c r="L200" s="4" t="str">
        <f aca="false">IF(TRIM(LOWER(E200))=TRIM(LOWER(J200)),"Match","Different")</f>
        <v>Match</v>
      </c>
    </row>
    <row r="201" customFormat="false" ht="15" hidden="false" customHeight="false" outlineLevel="0" collapsed="false">
      <c r="A201" s="4" t="s">
        <v>926</v>
      </c>
      <c r="B201" s="4" t="s">
        <v>927</v>
      </c>
      <c r="C201" s="4" t="s">
        <v>928</v>
      </c>
      <c r="D201" s="4" t="s">
        <v>929</v>
      </c>
      <c r="E201" s="4" t="s">
        <v>50</v>
      </c>
      <c r="F201" s="4" t="s">
        <v>930</v>
      </c>
      <c r="G201" s="4" t="s">
        <v>27</v>
      </c>
      <c r="H201" s="4" t="s">
        <v>66</v>
      </c>
      <c r="I201" s="4" t="s">
        <v>931</v>
      </c>
      <c r="J201" s="4" t="s">
        <v>32</v>
      </c>
      <c r="K201" s="4" t="s">
        <v>928</v>
      </c>
      <c r="L201" s="4" t="str">
        <f aca="false">IF(TRIM(LOWER(E201))=TRIM(LOWER(J201)),"Match","Different")</f>
        <v>Different</v>
      </c>
    </row>
    <row r="202" customFormat="false" ht="15" hidden="false" customHeight="false" outlineLevel="0" collapsed="false">
      <c r="A202" s="4" t="s">
        <v>932</v>
      </c>
      <c r="B202" s="4" t="s">
        <v>927</v>
      </c>
      <c r="C202" s="4"/>
      <c r="D202" s="4"/>
      <c r="E202" s="4" t="s">
        <v>32</v>
      </c>
      <c r="F202" s="4" t="s">
        <v>930</v>
      </c>
      <c r="G202" s="4" t="s">
        <v>27</v>
      </c>
      <c r="H202" s="4" t="s">
        <v>66</v>
      </c>
      <c r="I202" s="4" t="s">
        <v>931</v>
      </c>
      <c r="J202" s="4" t="s">
        <v>32</v>
      </c>
      <c r="K202" s="4" t="s">
        <v>928</v>
      </c>
      <c r="L202" s="4" t="str">
        <f aca="false">IF(TRIM(LOWER(E202))=TRIM(LOWER(J202)),"Match","Different")</f>
        <v>Match</v>
      </c>
    </row>
    <row r="203" customFormat="false" ht="15" hidden="false" customHeight="false" outlineLevel="0" collapsed="false">
      <c r="A203" s="4" t="s">
        <v>933</v>
      </c>
      <c r="B203" s="4" t="s">
        <v>934</v>
      </c>
      <c r="C203" s="4" t="s">
        <v>935</v>
      </c>
      <c r="D203" s="4"/>
      <c r="E203" s="4" t="s">
        <v>89</v>
      </c>
      <c r="F203" s="4" t="s">
        <v>936</v>
      </c>
      <c r="G203" s="4" t="s">
        <v>519</v>
      </c>
      <c r="H203" s="4" t="s">
        <v>28</v>
      </c>
      <c r="I203" s="4" t="s">
        <v>123</v>
      </c>
      <c r="J203" s="4" t="s">
        <v>100</v>
      </c>
      <c r="K203" s="4" t="s">
        <v>935</v>
      </c>
      <c r="L203" s="4" t="str">
        <f aca="false">IF(TRIM(LOWER(E203))=TRIM(LOWER(J203)),"Match","Different")</f>
        <v>Different</v>
      </c>
    </row>
    <row r="204" customFormat="false" ht="15" hidden="false" customHeight="false" outlineLevel="0" collapsed="false">
      <c r="A204" s="4" t="s">
        <v>937</v>
      </c>
      <c r="B204" s="4" t="s">
        <v>938</v>
      </c>
      <c r="C204" s="4" t="s">
        <v>939</v>
      </c>
      <c r="D204" s="4" t="s">
        <v>940</v>
      </c>
      <c r="E204" s="4" t="s">
        <v>89</v>
      </c>
      <c r="F204" s="4" t="s">
        <v>941</v>
      </c>
      <c r="G204" s="4" t="s">
        <v>27</v>
      </c>
      <c r="H204" s="4" t="s">
        <v>66</v>
      </c>
      <c r="I204" s="4" t="s">
        <v>942</v>
      </c>
      <c r="J204" s="4" t="s">
        <v>92</v>
      </c>
      <c r="K204" s="4" t="s">
        <v>943</v>
      </c>
      <c r="L204" s="4" t="str">
        <f aca="false">IF(TRIM(LOWER(E204))=TRIM(LOWER(J204)),"Match","Different")</f>
        <v>Different</v>
      </c>
    </row>
    <row r="205" customFormat="false" ht="15" hidden="false" customHeight="false" outlineLevel="0" collapsed="false">
      <c r="A205" s="4" t="s">
        <v>944</v>
      </c>
      <c r="B205" s="4" t="s">
        <v>945</v>
      </c>
      <c r="C205" s="4"/>
      <c r="D205" s="4" t="s">
        <v>946</v>
      </c>
      <c r="E205" s="4" t="s">
        <v>104</v>
      </c>
      <c r="F205" s="4" t="s">
        <v>947</v>
      </c>
      <c r="G205" s="4" t="s">
        <v>27</v>
      </c>
      <c r="H205" s="4" t="s">
        <v>66</v>
      </c>
      <c r="I205" s="4" t="s">
        <v>297</v>
      </c>
      <c r="J205" s="4" t="s">
        <v>104</v>
      </c>
      <c r="K205" s="4" t="s">
        <v>948</v>
      </c>
      <c r="L205" s="4" t="str">
        <f aca="false">IF(TRIM(LOWER(E205))=TRIM(LOWER(J205)),"Match","Different")</f>
        <v>Match</v>
      </c>
    </row>
    <row r="206" customFormat="false" ht="15" hidden="false" customHeight="false" outlineLevel="0" collapsed="false">
      <c r="A206" s="4" t="s">
        <v>949</v>
      </c>
      <c r="B206" s="4" t="s">
        <v>945</v>
      </c>
      <c r="C206" s="4" t="s">
        <v>948</v>
      </c>
      <c r="D206" s="4" t="s">
        <v>946</v>
      </c>
      <c r="E206" s="4" t="s">
        <v>104</v>
      </c>
      <c r="F206" s="4" t="s">
        <v>947</v>
      </c>
      <c r="G206" s="4" t="s">
        <v>27</v>
      </c>
      <c r="H206" s="4" t="s">
        <v>66</v>
      </c>
      <c r="I206" s="4" t="s">
        <v>297</v>
      </c>
      <c r="J206" s="4" t="s">
        <v>104</v>
      </c>
      <c r="K206" s="4" t="s">
        <v>948</v>
      </c>
      <c r="L206" s="4" t="str">
        <f aca="false">IF(TRIM(LOWER(E206))=TRIM(LOWER(J206)),"Match","Different")</f>
        <v>Match</v>
      </c>
    </row>
    <row r="207" customFormat="false" ht="15" hidden="false" customHeight="false" outlineLevel="0" collapsed="false">
      <c r="A207" s="4" t="s">
        <v>950</v>
      </c>
      <c r="B207" s="4" t="s">
        <v>951</v>
      </c>
      <c r="C207" s="4" t="s">
        <v>952</v>
      </c>
      <c r="D207" s="4"/>
      <c r="E207" s="4" t="s">
        <v>54</v>
      </c>
      <c r="F207" s="4" t="s">
        <v>953</v>
      </c>
      <c r="G207" s="4" t="s">
        <v>98</v>
      </c>
      <c r="H207" s="4" t="s">
        <v>66</v>
      </c>
      <c r="I207" s="4" t="s">
        <v>954</v>
      </c>
      <c r="J207" s="4" t="s">
        <v>58</v>
      </c>
      <c r="K207" s="4" t="s">
        <v>955</v>
      </c>
      <c r="L207" s="4" t="str">
        <f aca="false">IF(TRIM(LOWER(E207))=TRIM(LOWER(J207)),"Match","Different")</f>
        <v>Different</v>
      </c>
    </row>
    <row r="208" customFormat="false" ht="15" hidden="false" customHeight="false" outlineLevel="0" collapsed="false">
      <c r="A208" s="4" t="s">
        <v>956</v>
      </c>
      <c r="B208" s="4" t="s">
        <v>951</v>
      </c>
      <c r="C208" s="4" t="s">
        <v>957</v>
      </c>
      <c r="D208" s="4"/>
      <c r="E208" s="4" t="s">
        <v>54</v>
      </c>
      <c r="F208" s="4" t="s">
        <v>953</v>
      </c>
      <c r="G208" s="4" t="s">
        <v>98</v>
      </c>
      <c r="H208" s="4" t="s">
        <v>66</v>
      </c>
      <c r="I208" s="4" t="s">
        <v>954</v>
      </c>
      <c r="J208" s="4" t="s">
        <v>58</v>
      </c>
      <c r="K208" s="4" t="s">
        <v>955</v>
      </c>
      <c r="L208" s="4" t="str">
        <f aca="false">IF(TRIM(LOWER(E208))=TRIM(LOWER(J208)),"Match","Different")</f>
        <v>Different</v>
      </c>
    </row>
    <row r="209" customFormat="false" ht="15" hidden="false" customHeight="false" outlineLevel="0" collapsed="false">
      <c r="A209" s="4" t="s">
        <v>958</v>
      </c>
      <c r="B209" s="4" t="s">
        <v>959</v>
      </c>
      <c r="C209" s="4" t="s">
        <v>960</v>
      </c>
      <c r="D209" s="4"/>
      <c r="E209" s="4" t="s">
        <v>104</v>
      </c>
      <c r="F209" s="4" t="s">
        <v>961</v>
      </c>
      <c r="G209" s="4" t="s">
        <v>38</v>
      </c>
      <c r="H209" s="4" t="s">
        <v>39</v>
      </c>
      <c r="I209" s="4" t="s">
        <v>99</v>
      </c>
      <c r="J209" s="4" t="s">
        <v>104</v>
      </c>
      <c r="K209" s="4" t="s">
        <v>960</v>
      </c>
      <c r="L209" s="4" t="str">
        <f aca="false">IF(TRIM(LOWER(E209))=TRIM(LOWER(J209)),"Match","Different")</f>
        <v>Match</v>
      </c>
    </row>
    <row r="210" customFormat="false" ht="15" hidden="false" customHeight="false" outlineLevel="0" collapsed="false">
      <c r="A210" s="4" t="s">
        <v>962</v>
      </c>
      <c r="B210" s="4" t="s">
        <v>963</v>
      </c>
      <c r="C210" s="4"/>
      <c r="D210" s="4"/>
      <c r="E210" s="4" t="s">
        <v>32</v>
      </c>
      <c r="F210" s="4" t="s">
        <v>964</v>
      </c>
      <c r="G210" s="4" t="s">
        <v>82</v>
      </c>
      <c r="H210" s="4" t="s">
        <v>66</v>
      </c>
      <c r="I210" s="4" t="s">
        <v>536</v>
      </c>
      <c r="J210" s="4" t="s">
        <v>100</v>
      </c>
      <c r="K210" s="4" t="s">
        <v>965</v>
      </c>
      <c r="L210" s="4" t="str">
        <f aca="false">IF(TRIM(LOWER(E210))=TRIM(LOWER(J210)),"Match","Different")</f>
        <v>Different</v>
      </c>
    </row>
    <row r="211" customFormat="false" ht="15" hidden="false" customHeight="false" outlineLevel="0" collapsed="false">
      <c r="A211" s="4" t="s">
        <v>966</v>
      </c>
      <c r="B211" s="4" t="s">
        <v>967</v>
      </c>
      <c r="C211" s="4" t="s">
        <v>968</v>
      </c>
      <c r="D211" s="4" t="s">
        <v>969</v>
      </c>
      <c r="E211" s="4" t="s">
        <v>170</v>
      </c>
      <c r="F211" s="4" t="s">
        <v>970</v>
      </c>
      <c r="G211" s="4" t="s">
        <v>136</v>
      </c>
      <c r="H211" s="4" t="s">
        <v>172</v>
      </c>
      <c r="I211" s="4" t="s">
        <v>173</v>
      </c>
      <c r="J211" s="4" t="s">
        <v>174</v>
      </c>
      <c r="K211" s="4" t="s">
        <v>968</v>
      </c>
      <c r="L211" s="4" t="str">
        <f aca="false">IF(TRIM(LOWER(E211))=TRIM(LOWER(J211)),"Match","Different")</f>
        <v>Different</v>
      </c>
    </row>
    <row r="212" customFormat="false" ht="15" hidden="false" customHeight="false" outlineLevel="0" collapsed="false">
      <c r="A212" s="4" t="s">
        <v>971</v>
      </c>
      <c r="B212" s="4" t="s">
        <v>972</v>
      </c>
      <c r="C212" s="4"/>
      <c r="D212" s="4" t="s">
        <v>973</v>
      </c>
      <c r="E212" s="4" t="s">
        <v>383</v>
      </c>
      <c r="F212" s="4" t="s">
        <v>974</v>
      </c>
      <c r="G212" s="4" t="s">
        <v>136</v>
      </c>
      <c r="H212" s="4" t="s">
        <v>39</v>
      </c>
      <c r="I212" s="4" t="s">
        <v>99</v>
      </c>
      <c r="J212" s="4" t="s">
        <v>30</v>
      </c>
      <c r="K212" s="4" t="s">
        <v>975</v>
      </c>
      <c r="L212" s="4" t="str">
        <f aca="false">IF(TRIM(LOWER(E212))=TRIM(LOWER(J212)),"Match","Different")</f>
        <v>Different</v>
      </c>
    </row>
    <row r="213" customFormat="false" ht="15" hidden="false" customHeight="false" outlineLevel="0" collapsed="false">
      <c r="A213" s="4" t="s">
        <v>976</v>
      </c>
      <c r="B213" s="4" t="s">
        <v>972</v>
      </c>
      <c r="C213" s="4" t="s">
        <v>977</v>
      </c>
      <c r="D213" s="4"/>
      <c r="E213" s="4" t="s">
        <v>50</v>
      </c>
      <c r="F213" s="4" t="s">
        <v>974</v>
      </c>
      <c r="G213" s="4" t="s">
        <v>136</v>
      </c>
      <c r="H213" s="4" t="s">
        <v>39</v>
      </c>
      <c r="I213" s="4" t="s">
        <v>99</v>
      </c>
      <c r="J213" s="4" t="s">
        <v>30</v>
      </c>
      <c r="K213" s="4" t="s">
        <v>975</v>
      </c>
      <c r="L213" s="4" t="str">
        <f aca="false">IF(TRIM(LOWER(E213))=TRIM(LOWER(J213)),"Match","Different")</f>
        <v>Different</v>
      </c>
    </row>
    <row r="214" customFormat="false" ht="15" hidden="false" customHeight="false" outlineLevel="0" collapsed="false">
      <c r="A214" s="4" t="s">
        <v>978</v>
      </c>
      <c r="B214" s="4" t="s">
        <v>979</v>
      </c>
      <c r="C214" s="4" t="s">
        <v>980</v>
      </c>
      <c r="D214" s="4" t="s">
        <v>981</v>
      </c>
      <c r="E214" s="4" t="s">
        <v>64</v>
      </c>
      <c r="F214" s="4" t="s">
        <v>982</v>
      </c>
      <c r="G214" s="4" t="s">
        <v>98</v>
      </c>
      <c r="H214" s="4" t="s">
        <v>66</v>
      </c>
      <c r="I214" s="4" t="s">
        <v>91</v>
      </c>
      <c r="J214" s="4" t="s">
        <v>64</v>
      </c>
      <c r="K214" s="4" t="s">
        <v>983</v>
      </c>
      <c r="L214" s="4" t="str">
        <f aca="false">IF(TRIM(LOWER(E214))=TRIM(LOWER(J214)),"Match","Different")</f>
        <v>Match</v>
      </c>
    </row>
    <row r="215" customFormat="false" ht="15" hidden="false" customHeight="false" outlineLevel="0" collapsed="false">
      <c r="A215" s="4" t="s">
        <v>984</v>
      </c>
      <c r="B215" s="4" t="s">
        <v>985</v>
      </c>
      <c r="C215" s="4" t="s">
        <v>986</v>
      </c>
      <c r="D215" s="4"/>
      <c r="E215" s="4" t="s">
        <v>50</v>
      </c>
      <c r="F215" s="4" t="s">
        <v>987</v>
      </c>
      <c r="G215" s="4" t="s">
        <v>136</v>
      </c>
      <c r="H215" s="4" t="s">
        <v>39</v>
      </c>
      <c r="I215" s="4" t="s">
        <v>129</v>
      </c>
      <c r="J215" s="4" t="s">
        <v>30</v>
      </c>
      <c r="K215" s="4" t="s">
        <v>986</v>
      </c>
      <c r="L215" s="4" t="str">
        <f aca="false">IF(TRIM(LOWER(E215))=TRIM(LOWER(J215)),"Match","Different")</f>
        <v>Different</v>
      </c>
    </row>
    <row r="216" customFormat="false" ht="15" hidden="false" customHeight="false" outlineLevel="0" collapsed="false">
      <c r="A216" s="4" t="s">
        <v>988</v>
      </c>
      <c r="B216" s="4" t="s">
        <v>989</v>
      </c>
      <c r="C216" s="4" t="s">
        <v>990</v>
      </c>
      <c r="D216" s="4" t="s">
        <v>991</v>
      </c>
      <c r="E216" s="4" t="s">
        <v>45</v>
      </c>
      <c r="F216" s="4" t="s">
        <v>992</v>
      </c>
      <c r="G216" s="4" t="s">
        <v>136</v>
      </c>
      <c r="H216" s="4" t="s">
        <v>66</v>
      </c>
      <c r="I216" s="4" t="s">
        <v>993</v>
      </c>
      <c r="J216" s="4" t="s">
        <v>100</v>
      </c>
      <c r="K216" s="4" t="s">
        <v>994</v>
      </c>
      <c r="L216" s="4" t="str">
        <f aca="false">IF(TRIM(LOWER(E216))=TRIM(LOWER(J216)),"Match","Different")</f>
        <v>Different</v>
      </c>
    </row>
    <row r="217" customFormat="false" ht="15" hidden="false" customHeight="false" outlineLevel="0" collapsed="false">
      <c r="A217" s="4" t="s">
        <v>995</v>
      </c>
      <c r="B217" s="4" t="s">
        <v>996</v>
      </c>
      <c r="C217" s="4" t="s">
        <v>997</v>
      </c>
      <c r="D217" s="4" t="s">
        <v>998</v>
      </c>
      <c r="E217" s="4" t="s">
        <v>64</v>
      </c>
      <c r="F217" s="4" t="s">
        <v>999</v>
      </c>
      <c r="G217" s="4" t="s">
        <v>82</v>
      </c>
      <c r="H217" s="4" t="s">
        <v>66</v>
      </c>
      <c r="I217" s="4" t="s">
        <v>297</v>
      </c>
      <c r="J217" s="4" t="s">
        <v>64</v>
      </c>
      <c r="K217" s="4" t="s">
        <v>1000</v>
      </c>
      <c r="L217" s="4" t="str">
        <f aca="false">IF(TRIM(LOWER(E217))=TRIM(LOWER(J217)),"Match","Different")</f>
        <v>Match</v>
      </c>
    </row>
    <row r="218" customFormat="false" ht="15" hidden="false" customHeight="false" outlineLevel="0" collapsed="false">
      <c r="A218" s="4" t="s">
        <v>1001</v>
      </c>
      <c r="B218" s="4" t="s">
        <v>996</v>
      </c>
      <c r="C218" s="4" t="s">
        <v>1002</v>
      </c>
      <c r="D218" s="4"/>
      <c r="E218" s="4" t="s">
        <v>64</v>
      </c>
      <c r="F218" s="4" t="s">
        <v>999</v>
      </c>
      <c r="G218" s="4" t="s">
        <v>82</v>
      </c>
      <c r="H218" s="4" t="s">
        <v>66</v>
      </c>
      <c r="I218" s="4" t="s">
        <v>297</v>
      </c>
      <c r="J218" s="4" t="s">
        <v>64</v>
      </c>
      <c r="K218" s="4" t="s">
        <v>1000</v>
      </c>
      <c r="L218" s="4" t="str">
        <f aca="false">IF(TRIM(LOWER(E218))=TRIM(LOWER(J218)),"Match","Different")</f>
        <v>Match</v>
      </c>
    </row>
    <row r="219" customFormat="false" ht="15" hidden="false" customHeight="false" outlineLevel="0" collapsed="false">
      <c r="A219" s="4" t="s">
        <v>1003</v>
      </c>
      <c r="B219" s="4" t="s">
        <v>996</v>
      </c>
      <c r="C219" s="4" t="s">
        <v>1004</v>
      </c>
      <c r="D219" s="4" t="s">
        <v>1005</v>
      </c>
      <c r="E219" s="4" t="s">
        <v>64</v>
      </c>
      <c r="F219" s="4" t="s">
        <v>999</v>
      </c>
      <c r="G219" s="4" t="s">
        <v>82</v>
      </c>
      <c r="H219" s="4" t="s">
        <v>66</v>
      </c>
      <c r="I219" s="4" t="s">
        <v>297</v>
      </c>
      <c r="J219" s="4" t="s">
        <v>64</v>
      </c>
      <c r="K219" s="4" t="s">
        <v>1000</v>
      </c>
      <c r="L219" s="4" t="str">
        <f aca="false">IF(TRIM(LOWER(E219))=TRIM(LOWER(J219)),"Match","Different")</f>
        <v>Match</v>
      </c>
    </row>
    <row r="220" customFormat="false" ht="15" hidden="false" customHeight="false" outlineLevel="0" collapsed="false">
      <c r="A220" s="4" t="s">
        <v>1006</v>
      </c>
      <c r="B220" s="4" t="s">
        <v>1007</v>
      </c>
      <c r="C220" s="4" t="s">
        <v>1008</v>
      </c>
      <c r="D220" s="4"/>
      <c r="E220" s="4" t="s">
        <v>89</v>
      </c>
      <c r="F220" s="4" t="s">
        <v>1009</v>
      </c>
      <c r="G220" s="4" t="s">
        <v>82</v>
      </c>
      <c r="H220" s="4" t="s">
        <v>66</v>
      </c>
      <c r="I220" s="4" t="s">
        <v>309</v>
      </c>
      <c r="J220" s="4" t="s">
        <v>92</v>
      </c>
      <c r="K220" s="4" t="s">
        <v>1010</v>
      </c>
      <c r="L220" s="4" t="str">
        <f aca="false">IF(TRIM(LOWER(E220))=TRIM(LOWER(J220)),"Match","Different")</f>
        <v>Different</v>
      </c>
    </row>
    <row r="221" customFormat="false" ht="15" hidden="false" customHeight="false" outlineLevel="0" collapsed="false">
      <c r="A221" s="4" t="s">
        <v>1011</v>
      </c>
      <c r="B221" s="4" t="s">
        <v>1012</v>
      </c>
      <c r="C221" s="4" t="s">
        <v>1013</v>
      </c>
      <c r="D221" s="4"/>
      <c r="E221" s="4" t="s">
        <v>50</v>
      </c>
      <c r="F221" s="4" t="s">
        <v>1014</v>
      </c>
      <c r="G221" s="4" t="s">
        <v>27</v>
      </c>
      <c r="H221" s="4" t="s">
        <v>66</v>
      </c>
      <c r="I221" s="4" t="s">
        <v>278</v>
      </c>
      <c r="J221" s="4" t="s">
        <v>30</v>
      </c>
      <c r="K221" s="4" t="s">
        <v>1015</v>
      </c>
      <c r="L221" s="4" t="str">
        <f aca="false">IF(TRIM(LOWER(E221))=TRIM(LOWER(J221)),"Match","Different")</f>
        <v>Different</v>
      </c>
    </row>
    <row r="222" customFormat="false" ht="15" hidden="false" customHeight="false" outlineLevel="0" collapsed="false">
      <c r="A222" s="4" t="s">
        <v>1016</v>
      </c>
      <c r="B222" s="4" t="s">
        <v>1017</v>
      </c>
      <c r="C222" s="4" t="s">
        <v>1018</v>
      </c>
      <c r="D222" s="4"/>
      <c r="E222" s="4" t="s">
        <v>54</v>
      </c>
      <c r="F222" s="4" t="s">
        <v>1019</v>
      </c>
      <c r="G222" s="4" t="s">
        <v>47</v>
      </c>
      <c r="H222" s="4" t="s">
        <v>28</v>
      </c>
      <c r="I222" s="4" t="s">
        <v>123</v>
      </c>
      <c r="J222" s="4" t="s">
        <v>100</v>
      </c>
      <c r="K222" s="4" t="s">
        <v>1018</v>
      </c>
      <c r="L222" s="4" t="str">
        <f aca="false">IF(TRIM(LOWER(E222))=TRIM(LOWER(J222)),"Match","Different")</f>
        <v>Different</v>
      </c>
    </row>
    <row r="223" customFormat="false" ht="15" hidden="false" customHeight="false" outlineLevel="0" collapsed="false">
      <c r="A223" s="4" t="s">
        <v>1020</v>
      </c>
      <c r="B223" s="4" t="s">
        <v>1021</v>
      </c>
      <c r="C223" s="4" t="s">
        <v>1022</v>
      </c>
      <c r="D223" s="4" t="s">
        <v>1023</v>
      </c>
      <c r="E223" s="4" t="s">
        <v>89</v>
      </c>
      <c r="F223" s="4" t="s">
        <v>1024</v>
      </c>
      <c r="G223" s="4" t="s">
        <v>47</v>
      </c>
      <c r="H223" s="4" t="s">
        <v>39</v>
      </c>
      <c r="I223" s="4" t="s">
        <v>147</v>
      </c>
      <c r="J223" s="4" t="s">
        <v>30</v>
      </c>
      <c r="K223" s="4" t="s">
        <v>1025</v>
      </c>
      <c r="L223" s="4" t="str">
        <f aca="false">IF(TRIM(LOWER(E223))=TRIM(LOWER(J223)),"Match","Different")</f>
        <v>Different</v>
      </c>
    </row>
    <row r="224" customFormat="false" ht="15" hidden="false" customHeight="false" outlineLevel="0" collapsed="false">
      <c r="A224" s="4" t="s">
        <v>1026</v>
      </c>
      <c r="B224" s="4" t="s">
        <v>1027</v>
      </c>
      <c r="C224" s="4"/>
      <c r="D224" s="4" t="s">
        <v>1028</v>
      </c>
      <c r="E224" s="4" t="s">
        <v>1029</v>
      </c>
      <c r="F224" s="4" t="s">
        <v>1030</v>
      </c>
      <c r="G224" s="4" t="s">
        <v>27</v>
      </c>
      <c r="H224" s="4" t="s">
        <v>66</v>
      </c>
      <c r="I224" s="4" t="s">
        <v>1031</v>
      </c>
      <c r="J224" s="4" t="s">
        <v>32</v>
      </c>
      <c r="K224" s="4" t="s">
        <v>1032</v>
      </c>
      <c r="L224" s="4" t="str">
        <f aca="false">IF(TRIM(LOWER(E224))=TRIM(LOWER(J224)),"Match","Different")</f>
        <v>Different</v>
      </c>
    </row>
    <row r="225" customFormat="false" ht="15" hidden="false" customHeight="false" outlineLevel="0" collapsed="false">
      <c r="A225" s="4" t="s">
        <v>1033</v>
      </c>
      <c r="B225" s="4" t="s">
        <v>1034</v>
      </c>
      <c r="C225" s="4" t="s">
        <v>1035</v>
      </c>
      <c r="D225" s="4" t="s">
        <v>1036</v>
      </c>
      <c r="E225" s="4" t="s">
        <v>104</v>
      </c>
      <c r="F225" s="4" t="s">
        <v>1037</v>
      </c>
      <c r="G225" s="4" t="s">
        <v>128</v>
      </c>
      <c r="H225" s="4" t="s">
        <v>39</v>
      </c>
      <c r="I225" s="4" t="s">
        <v>636</v>
      </c>
      <c r="J225" s="4" t="s">
        <v>104</v>
      </c>
      <c r="K225" s="4" t="s">
        <v>1038</v>
      </c>
      <c r="L225" s="4" t="str">
        <f aca="false">IF(TRIM(LOWER(E225))=TRIM(LOWER(J225)),"Match","Different")</f>
        <v>Match</v>
      </c>
    </row>
    <row r="226" customFormat="false" ht="15" hidden="false" customHeight="false" outlineLevel="0" collapsed="false">
      <c r="A226" s="4" t="s">
        <v>1039</v>
      </c>
      <c r="B226" s="4" t="s">
        <v>1040</v>
      </c>
      <c r="C226" s="4" t="s">
        <v>1041</v>
      </c>
      <c r="D226" s="4"/>
      <c r="E226" s="4" t="s">
        <v>54</v>
      </c>
      <c r="F226" s="4" t="s">
        <v>1042</v>
      </c>
      <c r="G226" s="4" t="s">
        <v>359</v>
      </c>
      <c r="H226" s="4" t="s">
        <v>66</v>
      </c>
      <c r="I226" s="4" t="s">
        <v>91</v>
      </c>
      <c r="J226" s="4" t="s">
        <v>32</v>
      </c>
      <c r="K226" s="4" t="s">
        <v>1043</v>
      </c>
      <c r="L226" s="4" t="str">
        <f aca="false">IF(TRIM(LOWER(E226))=TRIM(LOWER(J226)),"Match","Different")</f>
        <v>Different</v>
      </c>
    </row>
    <row r="227" customFormat="false" ht="15" hidden="false" customHeight="false" outlineLevel="0" collapsed="false">
      <c r="A227" s="4" t="s">
        <v>1039</v>
      </c>
      <c r="B227" s="4" t="s">
        <v>1040</v>
      </c>
      <c r="C227" s="4" t="s">
        <v>1044</v>
      </c>
      <c r="D227" s="4"/>
      <c r="E227" s="4" t="s">
        <v>341</v>
      </c>
      <c r="F227" s="4" t="s">
        <v>1042</v>
      </c>
      <c r="G227" s="4" t="s">
        <v>359</v>
      </c>
      <c r="H227" s="4" t="s">
        <v>66</v>
      </c>
      <c r="I227" s="4" t="s">
        <v>91</v>
      </c>
      <c r="J227" s="4" t="s">
        <v>32</v>
      </c>
      <c r="K227" s="4" t="s">
        <v>1043</v>
      </c>
      <c r="L227" s="4" t="str">
        <f aca="false">IF(TRIM(LOWER(E227))=TRIM(LOWER(J227)),"Match","Different")</f>
        <v>Different</v>
      </c>
    </row>
    <row r="228" customFormat="false" ht="15" hidden="false" customHeight="false" outlineLevel="0" collapsed="false">
      <c r="A228" s="4" t="s">
        <v>1045</v>
      </c>
      <c r="B228" s="4" t="s">
        <v>1040</v>
      </c>
      <c r="C228" s="4"/>
      <c r="D228" s="4" t="s">
        <v>1046</v>
      </c>
      <c r="E228" s="4" t="s">
        <v>32</v>
      </c>
      <c r="F228" s="4" t="s">
        <v>1042</v>
      </c>
      <c r="G228" s="4" t="s">
        <v>359</v>
      </c>
      <c r="H228" s="4" t="s">
        <v>66</v>
      </c>
      <c r="I228" s="4" t="s">
        <v>91</v>
      </c>
      <c r="J228" s="4" t="s">
        <v>32</v>
      </c>
      <c r="K228" s="4" t="s">
        <v>1043</v>
      </c>
      <c r="L228" s="4" t="str">
        <f aca="false">IF(TRIM(LOWER(E228))=TRIM(LOWER(J228)),"Match","Different")</f>
        <v>Match</v>
      </c>
    </row>
    <row r="229" customFormat="false" ht="15" hidden="false" customHeight="false" outlineLevel="0" collapsed="false">
      <c r="A229" s="4" t="s">
        <v>1047</v>
      </c>
      <c r="B229" s="4" t="s">
        <v>1040</v>
      </c>
      <c r="C229" s="4" t="s">
        <v>1043</v>
      </c>
      <c r="D229" s="4"/>
      <c r="E229" s="4" t="s">
        <v>54</v>
      </c>
      <c r="F229" s="4" t="s">
        <v>1042</v>
      </c>
      <c r="G229" s="4" t="s">
        <v>359</v>
      </c>
      <c r="H229" s="4" t="s">
        <v>66</v>
      </c>
      <c r="I229" s="4" t="s">
        <v>91</v>
      </c>
      <c r="J229" s="4" t="s">
        <v>32</v>
      </c>
      <c r="K229" s="4" t="s">
        <v>1043</v>
      </c>
      <c r="L229" s="4" t="str">
        <f aca="false">IF(TRIM(LOWER(E229))=TRIM(LOWER(J229)),"Match","Different")</f>
        <v>Different</v>
      </c>
    </row>
    <row r="230" customFormat="false" ht="15" hidden="false" customHeight="false" outlineLevel="0" collapsed="false">
      <c r="A230" s="4" t="s">
        <v>1048</v>
      </c>
      <c r="B230" s="4" t="s">
        <v>1049</v>
      </c>
      <c r="C230" s="4" t="s">
        <v>1050</v>
      </c>
      <c r="D230" s="4" t="s">
        <v>1051</v>
      </c>
      <c r="E230" s="4" t="s">
        <v>89</v>
      </c>
      <c r="F230" s="4" t="s">
        <v>1052</v>
      </c>
      <c r="G230" s="4" t="s">
        <v>27</v>
      </c>
      <c r="H230" s="4" t="s">
        <v>39</v>
      </c>
      <c r="I230" s="4" t="s">
        <v>29</v>
      </c>
      <c r="J230" s="4" t="s">
        <v>30</v>
      </c>
      <c r="K230" s="4" t="s">
        <v>1050</v>
      </c>
      <c r="L230" s="4" t="str">
        <f aca="false">IF(TRIM(LOWER(E230))=TRIM(LOWER(J230)),"Match","Different")</f>
        <v>Different</v>
      </c>
    </row>
    <row r="231" customFormat="false" ht="15" hidden="false" customHeight="false" outlineLevel="0" collapsed="false">
      <c r="A231" s="4" t="s">
        <v>1053</v>
      </c>
      <c r="B231" s="4" t="s">
        <v>1054</v>
      </c>
      <c r="C231" s="4" t="s">
        <v>1055</v>
      </c>
      <c r="D231" s="4"/>
      <c r="E231" s="4" t="s">
        <v>89</v>
      </c>
      <c r="F231" s="4" t="s">
        <v>1056</v>
      </c>
      <c r="G231" s="4" t="s">
        <v>136</v>
      </c>
      <c r="H231" s="4" t="s">
        <v>66</v>
      </c>
      <c r="I231" s="4" t="s">
        <v>536</v>
      </c>
      <c r="J231" s="4" t="s">
        <v>30</v>
      </c>
      <c r="K231" s="4" t="s">
        <v>1057</v>
      </c>
      <c r="L231" s="4" t="str">
        <f aca="false">IF(TRIM(LOWER(E231))=TRIM(LOWER(J231)),"Match","Different")</f>
        <v>Different</v>
      </c>
    </row>
    <row r="232" customFormat="false" ht="15" hidden="false" customHeight="false" outlineLevel="0" collapsed="false">
      <c r="A232" s="4" t="s">
        <v>1058</v>
      </c>
      <c r="B232" s="4" t="s">
        <v>1059</v>
      </c>
      <c r="C232" s="4" t="s">
        <v>1060</v>
      </c>
      <c r="D232" s="4" t="s">
        <v>1061</v>
      </c>
      <c r="E232" s="4" t="s">
        <v>64</v>
      </c>
      <c r="F232" s="4" t="s">
        <v>1062</v>
      </c>
      <c r="G232" s="4" t="s">
        <v>98</v>
      </c>
      <c r="H232" s="4" t="s">
        <v>39</v>
      </c>
      <c r="I232" s="4" t="s">
        <v>40</v>
      </c>
      <c r="J232" s="4" t="s">
        <v>64</v>
      </c>
      <c r="K232" s="4" t="s">
        <v>1063</v>
      </c>
      <c r="L232" s="4" t="str">
        <f aca="false">IF(TRIM(LOWER(E232))=TRIM(LOWER(J232)),"Match","Different")</f>
        <v>Match</v>
      </c>
    </row>
    <row r="233" customFormat="false" ht="15" hidden="false" customHeight="false" outlineLevel="0" collapsed="false">
      <c r="A233" s="4" t="s">
        <v>1064</v>
      </c>
      <c r="B233" s="4" t="s">
        <v>1065</v>
      </c>
      <c r="C233" s="4" t="s">
        <v>1066</v>
      </c>
      <c r="D233" s="4"/>
      <c r="E233" s="4" t="s">
        <v>50</v>
      </c>
      <c r="F233" s="4" t="s">
        <v>1067</v>
      </c>
      <c r="G233" s="4" t="s">
        <v>136</v>
      </c>
      <c r="H233" s="4" t="s">
        <v>66</v>
      </c>
      <c r="I233" s="4" t="s">
        <v>91</v>
      </c>
      <c r="J233" s="4" t="s">
        <v>50</v>
      </c>
      <c r="K233" s="4" t="s">
        <v>1068</v>
      </c>
      <c r="L233" s="4" t="str">
        <f aca="false">IF(TRIM(LOWER(E233))=TRIM(LOWER(J233)),"Match","Different")</f>
        <v>Match</v>
      </c>
    </row>
    <row r="234" customFormat="false" ht="15" hidden="false" customHeight="false" outlineLevel="0" collapsed="false">
      <c r="A234" s="4" t="s">
        <v>1069</v>
      </c>
      <c r="B234" s="4" t="s">
        <v>1065</v>
      </c>
      <c r="C234" s="4" t="s">
        <v>1070</v>
      </c>
      <c r="D234" s="4"/>
      <c r="E234" s="4" t="s">
        <v>50</v>
      </c>
      <c r="F234" s="4" t="s">
        <v>1067</v>
      </c>
      <c r="G234" s="4" t="s">
        <v>136</v>
      </c>
      <c r="H234" s="4" t="s">
        <v>66</v>
      </c>
      <c r="I234" s="4" t="s">
        <v>91</v>
      </c>
      <c r="J234" s="4" t="s">
        <v>50</v>
      </c>
      <c r="K234" s="4" t="s">
        <v>1068</v>
      </c>
      <c r="L234" s="4" t="str">
        <f aca="false">IF(TRIM(LOWER(E234))=TRIM(LOWER(J234)),"Match","Different")</f>
        <v>Match</v>
      </c>
    </row>
    <row r="235" customFormat="false" ht="15" hidden="false" customHeight="false" outlineLevel="0" collapsed="false">
      <c r="A235" s="4" t="s">
        <v>1071</v>
      </c>
      <c r="B235" s="4" t="s">
        <v>1072</v>
      </c>
      <c r="C235" s="4" t="s">
        <v>1073</v>
      </c>
      <c r="D235" s="4" t="s">
        <v>1074</v>
      </c>
      <c r="E235" s="4" t="s">
        <v>89</v>
      </c>
      <c r="F235" s="4" t="s">
        <v>1075</v>
      </c>
      <c r="G235" s="4" t="s">
        <v>27</v>
      </c>
      <c r="H235" s="4" t="s">
        <v>39</v>
      </c>
      <c r="I235" s="4" t="s">
        <v>821</v>
      </c>
      <c r="J235" s="4" t="s">
        <v>100</v>
      </c>
      <c r="K235" s="4" t="s">
        <v>1076</v>
      </c>
      <c r="L235" s="4" t="str">
        <f aca="false">IF(TRIM(LOWER(E235))=TRIM(LOWER(J235)),"Match","Different")</f>
        <v>Different</v>
      </c>
    </row>
    <row r="236" customFormat="false" ht="15" hidden="false" customHeight="false" outlineLevel="0" collapsed="false">
      <c r="A236" s="4" t="s">
        <v>1077</v>
      </c>
      <c r="B236" s="4" t="s">
        <v>1078</v>
      </c>
      <c r="C236" s="4" t="s">
        <v>1079</v>
      </c>
      <c r="D236" s="4"/>
      <c r="E236" s="4" t="s">
        <v>50</v>
      </c>
      <c r="F236" s="4" t="s">
        <v>1080</v>
      </c>
      <c r="G236" s="4" t="s">
        <v>136</v>
      </c>
      <c r="H236" s="4" t="s">
        <v>66</v>
      </c>
      <c r="I236" s="4" t="s">
        <v>1081</v>
      </c>
      <c r="J236" s="4" t="s">
        <v>50</v>
      </c>
      <c r="K236" s="4" t="s">
        <v>1079</v>
      </c>
      <c r="L236" s="4" t="str">
        <f aca="false">IF(TRIM(LOWER(E236))=TRIM(LOWER(J236)),"Match","Different")</f>
        <v>Match</v>
      </c>
    </row>
    <row r="237" customFormat="false" ht="15" hidden="false" customHeight="false" outlineLevel="0" collapsed="false">
      <c r="A237" s="4" t="s">
        <v>1082</v>
      </c>
      <c r="B237" s="4" t="s">
        <v>1083</v>
      </c>
      <c r="C237" s="4" t="s">
        <v>1084</v>
      </c>
      <c r="D237" s="4" t="s">
        <v>1085</v>
      </c>
      <c r="E237" s="4" t="s">
        <v>89</v>
      </c>
      <c r="F237" s="4" t="s">
        <v>1086</v>
      </c>
      <c r="G237" s="4" t="s">
        <v>47</v>
      </c>
      <c r="H237" s="4" t="s">
        <v>66</v>
      </c>
      <c r="I237" s="4" t="s">
        <v>1087</v>
      </c>
      <c r="J237" s="4" t="s">
        <v>92</v>
      </c>
      <c r="K237" s="4" t="s">
        <v>1084</v>
      </c>
      <c r="L237" s="4" t="str">
        <f aca="false">IF(TRIM(LOWER(E237))=TRIM(LOWER(J237)),"Match","Different")</f>
        <v>Different</v>
      </c>
    </row>
    <row r="238" customFormat="false" ht="15" hidden="false" customHeight="false" outlineLevel="0" collapsed="false">
      <c r="A238" s="4" t="s">
        <v>1088</v>
      </c>
      <c r="B238" s="4" t="s">
        <v>1089</v>
      </c>
      <c r="C238" s="4" t="s">
        <v>1090</v>
      </c>
      <c r="D238" s="4" t="s">
        <v>1091</v>
      </c>
      <c r="E238" s="4" t="s">
        <v>89</v>
      </c>
      <c r="F238" s="4" t="s">
        <v>1092</v>
      </c>
      <c r="G238" s="4" t="s">
        <v>38</v>
      </c>
      <c r="H238" s="4" t="s">
        <v>39</v>
      </c>
      <c r="I238" s="4" t="s">
        <v>99</v>
      </c>
      <c r="J238" s="4" t="s">
        <v>92</v>
      </c>
      <c r="K238" s="4" t="s">
        <v>1093</v>
      </c>
      <c r="L238" s="4" t="str">
        <f aca="false">IF(TRIM(LOWER(E238))=TRIM(LOWER(J238)),"Match","Different")</f>
        <v>Different</v>
      </c>
    </row>
    <row r="239" customFormat="false" ht="15" hidden="false" customHeight="false" outlineLevel="0" collapsed="false">
      <c r="A239" s="4" t="s">
        <v>1094</v>
      </c>
      <c r="B239" s="4" t="s">
        <v>1089</v>
      </c>
      <c r="C239" s="4" t="s">
        <v>1093</v>
      </c>
      <c r="D239" s="4"/>
      <c r="E239" s="4" t="s">
        <v>89</v>
      </c>
      <c r="F239" s="4" t="s">
        <v>1092</v>
      </c>
      <c r="G239" s="4" t="s">
        <v>38</v>
      </c>
      <c r="H239" s="4" t="s">
        <v>39</v>
      </c>
      <c r="I239" s="4" t="s">
        <v>99</v>
      </c>
      <c r="J239" s="4" t="s">
        <v>92</v>
      </c>
      <c r="K239" s="4" t="s">
        <v>1093</v>
      </c>
      <c r="L239" s="4" t="str">
        <f aca="false">IF(TRIM(LOWER(E239))=TRIM(LOWER(J239)),"Match","Different")</f>
        <v>Different</v>
      </c>
    </row>
    <row r="240" customFormat="false" ht="15" hidden="false" customHeight="false" outlineLevel="0" collapsed="false">
      <c r="A240" s="4" t="s">
        <v>1095</v>
      </c>
      <c r="B240" s="4" t="s">
        <v>1096</v>
      </c>
      <c r="C240" s="4" t="s">
        <v>1097</v>
      </c>
      <c r="D240" s="4"/>
      <c r="E240" s="4" t="s">
        <v>54</v>
      </c>
      <c r="F240" s="4" t="s">
        <v>1098</v>
      </c>
      <c r="G240" s="4" t="s">
        <v>136</v>
      </c>
      <c r="H240" s="4" t="s">
        <v>172</v>
      </c>
      <c r="I240" s="4" t="s">
        <v>1099</v>
      </c>
      <c r="J240" s="4" t="s">
        <v>100</v>
      </c>
      <c r="K240" s="4" t="s">
        <v>1097</v>
      </c>
      <c r="L240" s="4" t="str">
        <f aca="false">IF(TRIM(LOWER(E240))=TRIM(LOWER(J240)),"Match","Different")</f>
        <v>Different</v>
      </c>
    </row>
    <row r="241" customFormat="false" ht="15" hidden="false" customHeight="false" outlineLevel="0" collapsed="false">
      <c r="A241" s="4" t="s">
        <v>1100</v>
      </c>
      <c r="B241" s="4" t="s">
        <v>1101</v>
      </c>
      <c r="C241" s="4" t="s">
        <v>1102</v>
      </c>
      <c r="D241" s="4"/>
      <c r="E241" s="4" t="s">
        <v>341</v>
      </c>
      <c r="F241" s="4" t="s">
        <v>1103</v>
      </c>
      <c r="G241" s="4" t="s">
        <v>56</v>
      </c>
      <c r="H241" s="4" t="s">
        <v>1104</v>
      </c>
      <c r="I241" s="4" t="s">
        <v>1105</v>
      </c>
      <c r="J241" s="4" t="s">
        <v>112</v>
      </c>
      <c r="K241" s="4" t="s">
        <v>1106</v>
      </c>
      <c r="L241" s="4" t="str">
        <f aca="false">IF(TRIM(LOWER(E241))=TRIM(LOWER(J241)),"Match","Different")</f>
        <v>Different</v>
      </c>
    </row>
    <row r="242" customFormat="false" ht="15" hidden="false" customHeight="false" outlineLevel="0" collapsed="false">
      <c r="A242" s="4" t="s">
        <v>1107</v>
      </c>
      <c r="B242" s="4" t="s">
        <v>1108</v>
      </c>
      <c r="C242" s="4"/>
      <c r="D242" s="4" t="s">
        <v>1109</v>
      </c>
      <c r="E242" s="4" t="s">
        <v>383</v>
      </c>
      <c r="F242" s="4" t="s">
        <v>1110</v>
      </c>
      <c r="G242" s="4" t="s">
        <v>56</v>
      </c>
      <c r="H242" s="4" t="s">
        <v>39</v>
      </c>
      <c r="I242" s="4" t="s">
        <v>83</v>
      </c>
      <c r="J242" s="4" t="s">
        <v>64</v>
      </c>
      <c r="K242" s="4" t="s">
        <v>1111</v>
      </c>
      <c r="L242" s="4" t="str">
        <f aca="false">IF(TRIM(LOWER(E242))=TRIM(LOWER(J242)),"Match","Different")</f>
        <v>Different</v>
      </c>
    </row>
    <row r="243" customFormat="false" ht="15" hidden="false" customHeight="false" outlineLevel="0" collapsed="false">
      <c r="A243" s="4" t="s">
        <v>1112</v>
      </c>
      <c r="B243" s="4" t="s">
        <v>1108</v>
      </c>
      <c r="C243" s="4" t="s">
        <v>1113</v>
      </c>
      <c r="D243" s="4" t="s">
        <v>1114</v>
      </c>
      <c r="E243" s="4" t="s">
        <v>64</v>
      </c>
      <c r="F243" s="4" t="s">
        <v>1110</v>
      </c>
      <c r="G243" s="4" t="s">
        <v>56</v>
      </c>
      <c r="H243" s="4" t="s">
        <v>39</v>
      </c>
      <c r="I243" s="4" t="s">
        <v>83</v>
      </c>
      <c r="J243" s="4" t="s">
        <v>64</v>
      </c>
      <c r="K243" s="4" t="s">
        <v>1111</v>
      </c>
      <c r="L243" s="4" t="str">
        <f aca="false">IF(TRIM(LOWER(E243))=TRIM(LOWER(J243)),"Match","Different")</f>
        <v>Match</v>
      </c>
    </row>
    <row r="244" customFormat="false" ht="15" hidden="false" customHeight="false" outlineLevel="0" collapsed="false">
      <c r="A244" s="4" t="s">
        <v>1115</v>
      </c>
      <c r="B244" s="4" t="s">
        <v>1108</v>
      </c>
      <c r="C244" s="4" t="s">
        <v>1116</v>
      </c>
      <c r="D244" s="4"/>
      <c r="E244" s="4" t="s">
        <v>64</v>
      </c>
      <c r="F244" s="4" t="s">
        <v>1110</v>
      </c>
      <c r="G244" s="4" t="s">
        <v>56</v>
      </c>
      <c r="H244" s="4" t="s">
        <v>39</v>
      </c>
      <c r="I244" s="4" t="s">
        <v>83</v>
      </c>
      <c r="J244" s="4" t="s">
        <v>64</v>
      </c>
      <c r="K244" s="4" t="s">
        <v>1111</v>
      </c>
      <c r="L244" s="4" t="str">
        <f aca="false">IF(TRIM(LOWER(E244))=TRIM(LOWER(J244)),"Match","Different")</f>
        <v>Match</v>
      </c>
    </row>
    <row r="245" customFormat="false" ht="15" hidden="false" customHeight="false" outlineLevel="0" collapsed="false">
      <c r="A245" s="4" t="s">
        <v>1117</v>
      </c>
      <c r="B245" s="4" t="s">
        <v>1118</v>
      </c>
      <c r="C245" s="4" t="s">
        <v>1119</v>
      </c>
      <c r="D245" s="4" t="s">
        <v>1120</v>
      </c>
      <c r="E245" s="4" t="s">
        <v>89</v>
      </c>
      <c r="F245" s="4" t="s">
        <v>1121</v>
      </c>
      <c r="G245" s="4" t="s">
        <v>207</v>
      </c>
      <c r="H245" s="4" t="s">
        <v>39</v>
      </c>
      <c r="I245" s="4" t="s">
        <v>99</v>
      </c>
      <c r="J245" s="4" t="s">
        <v>100</v>
      </c>
      <c r="K245" s="4" t="s">
        <v>1122</v>
      </c>
      <c r="L245" s="4" t="str">
        <f aca="false">IF(TRIM(LOWER(E245))=TRIM(LOWER(J245)),"Match","Different")</f>
        <v>Different</v>
      </c>
    </row>
    <row r="246" customFormat="false" ht="15" hidden="false" customHeight="false" outlineLevel="0" collapsed="false">
      <c r="A246" s="4" t="s">
        <v>1123</v>
      </c>
      <c r="B246" s="4" t="s">
        <v>1124</v>
      </c>
      <c r="C246" s="4" t="s">
        <v>1125</v>
      </c>
      <c r="D246" s="4"/>
      <c r="E246" s="4" t="s">
        <v>89</v>
      </c>
      <c r="F246" s="4" t="s">
        <v>1126</v>
      </c>
      <c r="G246" s="4" t="s">
        <v>291</v>
      </c>
      <c r="H246" s="4" t="s">
        <v>39</v>
      </c>
      <c r="I246" s="4" t="s">
        <v>821</v>
      </c>
      <c r="J246" s="4" t="s">
        <v>100</v>
      </c>
      <c r="K246" s="4" t="s">
        <v>1125</v>
      </c>
      <c r="L246" s="4" t="str">
        <f aca="false">IF(TRIM(LOWER(E246))=TRIM(LOWER(J246)),"Match","Different")</f>
        <v>Different</v>
      </c>
    </row>
    <row r="247" customFormat="false" ht="15" hidden="false" customHeight="false" outlineLevel="0" collapsed="false">
      <c r="A247" s="4" t="s">
        <v>1127</v>
      </c>
      <c r="B247" s="4" t="s">
        <v>1128</v>
      </c>
      <c r="C247" s="4" t="s">
        <v>1129</v>
      </c>
      <c r="D247" s="4" t="s">
        <v>1130</v>
      </c>
      <c r="E247" s="4" t="s">
        <v>25</v>
      </c>
      <c r="F247" s="4" t="s">
        <v>1131</v>
      </c>
      <c r="G247" s="4" t="s">
        <v>136</v>
      </c>
      <c r="H247" s="4" t="s">
        <v>39</v>
      </c>
      <c r="I247" s="4" t="s">
        <v>881</v>
      </c>
      <c r="J247" s="4" t="s">
        <v>392</v>
      </c>
      <c r="K247" s="4" t="s">
        <v>1132</v>
      </c>
      <c r="L247" s="4" t="str">
        <f aca="false">IF(TRIM(LOWER(E247))=TRIM(LOWER(J247)),"Match","Different")</f>
        <v>Different</v>
      </c>
    </row>
    <row r="248" customFormat="false" ht="15" hidden="false" customHeight="false" outlineLevel="0" collapsed="false">
      <c r="A248" s="4" t="s">
        <v>1133</v>
      </c>
      <c r="B248" s="4" t="s">
        <v>1134</v>
      </c>
      <c r="C248" s="4" t="s">
        <v>1135</v>
      </c>
      <c r="D248" s="4"/>
      <c r="E248" s="4" t="s">
        <v>50</v>
      </c>
      <c r="F248" s="4" t="s">
        <v>1136</v>
      </c>
      <c r="G248" s="4" t="s">
        <v>56</v>
      </c>
      <c r="H248" s="4" t="s">
        <v>48</v>
      </c>
      <c r="I248" s="4" t="s">
        <v>194</v>
      </c>
      <c r="J248" s="4" t="s">
        <v>112</v>
      </c>
      <c r="K248" s="4" t="s">
        <v>1137</v>
      </c>
      <c r="L248" s="4" t="str">
        <f aca="false">IF(TRIM(LOWER(E248))=TRIM(LOWER(J248)),"Match","Different")</f>
        <v>Different</v>
      </c>
    </row>
    <row r="249" customFormat="false" ht="15" hidden="false" customHeight="false" outlineLevel="0" collapsed="false">
      <c r="A249" s="4" t="s">
        <v>1138</v>
      </c>
      <c r="B249" s="4" t="s">
        <v>1134</v>
      </c>
      <c r="C249" s="4" t="s">
        <v>1139</v>
      </c>
      <c r="D249" s="4"/>
      <c r="E249" s="4" t="s">
        <v>341</v>
      </c>
      <c r="F249" s="4" t="s">
        <v>1136</v>
      </c>
      <c r="G249" s="4" t="s">
        <v>56</v>
      </c>
      <c r="H249" s="4" t="s">
        <v>48</v>
      </c>
      <c r="I249" s="4" t="s">
        <v>194</v>
      </c>
      <c r="J249" s="4" t="s">
        <v>112</v>
      </c>
      <c r="K249" s="4" t="s">
        <v>1137</v>
      </c>
      <c r="L249" s="4" t="str">
        <f aca="false">IF(TRIM(LOWER(E249))=TRIM(LOWER(J249)),"Match","Different")</f>
        <v>Different</v>
      </c>
    </row>
    <row r="250" customFormat="false" ht="15" hidden="false" customHeight="false" outlineLevel="0" collapsed="false">
      <c r="A250" s="4" t="s">
        <v>1140</v>
      </c>
      <c r="B250" s="4" t="s">
        <v>1141</v>
      </c>
      <c r="C250" s="4" t="s">
        <v>1142</v>
      </c>
      <c r="D250" s="4" t="s">
        <v>1143</v>
      </c>
      <c r="E250" s="4" t="s">
        <v>50</v>
      </c>
      <c r="F250" s="4" t="s">
        <v>1144</v>
      </c>
      <c r="G250" s="4" t="s">
        <v>56</v>
      </c>
      <c r="H250" s="4" t="s">
        <v>28</v>
      </c>
      <c r="I250" s="4" t="s">
        <v>123</v>
      </c>
      <c r="J250" s="4" t="s">
        <v>32</v>
      </c>
      <c r="K250" s="4" t="s">
        <v>1145</v>
      </c>
      <c r="L250" s="4" t="str">
        <f aca="false">IF(TRIM(LOWER(E250))=TRIM(LOWER(J250)),"Match","Different")</f>
        <v>Different</v>
      </c>
    </row>
    <row r="251" customFormat="false" ht="15" hidden="false" customHeight="false" outlineLevel="0" collapsed="false">
      <c r="A251" s="4" t="s">
        <v>1146</v>
      </c>
      <c r="B251" s="4" t="s">
        <v>1147</v>
      </c>
      <c r="C251" s="4" t="s">
        <v>1148</v>
      </c>
      <c r="D251" s="4" t="s">
        <v>1149</v>
      </c>
      <c r="E251" s="4" t="s">
        <v>25</v>
      </c>
      <c r="F251" s="4" t="s">
        <v>1150</v>
      </c>
      <c r="G251" s="4" t="s">
        <v>122</v>
      </c>
      <c r="H251" s="4" t="s">
        <v>28</v>
      </c>
      <c r="I251" s="4" t="s">
        <v>1105</v>
      </c>
      <c r="J251" s="4" t="s">
        <v>30</v>
      </c>
      <c r="K251" s="4" t="s">
        <v>1151</v>
      </c>
      <c r="L251" s="4" t="str">
        <f aca="false">IF(TRIM(LOWER(E251))=TRIM(LOWER(J251)),"Match","Different")</f>
        <v>Different</v>
      </c>
    </row>
    <row r="252" customFormat="false" ht="15" hidden="false" customHeight="false" outlineLevel="0" collapsed="false">
      <c r="A252" s="4" t="s">
        <v>1152</v>
      </c>
      <c r="B252" s="4" t="s">
        <v>1153</v>
      </c>
      <c r="C252" s="4" t="s">
        <v>1154</v>
      </c>
      <c r="D252" s="4" t="s">
        <v>1155</v>
      </c>
      <c r="E252" s="4" t="s">
        <v>25</v>
      </c>
      <c r="F252" s="4" t="s">
        <v>1156</v>
      </c>
      <c r="G252" s="4" t="s">
        <v>56</v>
      </c>
      <c r="H252" s="4" t="s">
        <v>39</v>
      </c>
      <c r="I252" s="4" t="s">
        <v>402</v>
      </c>
      <c r="J252" s="4" t="s">
        <v>392</v>
      </c>
      <c r="K252" s="4" t="s">
        <v>1157</v>
      </c>
      <c r="L252" s="4" t="str">
        <f aca="false">IF(TRIM(LOWER(E252))=TRIM(LOWER(J252)),"Match","Different")</f>
        <v>Different</v>
      </c>
    </row>
    <row r="253" customFormat="false" ht="15" hidden="false" customHeight="false" outlineLevel="0" collapsed="false">
      <c r="A253" s="4" t="s">
        <v>1158</v>
      </c>
      <c r="B253" s="4" t="s">
        <v>1153</v>
      </c>
      <c r="C253" s="4" t="s">
        <v>1157</v>
      </c>
      <c r="D253" s="4" t="s">
        <v>1159</v>
      </c>
      <c r="E253" s="4" t="s">
        <v>25</v>
      </c>
      <c r="F253" s="4" t="s">
        <v>1156</v>
      </c>
      <c r="G253" s="4" t="s">
        <v>56</v>
      </c>
      <c r="H253" s="4" t="s">
        <v>39</v>
      </c>
      <c r="I253" s="4" t="s">
        <v>402</v>
      </c>
      <c r="J253" s="4" t="s">
        <v>392</v>
      </c>
      <c r="K253" s="4" t="s">
        <v>1157</v>
      </c>
      <c r="L253" s="4" t="str">
        <f aca="false">IF(TRIM(LOWER(E253))=TRIM(LOWER(J253)),"Match","Different")</f>
        <v>Different</v>
      </c>
    </row>
    <row r="254" customFormat="false" ht="15" hidden="false" customHeight="false" outlineLevel="0" collapsed="false">
      <c r="A254" s="4" t="s">
        <v>1160</v>
      </c>
      <c r="B254" s="4" t="s">
        <v>1161</v>
      </c>
      <c r="C254" s="4" t="s">
        <v>1162</v>
      </c>
      <c r="D254" s="4"/>
      <c r="E254" s="4" t="s">
        <v>25</v>
      </c>
      <c r="F254" s="4" t="s">
        <v>1163</v>
      </c>
      <c r="G254" s="4" t="s">
        <v>82</v>
      </c>
      <c r="H254" s="4" t="s">
        <v>39</v>
      </c>
      <c r="I254" s="4" t="s">
        <v>821</v>
      </c>
      <c r="J254" s="4" t="s">
        <v>30</v>
      </c>
      <c r="K254" s="4" t="s">
        <v>1162</v>
      </c>
      <c r="L254" s="4" t="str">
        <f aca="false">IF(TRIM(LOWER(E254))=TRIM(LOWER(J254)),"Match","Different")</f>
        <v>Different</v>
      </c>
    </row>
    <row r="255" customFormat="false" ht="15" hidden="false" customHeight="false" outlineLevel="0" collapsed="false">
      <c r="A255" s="4" t="s">
        <v>1160</v>
      </c>
      <c r="B255" s="4" t="s">
        <v>1161</v>
      </c>
      <c r="C255" s="4"/>
      <c r="D255" s="4"/>
      <c r="E255" s="4" t="s">
        <v>32</v>
      </c>
      <c r="F255" s="4" t="s">
        <v>1163</v>
      </c>
      <c r="G255" s="4" t="s">
        <v>82</v>
      </c>
      <c r="H255" s="4" t="s">
        <v>39</v>
      </c>
      <c r="I255" s="4" t="s">
        <v>821</v>
      </c>
      <c r="J255" s="4" t="s">
        <v>30</v>
      </c>
      <c r="K255" s="4" t="s">
        <v>1162</v>
      </c>
      <c r="L255" s="4" t="str">
        <f aca="false">IF(TRIM(LOWER(E255))=TRIM(LOWER(J255)),"Match","Different")</f>
        <v>Different</v>
      </c>
    </row>
    <row r="256" customFormat="false" ht="15" hidden="false" customHeight="false" outlineLevel="0" collapsed="false">
      <c r="A256" s="4" t="s">
        <v>1164</v>
      </c>
      <c r="B256" s="4" t="s">
        <v>1165</v>
      </c>
      <c r="C256" s="4" t="s">
        <v>1166</v>
      </c>
      <c r="D256" s="4"/>
      <c r="E256" s="4" t="s">
        <v>25</v>
      </c>
      <c r="F256" s="4" t="s">
        <v>1167</v>
      </c>
      <c r="G256" s="4" t="s">
        <v>98</v>
      </c>
      <c r="H256" s="4" t="s">
        <v>39</v>
      </c>
      <c r="I256" s="4" t="s">
        <v>91</v>
      </c>
      <c r="J256" s="4" t="s">
        <v>392</v>
      </c>
      <c r="K256" s="4" t="s">
        <v>1166</v>
      </c>
      <c r="L256" s="4" t="str">
        <f aca="false">IF(TRIM(LOWER(E256))=TRIM(LOWER(J256)),"Match","Different")</f>
        <v>Different</v>
      </c>
    </row>
    <row r="257" customFormat="false" ht="15" hidden="false" customHeight="false" outlineLevel="0" collapsed="false">
      <c r="A257" s="4" t="s">
        <v>1168</v>
      </c>
      <c r="B257" s="4" t="s">
        <v>1169</v>
      </c>
      <c r="C257" s="4" t="s">
        <v>1170</v>
      </c>
      <c r="D257" s="4" t="s">
        <v>1171</v>
      </c>
      <c r="E257" s="4" t="s">
        <v>50</v>
      </c>
      <c r="F257" s="4" t="s">
        <v>1172</v>
      </c>
      <c r="G257" s="4" t="s">
        <v>575</v>
      </c>
      <c r="H257" s="4" t="s">
        <v>66</v>
      </c>
      <c r="I257" s="4" t="s">
        <v>1031</v>
      </c>
      <c r="J257" s="4" t="s">
        <v>100</v>
      </c>
      <c r="K257" s="4" t="s">
        <v>1173</v>
      </c>
      <c r="L257" s="4" t="str">
        <f aca="false">IF(TRIM(LOWER(E257))=TRIM(LOWER(J257)),"Match","Different")</f>
        <v>Different</v>
      </c>
    </row>
    <row r="258" customFormat="false" ht="15" hidden="false" customHeight="false" outlineLevel="0" collapsed="false">
      <c r="A258" s="4" t="s">
        <v>1174</v>
      </c>
      <c r="B258" s="4" t="s">
        <v>1175</v>
      </c>
      <c r="C258" s="4" t="s">
        <v>1176</v>
      </c>
      <c r="D258" s="4"/>
      <c r="E258" s="4" t="s">
        <v>54</v>
      </c>
      <c r="F258" s="4" t="s">
        <v>1177</v>
      </c>
      <c r="G258" s="4" t="s">
        <v>27</v>
      </c>
      <c r="H258" s="4" t="s">
        <v>39</v>
      </c>
      <c r="I258" s="4" t="s">
        <v>83</v>
      </c>
      <c r="J258" s="4" t="s">
        <v>58</v>
      </c>
      <c r="K258" s="4" t="s">
        <v>1176</v>
      </c>
      <c r="L258" s="4" t="str">
        <f aca="false">IF(TRIM(LOWER(E258))=TRIM(LOWER(J258)),"Match","Different")</f>
        <v>Different</v>
      </c>
    </row>
    <row r="259" customFormat="false" ht="15" hidden="false" customHeight="false" outlineLevel="0" collapsed="false">
      <c r="A259" s="4" t="s">
        <v>1178</v>
      </c>
      <c r="B259" s="4" t="s">
        <v>1179</v>
      </c>
      <c r="C259" s="4" t="s">
        <v>1180</v>
      </c>
      <c r="D259" s="4" t="s">
        <v>1181</v>
      </c>
      <c r="E259" s="4" t="s">
        <v>112</v>
      </c>
      <c r="F259" s="4" t="s">
        <v>1182</v>
      </c>
      <c r="G259" s="4" t="s">
        <v>56</v>
      </c>
      <c r="H259" s="4" t="s">
        <v>48</v>
      </c>
      <c r="I259" s="4" t="s">
        <v>194</v>
      </c>
      <c r="J259" s="4" t="s">
        <v>112</v>
      </c>
      <c r="K259" s="4" t="s">
        <v>1183</v>
      </c>
      <c r="L259" s="4" t="str">
        <f aca="false">IF(TRIM(LOWER(E259))=TRIM(LOWER(J259)),"Match","Different")</f>
        <v>Match</v>
      </c>
    </row>
    <row r="260" customFormat="false" ht="15" hidden="false" customHeight="false" outlineLevel="0" collapsed="false">
      <c r="A260" s="4" t="s">
        <v>1184</v>
      </c>
      <c r="B260" s="4" t="s">
        <v>1185</v>
      </c>
      <c r="C260" s="4" t="s">
        <v>1186</v>
      </c>
      <c r="D260" s="4"/>
      <c r="E260" s="4" t="s">
        <v>50</v>
      </c>
      <c r="F260" s="4" t="s">
        <v>1187</v>
      </c>
      <c r="G260" s="4" t="s">
        <v>56</v>
      </c>
      <c r="H260" s="4" t="s">
        <v>66</v>
      </c>
      <c r="I260" s="4" t="s">
        <v>1188</v>
      </c>
      <c r="J260" s="4" t="s">
        <v>100</v>
      </c>
      <c r="K260" s="4" t="s">
        <v>1186</v>
      </c>
      <c r="L260" s="4" t="str">
        <f aca="false">IF(TRIM(LOWER(E260))=TRIM(LOWER(J260)),"Match","Different")</f>
        <v>Different</v>
      </c>
    </row>
    <row r="261" customFormat="false" ht="15" hidden="false" customHeight="false" outlineLevel="0" collapsed="false">
      <c r="A261" s="4" t="s">
        <v>1189</v>
      </c>
      <c r="B261" s="4" t="s">
        <v>1190</v>
      </c>
      <c r="C261" s="4" t="s">
        <v>1191</v>
      </c>
      <c r="D261" s="4" t="s">
        <v>1192</v>
      </c>
      <c r="E261" s="4" t="s">
        <v>89</v>
      </c>
      <c r="F261" s="4" t="s">
        <v>1193</v>
      </c>
      <c r="G261" s="4" t="s">
        <v>27</v>
      </c>
      <c r="H261" s="4" t="s">
        <v>39</v>
      </c>
      <c r="I261" s="4" t="s">
        <v>99</v>
      </c>
      <c r="J261" s="4" t="s">
        <v>100</v>
      </c>
      <c r="K261" s="4" t="s">
        <v>1191</v>
      </c>
      <c r="L261" s="4" t="str">
        <f aca="false">IF(TRIM(LOWER(E261))=TRIM(LOWER(J261)),"Match","Different")</f>
        <v>Different</v>
      </c>
    </row>
    <row r="262" customFormat="false" ht="15" hidden="false" customHeight="false" outlineLevel="0" collapsed="false">
      <c r="A262" s="4" t="s">
        <v>1194</v>
      </c>
      <c r="B262" s="4" t="s">
        <v>1195</v>
      </c>
      <c r="C262" s="4"/>
      <c r="D262" s="4"/>
      <c r="E262" s="4" t="s">
        <v>32</v>
      </c>
      <c r="F262" s="4" t="s">
        <v>1196</v>
      </c>
      <c r="G262" s="4" t="s">
        <v>136</v>
      </c>
      <c r="H262" s="4" t="s">
        <v>39</v>
      </c>
      <c r="I262" s="4" t="s">
        <v>99</v>
      </c>
      <c r="J262" s="4" t="s">
        <v>32</v>
      </c>
      <c r="K262" s="4" t="s">
        <v>1197</v>
      </c>
      <c r="L262" s="4" t="str">
        <f aca="false">IF(TRIM(LOWER(E262))=TRIM(LOWER(J262)),"Match","Different")</f>
        <v>Match</v>
      </c>
    </row>
    <row r="263" customFormat="false" ht="15" hidden="false" customHeight="false" outlineLevel="0" collapsed="false">
      <c r="A263" s="4" t="s">
        <v>1198</v>
      </c>
      <c r="B263" s="4" t="s">
        <v>1195</v>
      </c>
      <c r="C263" s="4" t="s">
        <v>1199</v>
      </c>
      <c r="D263" s="4" t="s">
        <v>1200</v>
      </c>
      <c r="E263" s="4" t="s">
        <v>25</v>
      </c>
      <c r="F263" s="4" t="s">
        <v>1196</v>
      </c>
      <c r="G263" s="4" t="s">
        <v>136</v>
      </c>
      <c r="H263" s="4" t="s">
        <v>39</v>
      </c>
      <c r="I263" s="4" t="s">
        <v>99</v>
      </c>
      <c r="J263" s="4" t="s">
        <v>32</v>
      </c>
      <c r="K263" s="4" t="s">
        <v>1197</v>
      </c>
      <c r="L263" s="4" t="str">
        <f aca="false">IF(TRIM(LOWER(E263))=TRIM(LOWER(J263)),"Match","Different")</f>
        <v>Different</v>
      </c>
    </row>
    <row r="264" customFormat="false" ht="15" hidden="false" customHeight="false" outlineLevel="0" collapsed="false">
      <c r="A264" s="4" t="s">
        <v>1201</v>
      </c>
      <c r="B264" s="4" t="s">
        <v>1202</v>
      </c>
      <c r="C264" s="4" t="s">
        <v>1203</v>
      </c>
      <c r="D264" s="4" t="s">
        <v>1204</v>
      </c>
      <c r="E264" s="4" t="s">
        <v>89</v>
      </c>
      <c r="F264" s="4" t="s">
        <v>1205</v>
      </c>
      <c r="G264" s="4" t="s">
        <v>56</v>
      </c>
      <c r="H264" s="4" t="s">
        <v>66</v>
      </c>
      <c r="I264" s="4" t="s">
        <v>1206</v>
      </c>
      <c r="J264" s="4" t="s">
        <v>100</v>
      </c>
      <c r="K264" s="4" t="s">
        <v>1207</v>
      </c>
      <c r="L264" s="4" t="str">
        <f aca="false">IF(TRIM(LOWER(E264))=TRIM(LOWER(J264)),"Match","Different")</f>
        <v>Different</v>
      </c>
    </row>
    <row r="265" customFormat="false" ht="15" hidden="false" customHeight="false" outlineLevel="0" collapsed="false">
      <c r="A265" s="4" t="s">
        <v>1208</v>
      </c>
      <c r="B265" s="4" t="s">
        <v>1202</v>
      </c>
      <c r="C265" s="4" t="s">
        <v>1209</v>
      </c>
      <c r="D265" s="4" t="s">
        <v>1210</v>
      </c>
      <c r="E265" s="4" t="s">
        <v>89</v>
      </c>
      <c r="F265" s="4" t="s">
        <v>1205</v>
      </c>
      <c r="G265" s="4" t="s">
        <v>56</v>
      </c>
      <c r="H265" s="4" t="s">
        <v>66</v>
      </c>
      <c r="I265" s="4" t="s">
        <v>1206</v>
      </c>
      <c r="J265" s="4" t="s">
        <v>100</v>
      </c>
      <c r="K265" s="4" t="s">
        <v>1207</v>
      </c>
      <c r="L265" s="4" t="str">
        <f aca="false">IF(TRIM(LOWER(E265))=TRIM(LOWER(J265)),"Match","Different")</f>
        <v>Different</v>
      </c>
    </row>
    <row r="266" customFormat="false" ht="15" hidden="false" customHeight="false" outlineLevel="0" collapsed="false">
      <c r="A266" s="4" t="s">
        <v>1211</v>
      </c>
      <c r="B266" s="4" t="s">
        <v>1212</v>
      </c>
      <c r="C266" s="4" t="s">
        <v>1213</v>
      </c>
      <c r="D266" s="4"/>
      <c r="E266" s="4" t="s">
        <v>89</v>
      </c>
      <c r="F266" s="4" t="s">
        <v>1214</v>
      </c>
      <c r="G266" s="4" t="s">
        <v>27</v>
      </c>
      <c r="H266" s="4" t="s">
        <v>28</v>
      </c>
      <c r="I266" s="4" t="s">
        <v>123</v>
      </c>
      <c r="J266" s="4" t="s">
        <v>100</v>
      </c>
      <c r="K266" s="4" t="s">
        <v>1213</v>
      </c>
      <c r="L266" s="4" t="str">
        <f aca="false">IF(TRIM(LOWER(E266))=TRIM(LOWER(J266)),"Match","Different")</f>
        <v>Different</v>
      </c>
    </row>
    <row r="267" customFormat="false" ht="15" hidden="false" customHeight="false" outlineLevel="0" collapsed="false">
      <c r="A267" s="4" t="s">
        <v>1211</v>
      </c>
      <c r="B267" s="4" t="s">
        <v>1212</v>
      </c>
      <c r="C267" s="4"/>
      <c r="D267" s="4"/>
      <c r="E267" s="4" t="s">
        <v>89</v>
      </c>
      <c r="F267" s="4" t="s">
        <v>1214</v>
      </c>
      <c r="G267" s="4" t="s">
        <v>27</v>
      </c>
      <c r="H267" s="4" t="s">
        <v>28</v>
      </c>
      <c r="I267" s="4" t="s">
        <v>123</v>
      </c>
      <c r="J267" s="4" t="s">
        <v>100</v>
      </c>
      <c r="K267" s="4" t="s">
        <v>1213</v>
      </c>
      <c r="L267" s="4" t="str">
        <f aca="false">IF(TRIM(LOWER(E267))=TRIM(LOWER(J267)),"Match","Different")</f>
        <v>Different</v>
      </c>
    </row>
    <row r="268" customFormat="false" ht="15" hidden="false" customHeight="false" outlineLevel="0" collapsed="false">
      <c r="A268" s="4" t="s">
        <v>1215</v>
      </c>
      <c r="B268" s="4" t="s">
        <v>1216</v>
      </c>
      <c r="C268" s="4" t="s">
        <v>1217</v>
      </c>
      <c r="D268" s="4"/>
      <c r="E268" s="4" t="s">
        <v>54</v>
      </c>
      <c r="F268" s="4" t="s">
        <v>1218</v>
      </c>
      <c r="G268" s="4" t="s">
        <v>56</v>
      </c>
      <c r="H268" s="4" t="s">
        <v>39</v>
      </c>
      <c r="I268" s="4" t="s">
        <v>1219</v>
      </c>
      <c r="J268" s="4" t="s">
        <v>32</v>
      </c>
      <c r="K268" s="4" t="s">
        <v>1220</v>
      </c>
      <c r="L268" s="4" t="str">
        <f aca="false">IF(TRIM(LOWER(E268))=TRIM(LOWER(J268)),"Match","Different")</f>
        <v>Different</v>
      </c>
    </row>
    <row r="269" customFormat="false" ht="15" hidden="false" customHeight="false" outlineLevel="0" collapsed="false">
      <c r="A269" s="4" t="s">
        <v>1221</v>
      </c>
      <c r="B269" s="4" t="s">
        <v>1222</v>
      </c>
      <c r="C269" s="4" t="s">
        <v>1223</v>
      </c>
      <c r="D269" s="4" t="s">
        <v>1224</v>
      </c>
      <c r="E269" s="4" t="s">
        <v>89</v>
      </c>
      <c r="F269" s="4" t="s">
        <v>1225</v>
      </c>
      <c r="G269" s="4" t="s">
        <v>38</v>
      </c>
      <c r="H269" s="4" t="s">
        <v>114</v>
      </c>
      <c r="I269" s="4" t="s">
        <v>670</v>
      </c>
      <c r="J269" s="4" t="s">
        <v>112</v>
      </c>
      <c r="K269" s="4" t="s">
        <v>1226</v>
      </c>
      <c r="L269" s="4" t="str">
        <f aca="false">IF(TRIM(LOWER(E269))=TRIM(LOWER(J269)),"Match","Different")</f>
        <v>Different</v>
      </c>
    </row>
    <row r="270" customFormat="false" ht="15" hidden="false" customHeight="false" outlineLevel="0" collapsed="false">
      <c r="A270" s="4" t="s">
        <v>1227</v>
      </c>
      <c r="B270" s="4" t="s">
        <v>1228</v>
      </c>
      <c r="C270" s="4" t="s">
        <v>1229</v>
      </c>
      <c r="D270" s="4" t="s">
        <v>1230</v>
      </c>
      <c r="E270" s="4" t="s">
        <v>25</v>
      </c>
      <c r="F270" s="4" t="s">
        <v>1231</v>
      </c>
      <c r="G270" s="4" t="s">
        <v>359</v>
      </c>
      <c r="H270" s="4" t="s">
        <v>39</v>
      </c>
      <c r="I270" s="4" t="s">
        <v>636</v>
      </c>
      <c r="J270" s="4" t="s">
        <v>30</v>
      </c>
      <c r="K270" s="4" t="s">
        <v>1229</v>
      </c>
      <c r="L270" s="4" t="str">
        <f aca="false">IF(TRIM(LOWER(E270))=TRIM(LOWER(J270)),"Match","Different")</f>
        <v>Different</v>
      </c>
    </row>
    <row r="271" customFormat="false" ht="15" hidden="false" customHeight="false" outlineLevel="0" collapsed="false">
      <c r="A271" s="4" t="s">
        <v>1232</v>
      </c>
      <c r="B271" s="4" t="s">
        <v>1233</v>
      </c>
      <c r="C271" s="4"/>
      <c r="D271" s="4"/>
      <c r="E271" s="4" t="s">
        <v>32</v>
      </c>
      <c r="F271" s="4" t="s">
        <v>1234</v>
      </c>
      <c r="G271" s="4" t="s">
        <v>207</v>
      </c>
      <c r="H271" s="4" t="s">
        <v>39</v>
      </c>
      <c r="I271" s="4" t="s">
        <v>40</v>
      </c>
      <c r="J271" s="4" t="s">
        <v>100</v>
      </c>
      <c r="K271" s="4" t="s">
        <v>1235</v>
      </c>
      <c r="L271" s="4" t="str">
        <f aca="false">IF(TRIM(LOWER(E271))=TRIM(LOWER(J271)),"Match","Different")</f>
        <v>Different</v>
      </c>
    </row>
    <row r="272" customFormat="false" ht="15" hidden="false" customHeight="false" outlineLevel="0" collapsed="false">
      <c r="A272" s="4" t="s">
        <v>1236</v>
      </c>
      <c r="B272" s="4" t="s">
        <v>1237</v>
      </c>
      <c r="C272" s="4" t="s">
        <v>1238</v>
      </c>
      <c r="D272" s="4"/>
      <c r="E272" s="4" t="s">
        <v>25</v>
      </c>
      <c r="F272" s="4" t="s">
        <v>1239</v>
      </c>
      <c r="G272" s="4" t="s">
        <v>207</v>
      </c>
      <c r="H272" s="4" t="s">
        <v>39</v>
      </c>
      <c r="I272" s="4" t="s">
        <v>208</v>
      </c>
      <c r="J272" s="4" t="s">
        <v>50</v>
      </c>
      <c r="K272" s="4" t="s">
        <v>1238</v>
      </c>
      <c r="L272" s="4" t="str">
        <f aca="false">IF(TRIM(LOWER(E272))=TRIM(LOWER(J272)),"Match","Different")</f>
        <v>Different</v>
      </c>
    </row>
    <row r="273" customFormat="false" ht="15" hidden="false" customHeight="false" outlineLevel="0" collapsed="false">
      <c r="A273" s="4" t="s">
        <v>1240</v>
      </c>
      <c r="B273" s="4" t="s">
        <v>1237</v>
      </c>
      <c r="C273" s="4" t="s">
        <v>1241</v>
      </c>
      <c r="D273" s="4" t="s">
        <v>1242</v>
      </c>
      <c r="E273" s="4" t="s">
        <v>25</v>
      </c>
      <c r="F273" s="4" t="s">
        <v>1239</v>
      </c>
      <c r="G273" s="4" t="s">
        <v>207</v>
      </c>
      <c r="H273" s="4" t="s">
        <v>39</v>
      </c>
      <c r="I273" s="4" t="s">
        <v>208</v>
      </c>
      <c r="J273" s="4" t="s">
        <v>50</v>
      </c>
      <c r="K273" s="4" t="s">
        <v>1238</v>
      </c>
      <c r="L273" s="4" t="str">
        <f aca="false">IF(TRIM(LOWER(E273))=TRIM(LOWER(J273)),"Match","Different")</f>
        <v>Different</v>
      </c>
    </row>
    <row r="274" customFormat="false" ht="15" hidden="false" customHeight="false" outlineLevel="0" collapsed="false">
      <c r="A274" s="4" t="s">
        <v>1243</v>
      </c>
      <c r="B274" s="4" t="s">
        <v>1244</v>
      </c>
      <c r="C274" s="4" t="s">
        <v>1245</v>
      </c>
      <c r="D274" s="4" t="s">
        <v>1246</v>
      </c>
      <c r="E274" s="4" t="s">
        <v>25</v>
      </c>
      <c r="F274" s="4" t="s">
        <v>1247</v>
      </c>
      <c r="G274" s="4" t="s">
        <v>82</v>
      </c>
      <c r="H274" s="4" t="s">
        <v>66</v>
      </c>
      <c r="I274" s="4" t="s">
        <v>954</v>
      </c>
      <c r="J274" s="4" t="s">
        <v>392</v>
      </c>
      <c r="K274" s="4" t="s">
        <v>1248</v>
      </c>
      <c r="L274" s="4" t="str">
        <f aca="false">IF(TRIM(LOWER(E274))=TRIM(LOWER(J274)),"Match","Different")</f>
        <v>Different</v>
      </c>
    </row>
    <row r="275" customFormat="false" ht="15" hidden="false" customHeight="false" outlineLevel="0" collapsed="false">
      <c r="A275" s="4" t="s">
        <v>1249</v>
      </c>
      <c r="B275" s="4" t="s">
        <v>1244</v>
      </c>
      <c r="C275" s="4" t="s">
        <v>1250</v>
      </c>
      <c r="D275" s="4" t="s">
        <v>1251</v>
      </c>
      <c r="E275" s="4" t="s">
        <v>25</v>
      </c>
      <c r="F275" s="4" t="s">
        <v>1247</v>
      </c>
      <c r="G275" s="4" t="s">
        <v>82</v>
      </c>
      <c r="H275" s="4" t="s">
        <v>66</v>
      </c>
      <c r="I275" s="4" t="s">
        <v>954</v>
      </c>
      <c r="J275" s="4" t="s">
        <v>392</v>
      </c>
      <c r="K275" s="4" t="s">
        <v>1248</v>
      </c>
      <c r="L275" s="4" t="str">
        <f aca="false">IF(TRIM(LOWER(E275))=TRIM(LOWER(J275)),"Match","Different")</f>
        <v>Different</v>
      </c>
    </row>
    <row r="276" customFormat="false" ht="15" hidden="false" customHeight="false" outlineLevel="0" collapsed="false">
      <c r="A276" s="4" t="s">
        <v>1252</v>
      </c>
      <c r="B276" s="4" t="s">
        <v>1253</v>
      </c>
      <c r="C276" s="4" t="s">
        <v>1254</v>
      </c>
      <c r="D276" s="4" t="s">
        <v>1255</v>
      </c>
      <c r="E276" s="4" t="s">
        <v>64</v>
      </c>
      <c r="F276" s="4" t="s">
        <v>1256</v>
      </c>
      <c r="G276" s="4" t="s">
        <v>98</v>
      </c>
      <c r="H276" s="4" t="s">
        <v>39</v>
      </c>
      <c r="I276" s="4" t="s">
        <v>1257</v>
      </c>
      <c r="J276" s="4" t="s">
        <v>64</v>
      </c>
      <c r="K276" s="4" t="s">
        <v>1258</v>
      </c>
      <c r="L276" s="4" t="str">
        <f aca="false">IF(TRIM(LOWER(E276))=TRIM(LOWER(J276)),"Match","Different")</f>
        <v>Match</v>
      </c>
    </row>
    <row r="277" customFormat="false" ht="15" hidden="false" customHeight="false" outlineLevel="0" collapsed="false">
      <c r="A277" s="4" t="s">
        <v>1259</v>
      </c>
      <c r="B277" s="4" t="s">
        <v>1260</v>
      </c>
      <c r="C277" s="4" t="s">
        <v>1261</v>
      </c>
      <c r="D277" s="4"/>
      <c r="E277" s="4" t="s">
        <v>50</v>
      </c>
      <c r="F277" s="4" t="s">
        <v>1262</v>
      </c>
      <c r="G277" s="4" t="s">
        <v>122</v>
      </c>
      <c r="H277" s="4" t="s">
        <v>39</v>
      </c>
      <c r="I277" s="4" t="s">
        <v>57</v>
      </c>
      <c r="J277" s="4" t="s">
        <v>30</v>
      </c>
      <c r="K277" s="4" t="s">
        <v>1261</v>
      </c>
      <c r="L277" s="4" t="str">
        <f aca="false">IF(TRIM(LOWER(E277))=TRIM(LOWER(J277)),"Match","Different")</f>
        <v>Different</v>
      </c>
    </row>
    <row r="278" customFormat="false" ht="15" hidden="false" customHeight="false" outlineLevel="0" collapsed="false">
      <c r="A278" s="4" t="s">
        <v>1263</v>
      </c>
      <c r="B278" s="4" t="s">
        <v>1264</v>
      </c>
      <c r="C278" s="4" t="s">
        <v>1265</v>
      </c>
      <c r="D278" s="4" t="s">
        <v>1266</v>
      </c>
      <c r="E278" s="4" t="s">
        <v>89</v>
      </c>
      <c r="F278" s="4" t="s">
        <v>1267</v>
      </c>
      <c r="G278" s="4" t="s">
        <v>519</v>
      </c>
      <c r="H278" s="4" t="s">
        <v>1268</v>
      </c>
      <c r="I278" s="4" t="s">
        <v>1269</v>
      </c>
      <c r="J278" s="4" t="s">
        <v>92</v>
      </c>
      <c r="K278" s="4" t="s">
        <v>1270</v>
      </c>
      <c r="L278" s="4" t="str">
        <f aca="false">IF(TRIM(LOWER(E278))=TRIM(LOWER(J278)),"Match","Different")</f>
        <v>Different</v>
      </c>
    </row>
    <row r="279" customFormat="false" ht="15" hidden="false" customHeight="false" outlineLevel="0" collapsed="false">
      <c r="A279" s="4" t="s">
        <v>1271</v>
      </c>
      <c r="B279" s="4" t="s">
        <v>1272</v>
      </c>
      <c r="C279" s="4" t="s">
        <v>1273</v>
      </c>
      <c r="D279" s="4"/>
      <c r="E279" s="4" t="s">
        <v>50</v>
      </c>
      <c r="F279" s="4" t="s">
        <v>1274</v>
      </c>
      <c r="G279" s="4" t="s">
        <v>27</v>
      </c>
      <c r="H279" s="4" t="s">
        <v>28</v>
      </c>
      <c r="I279" s="4" t="s">
        <v>123</v>
      </c>
      <c r="J279" s="4" t="s">
        <v>100</v>
      </c>
      <c r="K279" s="4" t="s">
        <v>1273</v>
      </c>
      <c r="L279" s="4" t="str">
        <f aca="false">IF(TRIM(LOWER(E279))=TRIM(LOWER(J279)),"Match","Different")</f>
        <v>Different</v>
      </c>
    </row>
    <row r="280" customFormat="false" ht="15" hidden="false" customHeight="false" outlineLevel="0" collapsed="false">
      <c r="A280" s="4" t="s">
        <v>1275</v>
      </c>
      <c r="B280" s="4" t="s">
        <v>1276</v>
      </c>
      <c r="C280" s="4"/>
      <c r="D280" s="4" t="s">
        <v>1277</v>
      </c>
      <c r="E280" s="4" t="s">
        <v>54</v>
      </c>
      <c r="F280" s="4" t="s">
        <v>1278</v>
      </c>
      <c r="G280" s="4" t="s">
        <v>359</v>
      </c>
      <c r="H280" s="4" t="s">
        <v>39</v>
      </c>
      <c r="I280" s="4" t="s">
        <v>40</v>
      </c>
      <c r="J280" s="4" t="s">
        <v>32</v>
      </c>
      <c r="K280" s="4"/>
      <c r="L280" s="4" t="str">
        <f aca="false">IF(TRIM(LOWER(E280))=TRIM(LOWER(J280)),"Match","Different")</f>
        <v>Different</v>
      </c>
    </row>
    <row r="281" customFormat="false" ht="15" hidden="false" customHeight="false" outlineLevel="0" collapsed="false">
      <c r="A281" s="4" t="s">
        <v>1279</v>
      </c>
      <c r="B281" s="4" t="s">
        <v>1280</v>
      </c>
      <c r="C281" s="4" t="s">
        <v>1281</v>
      </c>
      <c r="D281" s="4" t="s">
        <v>1282</v>
      </c>
      <c r="E281" s="4" t="s">
        <v>64</v>
      </c>
      <c r="F281" s="4" t="s">
        <v>1283</v>
      </c>
      <c r="G281" s="4" t="s">
        <v>56</v>
      </c>
      <c r="H281" s="4" t="s">
        <v>39</v>
      </c>
      <c r="I281" s="4" t="s">
        <v>208</v>
      </c>
      <c r="J281" s="4" t="s">
        <v>64</v>
      </c>
      <c r="K281" s="4" t="s">
        <v>1284</v>
      </c>
      <c r="L281" s="4" t="str">
        <f aca="false">IF(TRIM(LOWER(E281))=TRIM(LOWER(J281)),"Match","Different")</f>
        <v>Match</v>
      </c>
    </row>
    <row r="282" customFormat="false" ht="15" hidden="false" customHeight="false" outlineLevel="0" collapsed="false">
      <c r="A282" s="4" t="s">
        <v>1285</v>
      </c>
      <c r="B282" s="4" t="s">
        <v>1286</v>
      </c>
      <c r="C282" s="4" t="s">
        <v>1287</v>
      </c>
      <c r="D282" s="4" t="s">
        <v>1288</v>
      </c>
      <c r="E282" s="4" t="s">
        <v>50</v>
      </c>
      <c r="F282" s="4" t="s">
        <v>1289</v>
      </c>
      <c r="G282" s="4" t="s">
        <v>136</v>
      </c>
      <c r="H282" s="4" t="s">
        <v>39</v>
      </c>
      <c r="I282" s="4" t="s">
        <v>208</v>
      </c>
      <c r="J282" s="4" t="s">
        <v>100</v>
      </c>
      <c r="K282" s="4" t="s">
        <v>1290</v>
      </c>
      <c r="L282" s="4" t="str">
        <f aca="false">IF(TRIM(LOWER(E282))=TRIM(LOWER(J282)),"Match","Different")</f>
        <v>Different</v>
      </c>
    </row>
    <row r="283" customFormat="false" ht="15" hidden="false" customHeight="false" outlineLevel="0" collapsed="false">
      <c r="A283" s="4" t="s">
        <v>1291</v>
      </c>
      <c r="B283" s="4" t="s">
        <v>1292</v>
      </c>
      <c r="C283" s="4" t="s">
        <v>1293</v>
      </c>
      <c r="D283" s="4"/>
      <c r="E283" s="4" t="s">
        <v>50</v>
      </c>
      <c r="F283" s="4" t="s">
        <v>1294</v>
      </c>
      <c r="G283" s="4" t="s">
        <v>128</v>
      </c>
      <c r="H283" s="4" t="s">
        <v>1268</v>
      </c>
      <c r="I283" s="4" t="s">
        <v>1295</v>
      </c>
      <c r="J283" s="4" t="s">
        <v>112</v>
      </c>
      <c r="K283" s="4" t="s">
        <v>1293</v>
      </c>
      <c r="L283" s="4" t="str">
        <f aca="false">IF(TRIM(LOWER(E283))=TRIM(LOWER(J283)),"Match","Different")</f>
        <v>Different</v>
      </c>
    </row>
    <row r="284" customFormat="false" ht="15" hidden="false" customHeight="false" outlineLevel="0" collapsed="false">
      <c r="A284" s="4" t="s">
        <v>1296</v>
      </c>
      <c r="B284" s="4" t="s">
        <v>1297</v>
      </c>
      <c r="C284" s="4" t="s">
        <v>1298</v>
      </c>
      <c r="D284" s="4"/>
      <c r="E284" s="4" t="s">
        <v>54</v>
      </c>
      <c r="F284" s="4" t="s">
        <v>1299</v>
      </c>
      <c r="G284" s="4" t="s">
        <v>27</v>
      </c>
      <c r="H284" s="4" t="s">
        <v>66</v>
      </c>
      <c r="I284" s="4" t="s">
        <v>91</v>
      </c>
      <c r="J284" s="4" t="s">
        <v>92</v>
      </c>
      <c r="K284" s="4" t="s">
        <v>1300</v>
      </c>
      <c r="L284" s="4" t="str">
        <f aca="false">IF(TRIM(LOWER(E284))=TRIM(LOWER(J284)),"Match","Different")</f>
        <v>Different</v>
      </c>
    </row>
    <row r="285" customFormat="false" ht="15" hidden="false" customHeight="false" outlineLevel="0" collapsed="false">
      <c r="A285" s="4" t="s">
        <v>1301</v>
      </c>
      <c r="B285" s="4" t="s">
        <v>1302</v>
      </c>
      <c r="C285" s="4" t="s">
        <v>1303</v>
      </c>
      <c r="D285" s="4" t="s">
        <v>1304</v>
      </c>
      <c r="E285" s="4" t="s">
        <v>64</v>
      </c>
      <c r="F285" s="4" t="s">
        <v>1305</v>
      </c>
      <c r="G285" s="4" t="s">
        <v>1306</v>
      </c>
      <c r="H285" s="4" t="s">
        <v>66</v>
      </c>
      <c r="I285" s="4" t="s">
        <v>536</v>
      </c>
      <c r="J285" s="4" t="s">
        <v>1307</v>
      </c>
      <c r="K285" s="4" t="s">
        <v>1303</v>
      </c>
      <c r="L285" s="4" t="str">
        <f aca="false">IF(TRIM(LOWER(E285))=TRIM(LOWER(J285)),"Match","Different")</f>
        <v>Different</v>
      </c>
    </row>
    <row r="286" customFormat="false" ht="15" hidden="false" customHeight="false" outlineLevel="0" collapsed="false">
      <c r="A286" s="4" t="s">
        <v>1308</v>
      </c>
      <c r="B286" s="4" t="s">
        <v>1309</v>
      </c>
      <c r="C286" s="4" t="s">
        <v>1310</v>
      </c>
      <c r="D286" s="4" t="s">
        <v>1311</v>
      </c>
      <c r="E286" s="4" t="s">
        <v>89</v>
      </c>
      <c r="F286" s="4" t="s">
        <v>1312</v>
      </c>
      <c r="G286" s="4" t="s">
        <v>82</v>
      </c>
      <c r="H286" s="4" t="s">
        <v>66</v>
      </c>
      <c r="I286" s="4" t="s">
        <v>309</v>
      </c>
      <c r="J286" s="4" t="s">
        <v>92</v>
      </c>
      <c r="K286" s="4" t="s">
        <v>1313</v>
      </c>
      <c r="L286" s="4" t="str">
        <f aca="false">IF(TRIM(LOWER(E286))=TRIM(LOWER(J286)),"Match","Different")</f>
        <v>Different</v>
      </c>
    </row>
    <row r="287" customFormat="false" ht="15" hidden="false" customHeight="false" outlineLevel="0" collapsed="false">
      <c r="A287" s="4" t="s">
        <v>1314</v>
      </c>
      <c r="B287" s="4" t="s">
        <v>1315</v>
      </c>
      <c r="C287" s="4" t="s">
        <v>1316</v>
      </c>
      <c r="D287" s="4" t="s">
        <v>1317</v>
      </c>
      <c r="E287" s="4" t="s">
        <v>104</v>
      </c>
      <c r="F287" s="4" t="s">
        <v>1318</v>
      </c>
      <c r="G287" s="4" t="s">
        <v>1319</v>
      </c>
      <c r="H287" s="4" t="s">
        <v>66</v>
      </c>
      <c r="I287" s="4" t="s">
        <v>297</v>
      </c>
      <c r="J287" s="4" t="s">
        <v>104</v>
      </c>
      <c r="K287" s="4" t="s">
        <v>1320</v>
      </c>
      <c r="L287" s="4" t="str">
        <f aca="false">IF(TRIM(LOWER(E287))=TRIM(LOWER(J287)),"Match","Different")</f>
        <v>Match</v>
      </c>
    </row>
    <row r="288" customFormat="false" ht="15" hidden="false" customHeight="false" outlineLevel="0" collapsed="false">
      <c r="A288" s="4" t="s">
        <v>1321</v>
      </c>
      <c r="B288" s="4" t="s">
        <v>1322</v>
      </c>
      <c r="C288" s="4"/>
      <c r="D288" s="4"/>
      <c r="E288" s="4" t="s">
        <v>32</v>
      </c>
      <c r="F288" s="4" t="s">
        <v>1323</v>
      </c>
      <c r="G288" s="4" t="s">
        <v>1324</v>
      </c>
      <c r="H288" s="4" t="s">
        <v>66</v>
      </c>
      <c r="I288" s="4" t="s">
        <v>536</v>
      </c>
      <c r="J288" s="4" t="s">
        <v>32</v>
      </c>
      <c r="K288" s="4" t="s">
        <v>1325</v>
      </c>
      <c r="L288" s="4" t="str">
        <f aca="false">IF(TRIM(LOWER(E288))=TRIM(LOWER(J288)),"Match","Different")</f>
        <v>Match</v>
      </c>
    </row>
    <row r="289" customFormat="false" ht="15" hidden="false" customHeight="false" outlineLevel="0" collapsed="false">
      <c r="A289" s="4" t="s">
        <v>1201</v>
      </c>
      <c r="B289" s="4" t="s">
        <v>1322</v>
      </c>
      <c r="C289" s="4"/>
      <c r="D289" s="4" t="s">
        <v>1326</v>
      </c>
      <c r="E289" s="4" t="s">
        <v>32</v>
      </c>
      <c r="F289" s="4" t="s">
        <v>1323</v>
      </c>
      <c r="G289" s="4" t="s">
        <v>1324</v>
      </c>
      <c r="H289" s="4" t="s">
        <v>66</v>
      </c>
      <c r="I289" s="4" t="s">
        <v>536</v>
      </c>
      <c r="J289" s="4" t="s">
        <v>32</v>
      </c>
      <c r="K289" s="4" t="s">
        <v>1325</v>
      </c>
      <c r="L289" s="4" t="str">
        <f aca="false">IF(TRIM(LOWER(E289))=TRIM(LOWER(J289)),"Match","Different")</f>
        <v>Match</v>
      </c>
    </row>
    <row r="290" customFormat="false" ht="15" hidden="false" customHeight="false" outlineLevel="0" collapsed="false">
      <c r="A290" s="4" t="s">
        <v>1327</v>
      </c>
      <c r="B290" s="4" t="s">
        <v>1322</v>
      </c>
      <c r="C290" s="4" t="s">
        <v>1325</v>
      </c>
      <c r="D290" s="4" t="s">
        <v>1328</v>
      </c>
      <c r="E290" s="4" t="s">
        <v>25</v>
      </c>
      <c r="F290" s="4" t="s">
        <v>1323</v>
      </c>
      <c r="G290" s="4" t="s">
        <v>1324</v>
      </c>
      <c r="H290" s="4" t="s">
        <v>66</v>
      </c>
      <c r="I290" s="4" t="s">
        <v>536</v>
      </c>
      <c r="J290" s="4" t="s">
        <v>32</v>
      </c>
      <c r="K290" s="4" t="s">
        <v>1325</v>
      </c>
      <c r="L290" s="4" t="str">
        <f aca="false">IF(TRIM(LOWER(E290))=TRIM(LOWER(J290)),"Match","Different")</f>
        <v>Different</v>
      </c>
    </row>
    <row r="291" customFormat="false" ht="15" hidden="false" customHeight="false" outlineLevel="0" collapsed="false">
      <c r="A291" s="4" t="s">
        <v>1329</v>
      </c>
      <c r="B291" s="4" t="s">
        <v>1330</v>
      </c>
      <c r="C291" s="4" t="s">
        <v>1331</v>
      </c>
      <c r="D291" s="4"/>
      <c r="E291" s="4" t="s">
        <v>104</v>
      </c>
      <c r="F291" s="4" t="s">
        <v>1332</v>
      </c>
      <c r="G291" s="4" t="s">
        <v>38</v>
      </c>
      <c r="H291" s="4" t="s">
        <v>39</v>
      </c>
      <c r="I291" s="4" t="s">
        <v>99</v>
      </c>
      <c r="J291" s="4" t="s">
        <v>104</v>
      </c>
      <c r="K291" s="4" t="s">
        <v>1331</v>
      </c>
      <c r="L291" s="4" t="str">
        <f aca="false">IF(TRIM(LOWER(E291))=TRIM(LOWER(J291)),"Match","Different")</f>
        <v>Match</v>
      </c>
    </row>
    <row r="292" customFormat="false" ht="15" hidden="false" customHeight="false" outlineLevel="0" collapsed="false">
      <c r="A292" s="4" t="s">
        <v>1333</v>
      </c>
      <c r="B292" s="4" t="s">
        <v>1334</v>
      </c>
      <c r="C292" s="4"/>
      <c r="D292" s="4"/>
      <c r="E292" s="4" t="s">
        <v>32</v>
      </c>
      <c r="F292" s="4" t="s">
        <v>1335</v>
      </c>
      <c r="G292" s="4" t="s">
        <v>359</v>
      </c>
      <c r="H292" s="4" t="s">
        <v>39</v>
      </c>
      <c r="I292" s="4" t="s">
        <v>99</v>
      </c>
      <c r="J292" s="4" t="s">
        <v>32</v>
      </c>
      <c r="K292" s="4" t="s">
        <v>1336</v>
      </c>
      <c r="L292" s="4" t="str">
        <f aca="false">IF(TRIM(LOWER(E292))=TRIM(LOWER(J292)),"Match","Different")</f>
        <v>Match</v>
      </c>
    </row>
    <row r="293" customFormat="false" ht="15" hidden="false" customHeight="false" outlineLevel="0" collapsed="false">
      <c r="A293" s="4" t="s">
        <v>1337</v>
      </c>
      <c r="B293" s="4" t="s">
        <v>1334</v>
      </c>
      <c r="C293" s="4" t="s">
        <v>1336</v>
      </c>
      <c r="D293" s="4" t="s">
        <v>1338</v>
      </c>
      <c r="E293" s="4" t="s">
        <v>50</v>
      </c>
      <c r="F293" s="4" t="s">
        <v>1335</v>
      </c>
      <c r="G293" s="4" t="s">
        <v>359</v>
      </c>
      <c r="H293" s="4" t="s">
        <v>39</v>
      </c>
      <c r="I293" s="4" t="s">
        <v>99</v>
      </c>
      <c r="J293" s="4" t="s">
        <v>32</v>
      </c>
      <c r="K293" s="4" t="s">
        <v>1336</v>
      </c>
      <c r="L293" s="4" t="str">
        <f aca="false">IF(TRIM(LOWER(E293))=TRIM(LOWER(J293)),"Match","Different")</f>
        <v>Different</v>
      </c>
    </row>
    <row r="294" customFormat="false" ht="15" hidden="false" customHeight="false" outlineLevel="0" collapsed="false">
      <c r="A294" s="4" t="s">
        <v>1339</v>
      </c>
      <c r="B294" s="4" t="s">
        <v>1334</v>
      </c>
      <c r="C294" s="4" t="s">
        <v>1340</v>
      </c>
      <c r="D294" s="4" t="s">
        <v>1341</v>
      </c>
      <c r="E294" s="4" t="s">
        <v>50</v>
      </c>
      <c r="F294" s="4" t="s">
        <v>1335</v>
      </c>
      <c r="G294" s="4" t="s">
        <v>359</v>
      </c>
      <c r="H294" s="4" t="s">
        <v>39</v>
      </c>
      <c r="I294" s="4" t="s">
        <v>99</v>
      </c>
      <c r="J294" s="4" t="s">
        <v>32</v>
      </c>
      <c r="K294" s="4" t="s">
        <v>1336</v>
      </c>
      <c r="L294" s="4" t="str">
        <f aca="false">IF(TRIM(LOWER(E294))=TRIM(LOWER(J294)),"Match","Different")</f>
        <v>Different</v>
      </c>
    </row>
    <row r="295" customFormat="false" ht="15" hidden="false" customHeight="false" outlineLevel="0" collapsed="false">
      <c r="A295" s="4" t="s">
        <v>1342</v>
      </c>
      <c r="B295" s="4" t="s">
        <v>1343</v>
      </c>
      <c r="C295" s="4" t="s">
        <v>1344</v>
      </c>
      <c r="D295" s="4" t="s">
        <v>1345</v>
      </c>
      <c r="E295" s="4" t="s">
        <v>89</v>
      </c>
      <c r="F295" s="4" t="s">
        <v>1346</v>
      </c>
      <c r="G295" s="4" t="s">
        <v>27</v>
      </c>
      <c r="H295" s="4" t="s">
        <v>66</v>
      </c>
      <c r="I295" s="4" t="s">
        <v>536</v>
      </c>
      <c r="J295" s="4" t="s">
        <v>100</v>
      </c>
      <c r="K295" s="4" t="s">
        <v>1347</v>
      </c>
      <c r="L295" s="4" t="str">
        <f aca="false">IF(TRIM(LOWER(E295))=TRIM(LOWER(J295)),"Match","Different")</f>
        <v>Different</v>
      </c>
    </row>
    <row r="296" customFormat="false" ht="15" hidden="false" customHeight="false" outlineLevel="0" collapsed="false">
      <c r="A296" s="4" t="s">
        <v>1348</v>
      </c>
      <c r="B296" s="4" t="s">
        <v>1349</v>
      </c>
      <c r="C296" s="4" t="s">
        <v>1350</v>
      </c>
      <c r="D296" s="4" t="s">
        <v>1351</v>
      </c>
      <c r="E296" s="4" t="s">
        <v>50</v>
      </c>
      <c r="F296" s="4" t="s">
        <v>1352</v>
      </c>
      <c r="G296" s="4" t="s">
        <v>136</v>
      </c>
      <c r="H296" s="4" t="s">
        <v>66</v>
      </c>
      <c r="I296" s="4" t="s">
        <v>297</v>
      </c>
      <c r="J296" s="4" t="s">
        <v>30</v>
      </c>
      <c r="K296" s="4" t="s">
        <v>1350</v>
      </c>
      <c r="L296" s="4" t="str">
        <f aca="false">IF(TRIM(LOWER(E296))=TRIM(LOWER(J296)),"Match","Different")</f>
        <v>Different</v>
      </c>
    </row>
    <row r="297" customFormat="false" ht="15" hidden="false" customHeight="false" outlineLevel="0" collapsed="false">
      <c r="A297" s="4" t="s">
        <v>1353</v>
      </c>
      <c r="B297" s="4" t="s">
        <v>1349</v>
      </c>
      <c r="C297" s="4" t="s">
        <v>1354</v>
      </c>
      <c r="D297" s="4"/>
      <c r="E297" s="4" t="s">
        <v>50</v>
      </c>
      <c r="F297" s="4" t="s">
        <v>1352</v>
      </c>
      <c r="G297" s="4" t="s">
        <v>136</v>
      </c>
      <c r="H297" s="4" t="s">
        <v>66</v>
      </c>
      <c r="I297" s="4" t="s">
        <v>297</v>
      </c>
      <c r="J297" s="4" t="s">
        <v>30</v>
      </c>
      <c r="K297" s="4" t="s">
        <v>1350</v>
      </c>
      <c r="L297" s="4" t="str">
        <f aca="false">IF(TRIM(LOWER(E297))=TRIM(LOWER(J297)),"Match","Different")</f>
        <v>Different</v>
      </c>
    </row>
    <row r="298" customFormat="false" ht="15" hidden="false" customHeight="false" outlineLevel="0" collapsed="false">
      <c r="A298" s="4" t="s">
        <v>1355</v>
      </c>
      <c r="B298" s="4" t="s">
        <v>1356</v>
      </c>
      <c r="C298" s="4" t="s">
        <v>1357</v>
      </c>
      <c r="D298" s="4" t="s">
        <v>1358</v>
      </c>
      <c r="E298" s="4" t="s">
        <v>64</v>
      </c>
      <c r="F298" s="4" t="s">
        <v>1359</v>
      </c>
      <c r="G298" s="4" t="s">
        <v>128</v>
      </c>
      <c r="H298" s="4" t="s">
        <v>39</v>
      </c>
      <c r="I298" s="4" t="s">
        <v>636</v>
      </c>
      <c r="J298" s="4" t="s">
        <v>64</v>
      </c>
      <c r="K298" s="4" t="s">
        <v>1357</v>
      </c>
      <c r="L298" s="4" t="str">
        <f aca="false">IF(TRIM(LOWER(E298))=TRIM(LOWER(J298)),"Match","Different")</f>
        <v>Match</v>
      </c>
    </row>
    <row r="299" customFormat="false" ht="15" hidden="false" customHeight="false" outlineLevel="0" collapsed="false">
      <c r="A299" s="4" t="s">
        <v>1360</v>
      </c>
      <c r="B299" s="4" t="s">
        <v>1361</v>
      </c>
      <c r="C299" s="4" t="s">
        <v>1362</v>
      </c>
      <c r="D299" s="4" t="s">
        <v>1363</v>
      </c>
      <c r="E299" s="4" t="s">
        <v>50</v>
      </c>
      <c r="F299" s="4" t="s">
        <v>1364</v>
      </c>
      <c r="G299" s="4" t="s">
        <v>47</v>
      </c>
      <c r="H299" s="4" t="s">
        <v>39</v>
      </c>
      <c r="I299" s="4" t="s">
        <v>1365</v>
      </c>
      <c r="J299" s="4" t="s">
        <v>50</v>
      </c>
      <c r="K299" s="4" t="s">
        <v>1366</v>
      </c>
      <c r="L299" s="4" t="str">
        <f aca="false">IF(TRIM(LOWER(E299))=TRIM(LOWER(J299)),"Match","Different")</f>
        <v>Match</v>
      </c>
    </row>
    <row r="300" customFormat="false" ht="15" hidden="false" customHeight="false" outlineLevel="0" collapsed="false">
      <c r="A300" s="4" t="s">
        <v>1367</v>
      </c>
      <c r="B300" s="4" t="s">
        <v>1368</v>
      </c>
      <c r="C300" s="4" t="s">
        <v>1369</v>
      </c>
      <c r="D300" s="4" t="s">
        <v>1370</v>
      </c>
      <c r="E300" s="4" t="s">
        <v>50</v>
      </c>
      <c r="F300" s="4" t="s">
        <v>1371</v>
      </c>
      <c r="G300" s="4" t="s">
        <v>136</v>
      </c>
      <c r="H300" s="4" t="s">
        <v>66</v>
      </c>
      <c r="I300" s="4" t="s">
        <v>954</v>
      </c>
      <c r="J300" s="4" t="s">
        <v>32</v>
      </c>
      <c r="K300" s="4" t="s">
        <v>1372</v>
      </c>
      <c r="L300" s="4" t="str">
        <f aca="false">IF(TRIM(LOWER(E300))=TRIM(LOWER(J300)),"Match","Different")</f>
        <v>Different</v>
      </c>
    </row>
    <row r="301" customFormat="false" ht="15" hidden="false" customHeight="false" outlineLevel="0" collapsed="false">
      <c r="A301" s="4" t="s">
        <v>1373</v>
      </c>
      <c r="B301" s="4" t="s">
        <v>1374</v>
      </c>
      <c r="C301" s="4" t="s">
        <v>1375</v>
      </c>
      <c r="D301" s="4"/>
      <c r="E301" s="4" t="s">
        <v>32</v>
      </c>
      <c r="F301" s="4" t="s">
        <v>1376</v>
      </c>
      <c r="G301" s="4" t="s">
        <v>47</v>
      </c>
      <c r="H301" s="4" t="s">
        <v>66</v>
      </c>
      <c r="I301" s="4" t="s">
        <v>536</v>
      </c>
      <c r="J301" s="4" t="s">
        <v>32</v>
      </c>
      <c r="K301" s="4" t="s">
        <v>1375</v>
      </c>
      <c r="L301" s="4" t="str">
        <f aca="false">IF(TRIM(LOWER(E301))=TRIM(LOWER(J301)),"Match","Different")</f>
        <v>Match</v>
      </c>
    </row>
    <row r="302" customFormat="false" ht="15" hidden="false" customHeight="false" outlineLevel="0" collapsed="false">
      <c r="A302" s="4" t="s">
        <v>1377</v>
      </c>
      <c r="B302" s="4" t="s">
        <v>1374</v>
      </c>
      <c r="C302" s="4" t="s">
        <v>1378</v>
      </c>
      <c r="D302" s="4" t="s">
        <v>1379</v>
      </c>
      <c r="E302" s="4" t="s">
        <v>32</v>
      </c>
      <c r="F302" s="4" t="s">
        <v>1376</v>
      </c>
      <c r="G302" s="4" t="s">
        <v>47</v>
      </c>
      <c r="H302" s="4" t="s">
        <v>66</v>
      </c>
      <c r="I302" s="4" t="s">
        <v>536</v>
      </c>
      <c r="J302" s="4" t="s">
        <v>32</v>
      </c>
      <c r="K302" s="4" t="s">
        <v>1375</v>
      </c>
      <c r="L302" s="4" t="str">
        <f aca="false">IF(TRIM(LOWER(E302))=TRIM(LOWER(J302)),"Match","Different")</f>
        <v>Match</v>
      </c>
    </row>
    <row r="303" customFormat="false" ht="15" hidden="false" customHeight="false" outlineLevel="0" collapsed="false">
      <c r="A303" s="4" t="s">
        <v>1380</v>
      </c>
      <c r="B303" s="4" t="s">
        <v>1381</v>
      </c>
      <c r="C303" s="4" t="s">
        <v>1382</v>
      </c>
      <c r="D303" s="4" t="s">
        <v>1383</v>
      </c>
      <c r="E303" s="4" t="s">
        <v>50</v>
      </c>
      <c r="F303" s="4" t="s">
        <v>1384</v>
      </c>
      <c r="G303" s="4" t="s">
        <v>27</v>
      </c>
      <c r="H303" s="4" t="s">
        <v>39</v>
      </c>
      <c r="I303" s="4" t="s">
        <v>1188</v>
      </c>
      <c r="J303" s="4" t="s">
        <v>100</v>
      </c>
      <c r="K303" s="4" t="s">
        <v>1382</v>
      </c>
      <c r="L303" s="4" t="str">
        <f aca="false">IF(TRIM(LOWER(E303))=TRIM(LOWER(J303)),"Match","Different")</f>
        <v>Different</v>
      </c>
    </row>
    <row r="304" customFormat="false" ht="15" hidden="false" customHeight="false" outlineLevel="0" collapsed="false">
      <c r="A304" s="4" t="s">
        <v>1385</v>
      </c>
      <c r="B304" s="4" t="s">
        <v>1386</v>
      </c>
      <c r="C304" s="4" t="s">
        <v>1387</v>
      </c>
      <c r="D304" s="4"/>
      <c r="E304" s="4" t="s">
        <v>50</v>
      </c>
      <c r="F304" s="4" t="s">
        <v>1388</v>
      </c>
      <c r="G304" s="4" t="s">
        <v>56</v>
      </c>
      <c r="H304" s="4" t="s">
        <v>39</v>
      </c>
      <c r="I304" s="4" t="s">
        <v>83</v>
      </c>
      <c r="J304" s="4" t="s">
        <v>50</v>
      </c>
      <c r="K304" s="4" t="s">
        <v>1389</v>
      </c>
      <c r="L304" s="4" t="str">
        <f aca="false">IF(TRIM(LOWER(E304))=TRIM(LOWER(J304)),"Match","Different")</f>
        <v>Match</v>
      </c>
    </row>
    <row r="305" customFormat="false" ht="15" hidden="false" customHeight="false" outlineLevel="0" collapsed="false">
      <c r="A305" s="4" t="s">
        <v>1390</v>
      </c>
      <c r="B305" s="4" t="s">
        <v>1391</v>
      </c>
      <c r="C305" s="4" t="s">
        <v>1392</v>
      </c>
      <c r="D305" s="4"/>
      <c r="E305" s="4" t="s">
        <v>58</v>
      </c>
      <c r="F305" s="4" t="s">
        <v>1393</v>
      </c>
      <c r="G305" s="4" t="s">
        <v>56</v>
      </c>
      <c r="H305" s="4" t="s">
        <v>39</v>
      </c>
      <c r="I305" s="4" t="s">
        <v>99</v>
      </c>
      <c r="J305" s="4" t="s">
        <v>58</v>
      </c>
      <c r="K305" s="4" t="s">
        <v>1392</v>
      </c>
      <c r="L305" s="4" t="str">
        <f aca="false">IF(TRIM(LOWER(E305))=TRIM(LOWER(J305)),"Match","Different")</f>
        <v>Match</v>
      </c>
    </row>
    <row r="306" customFormat="false" ht="15" hidden="false" customHeight="false" outlineLevel="0" collapsed="false">
      <c r="A306" s="4" t="s">
        <v>1394</v>
      </c>
      <c r="B306" s="4" t="s">
        <v>1395</v>
      </c>
      <c r="C306" s="4" t="s">
        <v>1396</v>
      </c>
      <c r="D306" s="4" t="s">
        <v>1397</v>
      </c>
      <c r="E306" s="4" t="s">
        <v>104</v>
      </c>
      <c r="F306" s="4" t="s">
        <v>1398</v>
      </c>
      <c r="G306" s="4" t="s">
        <v>38</v>
      </c>
      <c r="H306" s="4" t="s">
        <v>39</v>
      </c>
      <c r="I306" s="4" t="s">
        <v>99</v>
      </c>
      <c r="J306" s="4" t="s">
        <v>104</v>
      </c>
      <c r="K306" s="4" t="s">
        <v>1399</v>
      </c>
      <c r="L306" s="4" t="str">
        <f aca="false">IF(TRIM(LOWER(E306))=TRIM(LOWER(J306)),"Match","Different")</f>
        <v>Match</v>
      </c>
    </row>
    <row r="307" customFormat="false" ht="15" hidden="false" customHeight="false" outlineLevel="0" collapsed="false">
      <c r="A307" s="4" t="s">
        <v>1400</v>
      </c>
      <c r="B307" s="4" t="s">
        <v>1401</v>
      </c>
      <c r="C307" s="4" t="s">
        <v>1402</v>
      </c>
      <c r="D307" s="4"/>
      <c r="E307" s="4" t="s">
        <v>25</v>
      </c>
      <c r="F307" s="4" t="s">
        <v>1403</v>
      </c>
      <c r="G307" s="4" t="s">
        <v>359</v>
      </c>
      <c r="H307" s="4" t="s">
        <v>66</v>
      </c>
      <c r="I307" s="4" t="s">
        <v>278</v>
      </c>
      <c r="J307" s="4" t="s">
        <v>392</v>
      </c>
      <c r="K307" s="4" t="s">
        <v>1402</v>
      </c>
      <c r="L307" s="4" t="str">
        <f aca="false">IF(TRIM(LOWER(E307))=TRIM(LOWER(J307)),"Match","Different")</f>
        <v>Different</v>
      </c>
    </row>
    <row r="308" customFormat="false" ht="15" hidden="false" customHeight="false" outlineLevel="0" collapsed="false">
      <c r="A308" s="4" t="s">
        <v>1404</v>
      </c>
      <c r="B308" s="4" t="s">
        <v>1405</v>
      </c>
      <c r="C308" s="4" t="s">
        <v>1406</v>
      </c>
      <c r="D308" s="4" t="s">
        <v>1407</v>
      </c>
      <c r="E308" s="4" t="s">
        <v>64</v>
      </c>
      <c r="F308" s="4" t="s">
        <v>1408</v>
      </c>
      <c r="G308" s="4" t="s">
        <v>56</v>
      </c>
      <c r="H308" s="4" t="s">
        <v>39</v>
      </c>
      <c r="I308" s="4" t="s">
        <v>99</v>
      </c>
      <c r="J308" s="4" t="s">
        <v>32</v>
      </c>
      <c r="K308" s="4" t="s">
        <v>1409</v>
      </c>
      <c r="L308" s="4" t="str">
        <f aca="false">IF(TRIM(LOWER(E308))=TRIM(LOWER(J308)),"Match","Different")</f>
        <v>Different</v>
      </c>
    </row>
    <row r="309" customFormat="false" ht="15" hidden="false" customHeight="false" outlineLevel="0" collapsed="false">
      <c r="A309" s="4" t="s">
        <v>1410</v>
      </c>
      <c r="B309" s="4" t="s">
        <v>1405</v>
      </c>
      <c r="C309" s="4"/>
      <c r="D309" s="4" t="s">
        <v>1411</v>
      </c>
      <c r="E309" s="4" t="s">
        <v>32</v>
      </c>
      <c r="F309" s="4" t="s">
        <v>1408</v>
      </c>
      <c r="G309" s="4" t="s">
        <v>56</v>
      </c>
      <c r="H309" s="4" t="s">
        <v>39</v>
      </c>
      <c r="I309" s="4" t="s">
        <v>99</v>
      </c>
      <c r="J309" s="4" t="s">
        <v>32</v>
      </c>
      <c r="K309" s="4" t="s">
        <v>1409</v>
      </c>
      <c r="L309" s="4" t="str">
        <f aca="false">IF(TRIM(LOWER(E309))=TRIM(LOWER(J309)),"Match","Different")</f>
        <v>Match</v>
      </c>
    </row>
    <row r="310" customFormat="false" ht="15" hidden="false" customHeight="false" outlineLevel="0" collapsed="false">
      <c r="A310" s="4" t="s">
        <v>1412</v>
      </c>
      <c r="B310" s="4" t="s">
        <v>1413</v>
      </c>
      <c r="C310" s="4"/>
      <c r="D310" s="4"/>
      <c r="E310" s="4" t="s">
        <v>32</v>
      </c>
      <c r="F310" s="4" t="s">
        <v>1414</v>
      </c>
      <c r="G310" s="4" t="s">
        <v>56</v>
      </c>
      <c r="H310" s="4" t="s">
        <v>66</v>
      </c>
      <c r="I310" s="4" t="s">
        <v>536</v>
      </c>
      <c r="J310" s="4" t="s">
        <v>30</v>
      </c>
      <c r="K310" s="4" t="s">
        <v>1415</v>
      </c>
      <c r="L310" s="4" t="str">
        <f aca="false">IF(TRIM(LOWER(E310))=TRIM(LOWER(J310)),"Match","Different")</f>
        <v>Different</v>
      </c>
    </row>
    <row r="311" customFormat="false" ht="15" hidden="false" customHeight="false" outlineLevel="0" collapsed="false">
      <c r="A311" s="4" t="s">
        <v>1416</v>
      </c>
      <c r="B311" s="4" t="s">
        <v>1417</v>
      </c>
      <c r="C311" s="4" t="s">
        <v>1418</v>
      </c>
      <c r="D311" s="4" t="s">
        <v>1419</v>
      </c>
      <c r="E311" s="4" t="s">
        <v>89</v>
      </c>
      <c r="F311" s="4" t="s">
        <v>1420</v>
      </c>
      <c r="G311" s="4" t="s">
        <v>27</v>
      </c>
      <c r="H311" s="4" t="s">
        <v>39</v>
      </c>
      <c r="I311" s="4" t="s">
        <v>99</v>
      </c>
      <c r="J311" s="4" t="s">
        <v>30</v>
      </c>
      <c r="K311" s="4" t="s">
        <v>1418</v>
      </c>
      <c r="L311" s="4" t="str">
        <f aca="false">IF(TRIM(LOWER(E311))=TRIM(LOWER(J311)),"Match","Different")</f>
        <v>Different</v>
      </c>
    </row>
    <row r="312" customFormat="false" ht="15" hidden="false" customHeight="false" outlineLevel="0" collapsed="false">
      <c r="A312" s="4" t="s">
        <v>1421</v>
      </c>
      <c r="B312" s="4" t="s">
        <v>1422</v>
      </c>
      <c r="C312" s="4" t="s">
        <v>1423</v>
      </c>
      <c r="D312" s="4" t="s">
        <v>1424</v>
      </c>
      <c r="E312" s="4" t="s">
        <v>89</v>
      </c>
      <c r="F312" s="4" t="s">
        <v>1425</v>
      </c>
      <c r="G312" s="4" t="s">
        <v>56</v>
      </c>
      <c r="H312" s="4" t="s">
        <v>48</v>
      </c>
      <c r="I312" s="4" t="s">
        <v>194</v>
      </c>
      <c r="J312" s="4" t="s">
        <v>92</v>
      </c>
      <c r="K312" s="4" t="s">
        <v>1426</v>
      </c>
      <c r="L312" s="4" t="str">
        <f aca="false">IF(TRIM(LOWER(E312))=TRIM(LOWER(J312)),"Match","Different")</f>
        <v>Different</v>
      </c>
    </row>
    <row r="313" customFormat="false" ht="15" hidden="false" customHeight="false" outlineLevel="0" collapsed="false">
      <c r="A313" s="4" t="s">
        <v>1427</v>
      </c>
      <c r="B313" s="4" t="s">
        <v>1422</v>
      </c>
      <c r="C313" s="4"/>
      <c r="D313" s="4" t="s">
        <v>1428</v>
      </c>
      <c r="E313" s="4" t="s">
        <v>383</v>
      </c>
      <c r="F313" s="4" t="s">
        <v>1425</v>
      </c>
      <c r="G313" s="4" t="s">
        <v>56</v>
      </c>
      <c r="H313" s="4" t="s">
        <v>48</v>
      </c>
      <c r="I313" s="4" t="s">
        <v>194</v>
      </c>
      <c r="J313" s="4" t="s">
        <v>92</v>
      </c>
      <c r="K313" s="4" t="s">
        <v>1426</v>
      </c>
      <c r="L313" s="4" t="str">
        <f aca="false">IF(TRIM(LOWER(E313))=TRIM(LOWER(J313)),"Match","Different")</f>
        <v>Different</v>
      </c>
    </row>
    <row r="314" customFormat="false" ht="15" hidden="false" customHeight="false" outlineLevel="0" collapsed="false">
      <c r="A314" s="4" t="s">
        <v>1429</v>
      </c>
      <c r="B314" s="4" t="s">
        <v>1430</v>
      </c>
      <c r="C314" s="4" t="s">
        <v>1431</v>
      </c>
      <c r="D314" s="4"/>
      <c r="E314" s="4" t="s">
        <v>64</v>
      </c>
      <c r="F314" s="4" t="s">
        <v>1432</v>
      </c>
      <c r="G314" s="4" t="s">
        <v>38</v>
      </c>
      <c r="H314" s="4" t="s">
        <v>66</v>
      </c>
      <c r="I314" s="4" t="s">
        <v>1433</v>
      </c>
      <c r="J314" s="4" t="s">
        <v>100</v>
      </c>
      <c r="K314" s="4" t="s">
        <v>1431</v>
      </c>
      <c r="L314" s="4" t="str">
        <f aca="false">IF(TRIM(LOWER(E314))=TRIM(LOWER(J314)),"Match","Different")</f>
        <v>Different</v>
      </c>
    </row>
    <row r="315" customFormat="false" ht="15" hidden="false" customHeight="false" outlineLevel="0" collapsed="false">
      <c r="A315" s="4" t="s">
        <v>1434</v>
      </c>
      <c r="B315" s="4" t="s">
        <v>1435</v>
      </c>
      <c r="C315" s="4" t="s">
        <v>1436</v>
      </c>
      <c r="D315" s="4"/>
      <c r="E315" s="4" t="s">
        <v>104</v>
      </c>
      <c r="F315" s="4" t="s">
        <v>1437</v>
      </c>
      <c r="G315" s="4" t="s">
        <v>38</v>
      </c>
      <c r="H315" s="4" t="s">
        <v>66</v>
      </c>
      <c r="I315" s="4" t="s">
        <v>1433</v>
      </c>
      <c r="J315" s="4" t="s">
        <v>104</v>
      </c>
      <c r="K315" s="4" t="s">
        <v>1438</v>
      </c>
      <c r="L315" s="4" t="str">
        <f aca="false">IF(TRIM(LOWER(E315))=TRIM(LOWER(J315)),"Match","Different")</f>
        <v>Match</v>
      </c>
    </row>
    <row r="316" customFormat="false" ht="15" hidden="false" customHeight="false" outlineLevel="0" collapsed="false">
      <c r="A316" s="4" t="s">
        <v>1439</v>
      </c>
      <c r="B316" s="4" t="s">
        <v>1435</v>
      </c>
      <c r="C316" s="4"/>
      <c r="D316" s="4"/>
      <c r="E316" s="4" t="s">
        <v>383</v>
      </c>
      <c r="F316" s="4" t="s">
        <v>1437</v>
      </c>
      <c r="G316" s="4" t="s">
        <v>38</v>
      </c>
      <c r="H316" s="4" t="s">
        <v>66</v>
      </c>
      <c r="I316" s="4" t="s">
        <v>1433</v>
      </c>
      <c r="J316" s="4" t="s">
        <v>104</v>
      </c>
      <c r="K316" s="4" t="s">
        <v>1438</v>
      </c>
      <c r="L316" s="4" t="str">
        <f aca="false">IF(TRIM(LOWER(E316))=TRIM(LOWER(J316)),"Match","Different")</f>
        <v>Different</v>
      </c>
    </row>
    <row r="317" customFormat="false" ht="15" hidden="false" customHeight="false" outlineLevel="0" collapsed="false">
      <c r="A317" s="4" t="s">
        <v>1440</v>
      </c>
      <c r="B317" s="4" t="s">
        <v>1441</v>
      </c>
      <c r="C317" s="4" t="s">
        <v>1442</v>
      </c>
      <c r="D317" s="4" t="s">
        <v>1443</v>
      </c>
      <c r="E317" s="4" t="s">
        <v>104</v>
      </c>
      <c r="F317" s="4" t="s">
        <v>1444</v>
      </c>
      <c r="G317" s="4" t="s">
        <v>128</v>
      </c>
      <c r="H317" s="4" t="s">
        <v>48</v>
      </c>
      <c r="I317" s="4" t="s">
        <v>1445</v>
      </c>
      <c r="J317" s="4" t="s">
        <v>112</v>
      </c>
      <c r="K317" s="4" t="s">
        <v>1442</v>
      </c>
      <c r="L317" s="4" t="str">
        <f aca="false">IF(TRIM(LOWER(E317))=TRIM(LOWER(J317)),"Match","Different")</f>
        <v>Different</v>
      </c>
    </row>
    <row r="318" customFormat="false" ht="15" hidden="false" customHeight="false" outlineLevel="0" collapsed="false">
      <c r="A318" s="4" t="s">
        <v>1446</v>
      </c>
      <c r="B318" s="4" t="s">
        <v>1447</v>
      </c>
      <c r="C318" s="4" t="s">
        <v>1448</v>
      </c>
      <c r="D318" s="4" t="s">
        <v>1449</v>
      </c>
      <c r="E318" s="4" t="s">
        <v>89</v>
      </c>
      <c r="F318" s="4" t="s">
        <v>1450</v>
      </c>
      <c r="G318" s="4" t="s">
        <v>27</v>
      </c>
      <c r="H318" s="4" t="s">
        <v>39</v>
      </c>
      <c r="I318" s="4" t="s">
        <v>83</v>
      </c>
      <c r="J318" s="4" t="s">
        <v>92</v>
      </c>
      <c r="K318" s="4" t="s">
        <v>1451</v>
      </c>
      <c r="L318" s="4" t="str">
        <f aca="false">IF(TRIM(LOWER(E318))=TRIM(LOWER(J318)),"Match","Different")</f>
        <v>Different</v>
      </c>
    </row>
    <row r="319" customFormat="false" ht="15" hidden="false" customHeight="false" outlineLevel="0" collapsed="false">
      <c r="A319" s="4" t="s">
        <v>1452</v>
      </c>
      <c r="B319" s="4" t="s">
        <v>1447</v>
      </c>
      <c r="C319" s="4" t="s">
        <v>1453</v>
      </c>
      <c r="D319" s="4" t="s">
        <v>1454</v>
      </c>
      <c r="E319" s="4" t="s">
        <v>89</v>
      </c>
      <c r="F319" s="4" t="s">
        <v>1450</v>
      </c>
      <c r="G319" s="4" t="s">
        <v>27</v>
      </c>
      <c r="H319" s="4" t="s">
        <v>39</v>
      </c>
      <c r="I319" s="4" t="s">
        <v>83</v>
      </c>
      <c r="J319" s="4" t="s">
        <v>92</v>
      </c>
      <c r="K319" s="4" t="s">
        <v>1451</v>
      </c>
      <c r="L319" s="4" t="str">
        <f aca="false">IF(TRIM(LOWER(E319))=TRIM(LOWER(J319)),"Match","Different")</f>
        <v>Different</v>
      </c>
    </row>
    <row r="320" customFormat="false" ht="15" hidden="false" customHeight="false" outlineLevel="0" collapsed="false">
      <c r="A320" s="4" t="s">
        <v>1455</v>
      </c>
      <c r="B320" s="4" t="s">
        <v>1456</v>
      </c>
      <c r="C320" s="4" t="s">
        <v>1457</v>
      </c>
      <c r="D320" s="4"/>
      <c r="E320" s="4" t="s">
        <v>89</v>
      </c>
      <c r="F320" s="4" t="s">
        <v>1458</v>
      </c>
      <c r="G320" s="4" t="s">
        <v>136</v>
      </c>
      <c r="H320" s="4" t="s">
        <v>39</v>
      </c>
      <c r="I320" s="4" t="s">
        <v>83</v>
      </c>
      <c r="J320" s="4" t="s">
        <v>100</v>
      </c>
      <c r="K320" s="4" t="s">
        <v>1459</v>
      </c>
      <c r="L320" s="4" t="str">
        <f aca="false">IF(TRIM(LOWER(E320))=TRIM(LOWER(J320)),"Match","Different")</f>
        <v>Different</v>
      </c>
    </row>
    <row r="321" customFormat="false" ht="15" hidden="false" customHeight="false" outlineLevel="0" collapsed="false">
      <c r="A321" s="4" t="s">
        <v>1460</v>
      </c>
      <c r="B321" s="4" t="s">
        <v>1461</v>
      </c>
      <c r="C321" s="4" t="s">
        <v>1462</v>
      </c>
      <c r="D321" s="4" t="s">
        <v>1463</v>
      </c>
      <c r="E321" s="4" t="s">
        <v>54</v>
      </c>
      <c r="F321" s="4" t="s">
        <v>1464</v>
      </c>
      <c r="G321" s="4" t="s">
        <v>47</v>
      </c>
      <c r="H321" s="4" t="s">
        <v>39</v>
      </c>
      <c r="I321" s="4" t="s">
        <v>993</v>
      </c>
      <c r="J321" s="4" t="s">
        <v>92</v>
      </c>
      <c r="K321" s="4" t="s">
        <v>1465</v>
      </c>
      <c r="L321" s="4" t="str">
        <f aca="false">IF(TRIM(LOWER(E321))=TRIM(LOWER(J321)),"Match","Different")</f>
        <v>Different</v>
      </c>
    </row>
    <row r="322" customFormat="false" ht="15" hidden="false" customHeight="false" outlineLevel="0" collapsed="false">
      <c r="A322" s="4" t="s">
        <v>1466</v>
      </c>
      <c r="B322" s="4" t="s">
        <v>1467</v>
      </c>
      <c r="C322" s="4" t="s">
        <v>1468</v>
      </c>
      <c r="D322" s="4" t="s">
        <v>1469</v>
      </c>
      <c r="E322" s="4" t="s">
        <v>50</v>
      </c>
      <c r="F322" s="4" t="s">
        <v>1470</v>
      </c>
      <c r="G322" s="4" t="s">
        <v>291</v>
      </c>
      <c r="H322" s="4" t="s">
        <v>39</v>
      </c>
      <c r="I322" s="4" t="s">
        <v>226</v>
      </c>
      <c r="J322" s="4" t="s">
        <v>30</v>
      </c>
      <c r="K322" s="4" t="s">
        <v>1471</v>
      </c>
      <c r="L322" s="4" t="str">
        <f aca="false">IF(TRIM(LOWER(E322))=TRIM(LOWER(J322)),"Match","Different")</f>
        <v>Different</v>
      </c>
    </row>
    <row r="323" customFormat="false" ht="15" hidden="false" customHeight="false" outlineLevel="0" collapsed="false">
      <c r="A323" s="4" t="s">
        <v>1472</v>
      </c>
      <c r="B323" s="4" t="s">
        <v>1473</v>
      </c>
      <c r="C323" s="4" t="s">
        <v>1474</v>
      </c>
      <c r="D323" s="4"/>
      <c r="E323" s="4" t="s">
        <v>25</v>
      </c>
      <c r="F323" s="4" t="s">
        <v>1475</v>
      </c>
      <c r="G323" s="4" t="s">
        <v>519</v>
      </c>
      <c r="H323" s="4" t="s">
        <v>1268</v>
      </c>
      <c r="I323" s="4" t="s">
        <v>670</v>
      </c>
      <c r="J323" s="4" t="s">
        <v>112</v>
      </c>
      <c r="K323" s="4" t="s">
        <v>1476</v>
      </c>
      <c r="L323" s="4" t="str">
        <f aca="false">IF(TRIM(LOWER(E323))=TRIM(LOWER(J323)),"Match","Different")</f>
        <v>Different</v>
      </c>
    </row>
    <row r="324" customFormat="false" ht="15" hidden="false" customHeight="false" outlineLevel="0" collapsed="false">
      <c r="A324" s="4" t="s">
        <v>1477</v>
      </c>
      <c r="B324" s="4" t="s">
        <v>1473</v>
      </c>
      <c r="C324" s="4" t="s">
        <v>1476</v>
      </c>
      <c r="D324" s="4" t="s">
        <v>1478</v>
      </c>
      <c r="E324" s="4" t="s">
        <v>25</v>
      </c>
      <c r="F324" s="4" t="s">
        <v>1475</v>
      </c>
      <c r="G324" s="4" t="s">
        <v>519</v>
      </c>
      <c r="H324" s="4" t="s">
        <v>1268</v>
      </c>
      <c r="I324" s="4" t="s">
        <v>670</v>
      </c>
      <c r="J324" s="4" t="s">
        <v>112</v>
      </c>
      <c r="K324" s="4" t="s">
        <v>1476</v>
      </c>
      <c r="L324" s="4" t="str">
        <f aca="false">IF(TRIM(LOWER(E324))=TRIM(LOWER(J324)),"Match","Different")</f>
        <v>Different</v>
      </c>
    </row>
    <row r="325" customFormat="false" ht="15" hidden="false" customHeight="false" outlineLevel="0" collapsed="false">
      <c r="A325" s="4" t="s">
        <v>1479</v>
      </c>
      <c r="B325" s="4" t="s">
        <v>1480</v>
      </c>
      <c r="C325" s="4" t="s">
        <v>1481</v>
      </c>
      <c r="D325" s="4"/>
      <c r="E325" s="4" t="s">
        <v>32</v>
      </c>
      <c r="F325" s="4" t="s">
        <v>1482</v>
      </c>
      <c r="G325" s="4" t="s">
        <v>47</v>
      </c>
      <c r="H325" s="4" t="s">
        <v>39</v>
      </c>
      <c r="I325" s="4" t="s">
        <v>40</v>
      </c>
      <c r="J325" s="4" t="s">
        <v>32</v>
      </c>
      <c r="K325" s="4"/>
      <c r="L325" s="4" t="str">
        <f aca="false">IF(TRIM(LOWER(E325))=TRIM(LOWER(J325)),"Match","Different")</f>
        <v>Match</v>
      </c>
    </row>
    <row r="326" customFormat="false" ht="15" hidden="false" customHeight="false" outlineLevel="0" collapsed="false">
      <c r="A326" s="4" t="s">
        <v>1483</v>
      </c>
      <c r="B326" s="4" t="s">
        <v>1484</v>
      </c>
      <c r="C326" s="4" t="s">
        <v>1485</v>
      </c>
      <c r="D326" s="4"/>
      <c r="E326" s="4" t="s">
        <v>25</v>
      </c>
      <c r="F326" s="4" t="s">
        <v>1486</v>
      </c>
      <c r="G326" s="4" t="s">
        <v>47</v>
      </c>
      <c r="H326" s="4" t="s">
        <v>66</v>
      </c>
      <c r="I326" s="4" t="s">
        <v>1487</v>
      </c>
      <c r="J326" s="4" t="s">
        <v>30</v>
      </c>
      <c r="K326" s="4" t="s">
        <v>1485</v>
      </c>
      <c r="L326" s="4" t="str">
        <f aca="false">IF(TRIM(LOWER(E326))=TRIM(LOWER(J326)),"Match","Different")</f>
        <v>Different</v>
      </c>
    </row>
    <row r="327" customFormat="false" ht="15" hidden="false" customHeight="false" outlineLevel="0" collapsed="false">
      <c r="A327" s="4" t="s">
        <v>1488</v>
      </c>
      <c r="B327" s="4" t="s">
        <v>1489</v>
      </c>
      <c r="C327" s="4" t="s">
        <v>1490</v>
      </c>
      <c r="D327" s="4" t="s">
        <v>1491</v>
      </c>
      <c r="E327" s="4" t="s">
        <v>89</v>
      </c>
      <c r="F327" s="4" t="s">
        <v>1492</v>
      </c>
      <c r="G327" s="4" t="s">
        <v>82</v>
      </c>
      <c r="H327" s="4" t="s">
        <v>66</v>
      </c>
      <c r="I327" s="4" t="s">
        <v>536</v>
      </c>
      <c r="J327" s="4" t="s">
        <v>100</v>
      </c>
      <c r="K327" s="4" t="s">
        <v>1493</v>
      </c>
      <c r="L327" s="4" t="str">
        <f aca="false">IF(TRIM(LOWER(E327))=TRIM(LOWER(J327)),"Match","Different")</f>
        <v>Different</v>
      </c>
    </row>
    <row r="328" customFormat="false" ht="15" hidden="false" customHeight="false" outlineLevel="0" collapsed="false">
      <c r="A328" s="4" t="s">
        <v>1494</v>
      </c>
      <c r="B328" s="4" t="s">
        <v>1495</v>
      </c>
      <c r="C328" s="4" t="s">
        <v>1496</v>
      </c>
      <c r="D328" s="4" t="s">
        <v>1497</v>
      </c>
      <c r="E328" s="4" t="s">
        <v>104</v>
      </c>
      <c r="F328" s="4" t="s">
        <v>1498</v>
      </c>
      <c r="G328" s="4" t="s">
        <v>122</v>
      </c>
      <c r="H328" s="4" t="s">
        <v>39</v>
      </c>
      <c r="I328" s="4" t="s">
        <v>636</v>
      </c>
      <c r="J328" s="4" t="s">
        <v>104</v>
      </c>
      <c r="K328" s="4" t="s">
        <v>1499</v>
      </c>
      <c r="L328" s="4" t="str">
        <f aca="false">IF(TRIM(LOWER(E328))=TRIM(LOWER(J328)),"Match","Different")</f>
        <v>Match</v>
      </c>
    </row>
    <row r="329" customFormat="false" ht="15" hidden="false" customHeight="false" outlineLevel="0" collapsed="false">
      <c r="A329" s="4" t="s">
        <v>1500</v>
      </c>
      <c r="B329" s="4" t="s">
        <v>1501</v>
      </c>
      <c r="C329" s="4" t="s">
        <v>1502</v>
      </c>
      <c r="D329" s="4"/>
      <c r="E329" s="4" t="s">
        <v>104</v>
      </c>
      <c r="F329" s="4" t="s">
        <v>1503</v>
      </c>
      <c r="G329" s="4" t="s">
        <v>38</v>
      </c>
      <c r="H329" s="4" t="s">
        <v>39</v>
      </c>
      <c r="I329" s="4" t="s">
        <v>636</v>
      </c>
      <c r="J329" s="4" t="s">
        <v>104</v>
      </c>
      <c r="K329" s="4" t="s">
        <v>1504</v>
      </c>
      <c r="L329" s="4" t="str">
        <f aca="false">IF(TRIM(LOWER(E329))=TRIM(LOWER(J329)),"Match","Different")</f>
        <v>Match</v>
      </c>
    </row>
    <row r="330" customFormat="false" ht="15" hidden="false" customHeight="false" outlineLevel="0" collapsed="false">
      <c r="A330" s="4" t="s">
        <v>1505</v>
      </c>
      <c r="B330" s="4" t="s">
        <v>1506</v>
      </c>
      <c r="C330" s="4" t="s">
        <v>1507</v>
      </c>
      <c r="D330" s="4" t="s">
        <v>1508</v>
      </c>
      <c r="E330" s="4" t="s">
        <v>89</v>
      </c>
      <c r="F330" s="4" t="s">
        <v>1509</v>
      </c>
      <c r="G330" s="4" t="s">
        <v>359</v>
      </c>
      <c r="H330" s="4" t="s">
        <v>39</v>
      </c>
      <c r="I330" s="4" t="s">
        <v>129</v>
      </c>
      <c r="J330" s="4" t="s">
        <v>92</v>
      </c>
      <c r="K330" s="4" t="s">
        <v>1507</v>
      </c>
      <c r="L330" s="4" t="str">
        <f aca="false">IF(TRIM(LOWER(E330))=TRIM(LOWER(J330)),"Match","Different")</f>
        <v>Different</v>
      </c>
    </row>
    <row r="331" customFormat="false" ht="15" hidden="false" customHeight="false" outlineLevel="0" collapsed="false">
      <c r="A331" s="4" t="s">
        <v>1510</v>
      </c>
      <c r="B331" s="4" t="s">
        <v>1511</v>
      </c>
      <c r="C331" s="4"/>
      <c r="D331" s="4"/>
      <c r="E331" s="4" t="s">
        <v>32</v>
      </c>
      <c r="F331" s="4" t="s">
        <v>1512</v>
      </c>
      <c r="G331" s="4" t="s">
        <v>122</v>
      </c>
      <c r="H331" s="4" t="s">
        <v>66</v>
      </c>
      <c r="I331" s="4" t="s">
        <v>91</v>
      </c>
      <c r="J331" s="4" t="s">
        <v>100</v>
      </c>
      <c r="K331" s="4" t="s">
        <v>1513</v>
      </c>
      <c r="L331" s="4" t="str">
        <f aca="false">IF(TRIM(LOWER(E331))=TRIM(LOWER(J331)),"Match","Different")</f>
        <v>Different</v>
      </c>
    </row>
    <row r="332" customFormat="false" ht="15" hidden="false" customHeight="false" outlineLevel="0" collapsed="false">
      <c r="A332" s="4" t="s">
        <v>1510</v>
      </c>
      <c r="B332" s="4" t="s">
        <v>1511</v>
      </c>
      <c r="C332" s="4"/>
      <c r="D332" s="4" t="s">
        <v>1514</v>
      </c>
      <c r="E332" s="4" t="s">
        <v>32</v>
      </c>
      <c r="F332" s="4" t="s">
        <v>1512</v>
      </c>
      <c r="G332" s="4" t="s">
        <v>122</v>
      </c>
      <c r="H332" s="4" t="s">
        <v>66</v>
      </c>
      <c r="I332" s="4" t="s">
        <v>91</v>
      </c>
      <c r="J332" s="4" t="s">
        <v>100</v>
      </c>
      <c r="K332" s="4" t="s">
        <v>1513</v>
      </c>
      <c r="L332" s="4" t="str">
        <f aca="false">IF(TRIM(LOWER(E332))=TRIM(LOWER(J332)),"Match","Different")</f>
        <v>Different</v>
      </c>
    </row>
    <row r="333" customFormat="false" ht="15" hidden="false" customHeight="false" outlineLevel="0" collapsed="false">
      <c r="A333" s="4" t="s">
        <v>1515</v>
      </c>
      <c r="B333" s="4" t="s">
        <v>1511</v>
      </c>
      <c r="C333" s="4"/>
      <c r="D333" s="4"/>
      <c r="E333" s="4" t="s">
        <v>32</v>
      </c>
      <c r="F333" s="4" t="s">
        <v>1512</v>
      </c>
      <c r="G333" s="4" t="s">
        <v>122</v>
      </c>
      <c r="H333" s="4" t="s">
        <v>66</v>
      </c>
      <c r="I333" s="4" t="s">
        <v>91</v>
      </c>
      <c r="J333" s="4" t="s">
        <v>100</v>
      </c>
      <c r="K333" s="4" t="s">
        <v>1513</v>
      </c>
      <c r="L333" s="4" t="str">
        <f aca="false">IF(TRIM(LOWER(E333))=TRIM(LOWER(J333)),"Match","Different")</f>
        <v>Different</v>
      </c>
    </row>
    <row r="334" customFormat="false" ht="15" hidden="false" customHeight="false" outlineLevel="0" collapsed="false">
      <c r="A334" s="4" t="s">
        <v>1516</v>
      </c>
      <c r="B334" s="4" t="s">
        <v>1511</v>
      </c>
      <c r="C334" s="4" t="s">
        <v>1517</v>
      </c>
      <c r="D334" s="4" t="s">
        <v>1518</v>
      </c>
      <c r="E334" s="4" t="s">
        <v>25</v>
      </c>
      <c r="F334" s="4" t="s">
        <v>1512</v>
      </c>
      <c r="G334" s="4" t="s">
        <v>122</v>
      </c>
      <c r="H334" s="4" t="s">
        <v>66</v>
      </c>
      <c r="I334" s="4" t="s">
        <v>91</v>
      </c>
      <c r="J334" s="4" t="s">
        <v>100</v>
      </c>
      <c r="K334" s="4" t="s">
        <v>1513</v>
      </c>
      <c r="L334" s="4" t="str">
        <f aca="false">IF(TRIM(LOWER(E334))=TRIM(LOWER(J334)),"Match","Different")</f>
        <v>Different</v>
      </c>
    </row>
    <row r="335" customFormat="false" ht="15" hidden="false" customHeight="false" outlineLevel="0" collapsed="false">
      <c r="A335" s="4" t="s">
        <v>1519</v>
      </c>
      <c r="B335" s="4" t="s">
        <v>1520</v>
      </c>
      <c r="C335" s="4" t="s">
        <v>1521</v>
      </c>
      <c r="D335" s="4" t="s">
        <v>1522</v>
      </c>
      <c r="E335" s="4" t="s">
        <v>50</v>
      </c>
      <c r="F335" s="4" t="s">
        <v>1523</v>
      </c>
      <c r="G335" s="4" t="s">
        <v>136</v>
      </c>
      <c r="H335" s="4" t="s">
        <v>39</v>
      </c>
      <c r="I335" s="4" t="s">
        <v>147</v>
      </c>
      <c r="J335" s="4" t="s">
        <v>32</v>
      </c>
      <c r="K335" s="4" t="s">
        <v>1521</v>
      </c>
      <c r="L335" s="4" t="str">
        <f aca="false">IF(TRIM(LOWER(E335))=TRIM(LOWER(J335)),"Match","Different")</f>
        <v>Different</v>
      </c>
    </row>
    <row r="336" customFormat="false" ht="15" hidden="false" customHeight="false" outlineLevel="0" collapsed="false">
      <c r="A336" s="4" t="s">
        <v>1524</v>
      </c>
      <c r="B336" s="4" t="s">
        <v>1520</v>
      </c>
      <c r="C336" s="4"/>
      <c r="D336" s="4"/>
      <c r="E336" s="4" t="s">
        <v>32</v>
      </c>
      <c r="F336" s="4" t="s">
        <v>1523</v>
      </c>
      <c r="G336" s="4" t="s">
        <v>136</v>
      </c>
      <c r="H336" s="4" t="s">
        <v>39</v>
      </c>
      <c r="I336" s="4" t="s">
        <v>147</v>
      </c>
      <c r="J336" s="4" t="s">
        <v>32</v>
      </c>
      <c r="K336" s="4" t="s">
        <v>1521</v>
      </c>
      <c r="L336" s="4" t="str">
        <f aca="false">IF(TRIM(LOWER(E336))=TRIM(LOWER(J336)),"Match","Different")</f>
        <v>Match</v>
      </c>
    </row>
    <row r="337" customFormat="false" ht="15" hidden="false" customHeight="false" outlineLevel="0" collapsed="false">
      <c r="A337" s="4" t="s">
        <v>1525</v>
      </c>
      <c r="B337" s="4" t="s">
        <v>1526</v>
      </c>
      <c r="C337" s="4" t="s">
        <v>1527</v>
      </c>
      <c r="D337" s="4" t="s">
        <v>1528</v>
      </c>
      <c r="E337" s="4" t="s">
        <v>32</v>
      </c>
      <c r="F337" s="4" t="s">
        <v>1529</v>
      </c>
      <c r="G337" s="4" t="s">
        <v>207</v>
      </c>
      <c r="H337" s="4" t="s">
        <v>1104</v>
      </c>
      <c r="I337" s="4" t="s">
        <v>40</v>
      </c>
      <c r="J337" s="4" t="s">
        <v>32</v>
      </c>
      <c r="K337" s="4" t="s">
        <v>1530</v>
      </c>
      <c r="L337" s="4" t="str">
        <f aca="false">IF(TRIM(LOWER(E337))=TRIM(LOWER(J337)),"Match","Different")</f>
        <v>Match</v>
      </c>
    </row>
    <row r="338" customFormat="false" ht="15" hidden="false" customHeight="false" outlineLevel="0" collapsed="false">
      <c r="A338" s="4" t="s">
        <v>372</v>
      </c>
      <c r="B338" s="4" t="s">
        <v>1526</v>
      </c>
      <c r="C338" s="4"/>
      <c r="D338" s="4"/>
      <c r="E338" s="4" t="s">
        <v>32</v>
      </c>
      <c r="F338" s="4" t="s">
        <v>1529</v>
      </c>
      <c r="G338" s="4" t="s">
        <v>207</v>
      </c>
      <c r="H338" s="4" t="s">
        <v>1104</v>
      </c>
      <c r="I338" s="4" t="s">
        <v>40</v>
      </c>
      <c r="J338" s="4" t="s">
        <v>32</v>
      </c>
      <c r="K338" s="4" t="s">
        <v>1530</v>
      </c>
      <c r="L338" s="4" t="str">
        <f aca="false">IF(TRIM(LOWER(E338))=TRIM(LOWER(J338)),"Match","Different")</f>
        <v>Match</v>
      </c>
    </row>
    <row r="339" customFormat="false" ht="15" hidden="false" customHeight="false" outlineLevel="0" collapsed="false">
      <c r="A339" s="4" t="s">
        <v>1531</v>
      </c>
      <c r="B339" s="4" t="s">
        <v>1532</v>
      </c>
      <c r="C339" s="4" t="s">
        <v>1533</v>
      </c>
      <c r="D339" s="4"/>
      <c r="E339" s="4" t="s">
        <v>89</v>
      </c>
      <c r="F339" s="4" t="s">
        <v>1534</v>
      </c>
      <c r="G339" s="4" t="s">
        <v>27</v>
      </c>
      <c r="H339" s="4" t="s">
        <v>39</v>
      </c>
      <c r="I339" s="4" t="s">
        <v>208</v>
      </c>
      <c r="J339" s="4" t="s">
        <v>30</v>
      </c>
      <c r="K339" s="4" t="s">
        <v>1533</v>
      </c>
      <c r="L339" s="4" t="str">
        <f aca="false">IF(TRIM(LOWER(E339))=TRIM(LOWER(J339)),"Match","Different")</f>
        <v>Different</v>
      </c>
    </row>
    <row r="340" customFormat="false" ht="15" hidden="false" customHeight="false" outlineLevel="0" collapsed="false">
      <c r="A340" s="4" t="s">
        <v>1535</v>
      </c>
      <c r="B340" s="4" t="s">
        <v>1536</v>
      </c>
      <c r="C340" s="4" t="s">
        <v>1537</v>
      </c>
      <c r="D340" s="4"/>
      <c r="E340" s="4" t="s">
        <v>64</v>
      </c>
      <c r="F340" s="4" t="s">
        <v>1538</v>
      </c>
      <c r="G340" s="4" t="s">
        <v>56</v>
      </c>
      <c r="H340" s="4" t="s">
        <v>39</v>
      </c>
      <c r="I340" s="4" t="s">
        <v>129</v>
      </c>
      <c r="J340" s="4" t="s">
        <v>64</v>
      </c>
      <c r="K340" s="4" t="s">
        <v>1539</v>
      </c>
      <c r="L340" s="4" t="str">
        <f aca="false">IF(TRIM(LOWER(E340))=TRIM(LOWER(J340)),"Match","Different")</f>
        <v>Match</v>
      </c>
    </row>
    <row r="341" customFormat="false" ht="15" hidden="false" customHeight="false" outlineLevel="0" collapsed="false">
      <c r="A341" s="4" t="s">
        <v>1540</v>
      </c>
      <c r="B341" s="4" t="s">
        <v>1536</v>
      </c>
      <c r="C341" s="4" t="s">
        <v>1541</v>
      </c>
      <c r="D341" s="4" t="s">
        <v>1542</v>
      </c>
      <c r="E341" s="4" t="s">
        <v>64</v>
      </c>
      <c r="F341" s="4" t="s">
        <v>1538</v>
      </c>
      <c r="G341" s="4" t="s">
        <v>56</v>
      </c>
      <c r="H341" s="4" t="s">
        <v>39</v>
      </c>
      <c r="I341" s="4" t="s">
        <v>129</v>
      </c>
      <c r="J341" s="4" t="s">
        <v>64</v>
      </c>
      <c r="K341" s="4" t="s">
        <v>1539</v>
      </c>
      <c r="L341" s="4" t="str">
        <f aca="false">IF(TRIM(LOWER(E341))=TRIM(LOWER(J341)),"Match","Different")</f>
        <v>Match</v>
      </c>
    </row>
    <row r="342" customFormat="false" ht="15" hidden="false" customHeight="false" outlineLevel="0" collapsed="false">
      <c r="A342" s="4" t="s">
        <v>1543</v>
      </c>
      <c r="B342" s="4" t="s">
        <v>1544</v>
      </c>
      <c r="C342" s="4" t="s">
        <v>1545</v>
      </c>
      <c r="D342" s="4"/>
      <c r="E342" s="4" t="s">
        <v>64</v>
      </c>
      <c r="F342" s="4" t="s">
        <v>1546</v>
      </c>
      <c r="G342" s="4" t="s">
        <v>56</v>
      </c>
      <c r="H342" s="4" t="s">
        <v>172</v>
      </c>
      <c r="I342" s="4" t="s">
        <v>173</v>
      </c>
      <c r="J342" s="4" t="s">
        <v>64</v>
      </c>
      <c r="K342" s="4" t="s">
        <v>1545</v>
      </c>
      <c r="L342" s="4" t="str">
        <f aca="false">IF(TRIM(LOWER(E342))=TRIM(LOWER(J342)),"Match","Different")</f>
        <v>Match</v>
      </c>
    </row>
    <row r="343" customFormat="false" ht="15" hidden="false" customHeight="false" outlineLevel="0" collapsed="false">
      <c r="A343" s="4" t="s">
        <v>1547</v>
      </c>
      <c r="B343" s="4" t="s">
        <v>1544</v>
      </c>
      <c r="C343" s="4" t="s">
        <v>1548</v>
      </c>
      <c r="D343" s="4" t="s">
        <v>1549</v>
      </c>
      <c r="E343" s="4" t="s">
        <v>64</v>
      </c>
      <c r="F343" s="4" t="s">
        <v>1546</v>
      </c>
      <c r="G343" s="4" t="s">
        <v>56</v>
      </c>
      <c r="H343" s="4" t="s">
        <v>172</v>
      </c>
      <c r="I343" s="4" t="s">
        <v>173</v>
      </c>
      <c r="J343" s="4" t="s">
        <v>64</v>
      </c>
      <c r="K343" s="4" t="s">
        <v>1545</v>
      </c>
      <c r="L343" s="4" t="str">
        <f aca="false">IF(TRIM(LOWER(E343))=TRIM(LOWER(J343)),"Match","Different")</f>
        <v>Match</v>
      </c>
    </row>
    <row r="344" customFormat="false" ht="15" hidden="false" customHeight="false" outlineLevel="0" collapsed="false">
      <c r="A344" s="4" t="s">
        <v>1550</v>
      </c>
      <c r="B344" s="4" t="s">
        <v>1551</v>
      </c>
      <c r="C344" s="4" t="s">
        <v>1552</v>
      </c>
      <c r="D344" s="4" t="s">
        <v>1553</v>
      </c>
      <c r="E344" s="4" t="s">
        <v>89</v>
      </c>
      <c r="F344" s="4" t="s">
        <v>1554</v>
      </c>
      <c r="G344" s="4" t="s">
        <v>38</v>
      </c>
      <c r="H344" s="4" t="s">
        <v>39</v>
      </c>
      <c r="I344" s="4" t="s">
        <v>147</v>
      </c>
      <c r="J344" s="4" t="s">
        <v>92</v>
      </c>
      <c r="K344" s="4" t="s">
        <v>1555</v>
      </c>
      <c r="L344" s="4" t="str">
        <f aca="false">IF(TRIM(LOWER(E344))=TRIM(LOWER(J344)),"Match","Different")</f>
        <v>Different</v>
      </c>
    </row>
    <row r="345" customFormat="false" ht="15" hidden="false" customHeight="false" outlineLevel="0" collapsed="false">
      <c r="A345" s="4" t="s">
        <v>1556</v>
      </c>
      <c r="B345" s="4" t="s">
        <v>1551</v>
      </c>
      <c r="C345" s="4" t="s">
        <v>1555</v>
      </c>
      <c r="D345" s="4"/>
      <c r="E345" s="4" t="s">
        <v>89</v>
      </c>
      <c r="F345" s="4" t="s">
        <v>1554</v>
      </c>
      <c r="G345" s="4" t="s">
        <v>38</v>
      </c>
      <c r="H345" s="4" t="s">
        <v>39</v>
      </c>
      <c r="I345" s="4" t="s">
        <v>147</v>
      </c>
      <c r="J345" s="4" t="s">
        <v>92</v>
      </c>
      <c r="K345" s="4" t="s">
        <v>1555</v>
      </c>
      <c r="L345" s="4" t="str">
        <f aca="false">IF(TRIM(LOWER(E345))=TRIM(LOWER(J345)),"Match","Different")</f>
        <v>Different</v>
      </c>
    </row>
    <row r="346" customFormat="false" ht="15" hidden="false" customHeight="false" outlineLevel="0" collapsed="false">
      <c r="A346" s="4" t="s">
        <v>1557</v>
      </c>
      <c r="B346" s="4" t="s">
        <v>1558</v>
      </c>
      <c r="C346" s="4" t="s">
        <v>1559</v>
      </c>
      <c r="D346" s="4" t="s">
        <v>1560</v>
      </c>
      <c r="E346" s="4" t="s">
        <v>50</v>
      </c>
      <c r="F346" s="4" t="s">
        <v>1561</v>
      </c>
      <c r="G346" s="4" t="s">
        <v>56</v>
      </c>
      <c r="H346" s="4" t="s">
        <v>39</v>
      </c>
      <c r="I346" s="4" t="s">
        <v>129</v>
      </c>
      <c r="J346" s="4" t="s">
        <v>30</v>
      </c>
      <c r="K346" s="4" t="s">
        <v>1562</v>
      </c>
      <c r="L346" s="4" t="str">
        <f aca="false">IF(TRIM(LOWER(E346))=TRIM(LOWER(J346)),"Match","Different")</f>
        <v>Different</v>
      </c>
    </row>
    <row r="347" customFormat="false" ht="15" hidden="false" customHeight="false" outlineLevel="0" collapsed="false">
      <c r="A347" s="4" t="s">
        <v>1563</v>
      </c>
      <c r="B347" s="4" t="s">
        <v>1564</v>
      </c>
      <c r="C347" s="4" t="s">
        <v>1565</v>
      </c>
      <c r="D347" s="4"/>
      <c r="E347" s="4" t="s">
        <v>54</v>
      </c>
      <c r="F347" s="4" t="s">
        <v>1566</v>
      </c>
      <c r="G347" s="4" t="s">
        <v>27</v>
      </c>
      <c r="H347" s="4" t="s">
        <v>39</v>
      </c>
      <c r="I347" s="4" t="s">
        <v>531</v>
      </c>
      <c r="J347" s="4" t="s">
        <v>32</v>
      </c>
      <c r="K347" s="4" t="s">
        <v>1567</v>
      </c>
      <c r="L347" s="4" t="str">
        <f aca="false">IF(TRIM(LOWER(E347))=TRIM(LOWER(J347)),"Match","Different")</f>
        <v>Different</v>
      </c>
    </row>
    <row r="348" customFormat="false" ht="15" hidden="false" customHeight="false" outlineLevel="0" collapsed="false">
      <c r="A348" s="4" t="s">
        <v>1568</v>
      </c>
      <c r="B348" s="4" t="s">
        <v>1569</v>
      </c>
      <c r="C348" s="4" t="s">
        <v>1570</v>
      </c>
      <c r="D348" s="4"/>
      <c r="E348" s="4" t="s">
        <v>341</v>
      </c>
      <c r="F348" s="4" t="s">
        <v>1571</v>
      </c>
      <c r="G348" s="4" t="s">
        <v>56</v>
      </c>
      <c r="H348" s="4" t="s">
        <v>39</v>
      </c>
      <c r="I348" s="4" t="s">
        <v>40</v>
      </c>
      <c r="J348" s="4" t="s">
        <v>50</v>
      </c>
      <c r="K348" s="4" t="s">
        <v>1570</v>
      </c>
      <c r="L348" s="4" t="str">
        <f aca="false">IF(TRIM(LOWER(E348))=TRIM(LOWER(J348)),"Match","Different")</f>
        <v>Different</v>
      </c>
    </row>
    <row r="349" customFormat="false" ht="15" hidden="false" customHeight="false" outlineLevel="0" collapsed="false">
      <c r="A349" s="4" t="s">
        <v>1572</v>
      </c>
      <c r="B349" s="4" t="s">
        <v>1573</v>
      </c>
      <c r="C349" s="4" t="s">
        <v>1574</v>
      </c>
      <c r="D349" s="4"/>
      <c r="E349" s="4" t="s">
        <v>341</v>
      </c>
      <c r="F349" s="4" t="s">
        <v>1575</v>
      </c>
      <c r="G349" s="4" t="s">
        <v>56</v>
      </c>
      <c r="H349" s="4" t="s">
        <v>39</v>
      </c>
      <c r="I349" s="4" t="s">
        <v>1576</v>
      </c>
      <c r="J349" s="4" t="s">
        <v>112</v>
      </c>
      <c r="K349" s="4" t="s">
        <v>1574</v>
      </c>
      <c r="L349" s="4" t="str">
        <f aca="false">IF(TRIM(LOWER(E349))=TRIM(LOWER(J349)),"Match","Different")</f>
        <v>Different</v>
      </c>
    </row>
    <row r="350" customFormat="false" ht="15" hidden="false" customHeight="false" outlineLevel="0" collapsed="false">
      <c r="A350" s="4" t="s">
        <v>1577</v>
      </c>
      <c r="B350" s="4" t="s">
        <v>1578</v>
      </c>
      <c r="C350" s="4" t="s">
        <v>1579</v>
      </c>
      <c r="D350" s="4"/>
      <c r="E350" s="4" t="s">
        <v>50</v>
      </c>
      <c r="F350" s="4" t="s">
        <v>1580</v>
      </c>
      <c r="G350" s="4" t="s">
        <v>56</v>
      </c>
      <c r="H350" s="4" t="s">
        <v>39</v>
      </c>
      <c r="I350" s="4" t="s">
        <v>99</v>
      </c>
      <c r="J350" s="4" t="s">
        <v>32</v>
      </c>
      <c r="K350" s="4" t="s">
        <v>1579</v>
      </c>
      <c r="L350" s="4" t="str">
        <f aca="false">IF(TRIM(LOWER(E350))=TRIM(LOWER(J350)),"Match","Different")</f>
        <v>Different</v>
      </c>
    </row>
    <row r="351" customFormat="false" ht="15" hidden="false" customHeight="false" outlineLevel="0" collapsed="false">
      <c r="A351" s="4" t="s">
        <v>1581</v>
      </c>
      <c r="B351" s="4" t="s">
        <v>1582</v>
      </c>
      <c r="C351" s="4" t="s">
        <v>1583</v>
      </c>
      <c r="D351" s="4"/>
      <c r="E351" s="4" t="s">
        <v>341</v>
      </c>
      <c r="F351" s="4" t="s">
        <v>1584</v>
      </c>
      <c r="G351" s="4" t="s">
        <v>359</v>
      </c>
      <c r="H351" s="4" t="s">
        <v>498</v>
      </c>
      <c r="I351" s="4" t="s">
        <v>1585</v>
      </c>
      <c r="J351" s="4" t="s">
        <v>100</v>
      </c>
      <c r="K351" s="4" t="s">
        <v>1583</v>
      </c>
      <c r="L351" s="4" t="str">
        <f aca="false">IF(TRIM(LOWER(E351))=TRIM(LOWER(J351)),"Match","Different")</f>
        <v>Different</v>
      </c>
    </row>
    <row r="352" customFormat="false" ht="15" hidden="false" customHeight="false" outlineLevel="0" collapsed="false">
      <c r="A352" s="4" t="s">
        <v>1586</v>
      </c>
      <c r="B352" s="4" t="s">
        <v>1587</v>
      </c>
      <c r="C352" s="4" t="s">
        <v>1588</v>
      </c>
      <c r="D352" s="4" t="s">
        <v>1589</v>
      </c>
      <c r="E352" s="4" t="s">
        <v>89</v>
      </c>
      <c r="F352" s="4" t="s">
        <v>1590</v>
      </c>
      <c r="G352" s="4" t="s">
        <v>359</v>
      </c>
      <c r="H352" s="4" t="s">
        <v>39</v>
      </c>
      <c r="I352" s="4" t="s">
        <v>129</v>
      </c>
      <c r="J352" s="4" t="s">
        <v>30</v>
      </c>
      <c r="K352" s="4" t="s">
        <v>1591</v>
      </c>
      <c r="L352" s="4" t="str">
        <f aca="false">IF(TRIM(LOWER(E352))=TRIM(LOWER(J352)),"Match","Different")</f>
        <v>Different</v>
      </c>
    </row>
    <row r="353" customFormat="false" ht="15" hidden="false" customHeight="false" outlineLevel="0" collapsed="false">
      <c r="A353" s="4" t="s">
        <v>1592</v>
      </c>
      <c r="B353" s="4" t="s">
        <v>1593</v>
      </c>
      <c r="C353" s="4" t="s">
        <v>1594</v>
      </c>
      <c r="D353" s="4"/>
      <c r="E353" s="4" t="s">
        <v>89</v>
      </c>
      <c r="F353" s="4" t="s">
        <v>1595</v>
      </c>
      <c r="G353" s="4" t="s">
        <v>291</v>
      </c>
      <c r="H353" s="4" t="s">
        <v>39</v>
      </c>
      <c r="I353" s="4" t="s">
        <v>106</v>
      </c>
      <c r="J353" s="4" t="s">
        <v>100</v>
      </c>
      <c r="K353" s="4" t="s">
        <v>1594</v>
      </c>
      <c r="L353" s="4" t="str">
        <f aca="false">IF(TRIM(LOWER(E353))=TRIM(LOWER(J353)),"Match","Different")</f>
        <v>Different</v>
      </c>
    </row>
    <row r="354" customFormat="false" ht="15" hidden="false" customHeight="false" outlineLevel="0" collapsed="false">
      <c r="A354" s="4" t="s">
        <v>1596</v>
      </c>
      <c r="B354" s="4" t="s">
        <v>1597</v>
      </c>
      <c r="C354" s="4" t="s">
        <v>1598</v>
      </c>
      <c r="D354" s="4" t="s">
        <v>1599</v>
      </c>
      <c r="E354" s="4" t="s">
        <v>25</v>
      </c>
      <c r="F354" s="4" t="s">
        <v>1600</v>
      </c>
      <c r="G354" s="4" t="s">
        <v>56</v>
      </c>
      <c r="H354" s="4" t="s">
        <v>1601</v>
      </c>
      <c r="I354" s="4" t="s">
        <v>1602</v>
      </c>
      <c r="J354" s="4" t="s">
        <v>112</v>
      </c>
      <c r="K354" s="4" t="s">
        <v>1603</v>
      </c>
      <c r="L354" s="4" t="str">
        <f aca="false">IF(TRIM(LOWER(E354))=TRIM(LOWER(J354)),"Match","Different")</f>
        <v>Different</v>
      </c>
    </row>
    <row r="355" customFormat="false" ht="15" hidden="false" customHeight="false" outlineLevel="0" collapsed="false">
      <c r="A355" s="4" t="s">
        <v>1604</v>
      </c>
      <c r="B355" s="4" t="s">
        <v>1597</v>
      </c>
      <c r="C355" s="4" t="s">
        <v>1603</v>
      </c>
      <c r="D355" s="4"/>
      <c r="E355" s="4" t="s">
        <v>25</v>
      </c>
      <c r="F355" s="4" t="s">
        <v>1600</v>
      </c>
      <c r="G355" s="4" t="s">
        <v>56</v>
      </c>
      <c r="H355" s="4" t="s">
        <v>1601</v>
      </c>
      <c r="I355" s="4" t="s">
        <v>1602</v>
      </c>
      <c r="J355" s="4" t="s">
        <v>112</v>
      </c>
      <c r="K355" s="4" t="s">
        <v>1603</v>
      </c>
      <c r="L355" s="4" t="str">
        <f aca="false">IF(TRIM(LOWER(E355))=TRIM(LOWER(J355)),"Match","Different")</f>
        <v>Different</v>
      </c>
    </row>
    <row r="356" customFormat="false" ht="15" hidden="false" customHeight="false" outlineLevel="0" collapsed="false">
      <c r="A356" s="4" t="s">
        <v>1605</v>
      </c>
      <c r="B356" s="4" t="s">
        <v>1606</v>
      </c>
      <c r="C356" s="4"/>
      <c r="D356" s="4"/>
      <c r="E356" s="4" t="s">
        <v>32</v>
      </c>
      <c r="F356" s="4" t="s">
        <v>1607</v>
      </c>
      <c r="G356" s="4" t="s">
        <v>122</v>
      </c>
      <c r="H356" s="4" t="s">
        <v>39</v>
      </c>
      <c r="I356" s="4" t="s">
        <v>99</v>
      </c>
      <c r="J356" s="4" t="s">
        <v>32</v>
      </c>
      <c r="K356" s="4" t="s">
        <v>1608</v>
      </c>
      <c r="L356" s="4" t="str">
        <f aca="false">IF(TRIM(LOWER(E356))=TRIM(LOWER(J356)),"Match","Different")</f>
        <v>Match</v>
      </c>
    </row>
    <row r="357" customFormat="false" ht="15" hidden="false" customHeight="false" outlineLevel="0" collapsed="false">
      <c r="A357" s="4" t="s">
        <v>1609</v>
      </c>
      <c r="B357" s="4" t="s">
        <v>1606</v>
      </c>
      <c r="C357" s="4" t="s">
        <v>1610</v>
      </c>
      <c r="D357" s="4" t="s">
        <v>1611</v>
      </c>
      <c r="E357" s="4" t="s">
        <v>54</v>
      </c>
      <c r="F357" s="4" t="s">
        <v>1607</v>
      </c>
      <c r="G357" s="4" t="s">
        <v>122</v>
      </c>
      <c r="H357" s="4" t="s">
        <v>39</v>
      </c>
      <c r="I357" s="4" t="s">
        <v>99</v>
      </c>
      <c r="J357" s="4" t="s">
        <v>32</v>
      </c>
      <c r="K357" s="4" t="s">
        <v>1608</v>
      </c>
      <c r="L357" s="4" t="str">
        <f aca="false">IF(TRIM(LOWER(E357))=TRIM(LOWER(J357)),"Match","Different")</f>
        <v>Different</v>
      </c>
    </row>
    <row r="358" customFormat="false" ht="15" hidden="false" customHeight="false" outlineLevel="0" collapsed="false">
      <c r="A358" s="4" t="s">
        <v>1612</v>
      </c>
      <c r="B358" s="4" t="s">
        <v>1606</v>
      </c>
      <c r="C358" s="4"/>
      <c r="D358" s="4"/>
      <c r="E358" s="4" t="s">
        <v>32</v>
      </c>
      <c r="F358" s="4" t="s">
        <v>1607</v>
      </c>
      <c r="G358" s="4" t="s">
        <v>122</v>
      </c>
      <c r="H358" s="4" t="s">
        <v>39</v>
      </c>
      <c r="I358" s="4" t="s">
        <v>99</v>
      </c>
      <c r="J358" s="4" t="s">
        <v>32</v>
      </c>
      <c r="K358" s="4" t="s">
        <v>1608</v>
      </c>
      <c r="L358" s="4" t="str">
        <f aca="false">IF(TRIM(LOWER(E358))=TRIM(LOWER(J358)),"Match","Different")</f>
        <v>Match</v>
      </c>
    </row>
    <row r="359" customFormat="false" ht="15" hidden="false" customHeight="false" outlineLevel="0" collapsed="false">
      <c r="A359" s="4" t="s">
        <v>1613</v>
      </c>
      <c r="B359" s="4" t="s">
        <v>1614</v>
      </c>
      <c r="C359" s="4" t="s">
        <v>1615</v>
      </c>
      <c r="D359" s="4" t="s">
        <v>1616</v>
      </c>
      <c r="E359" s="4" t="s">
        <v>50</v>
      </c>
      <c r="F359" s="4" t="s">
        <v>1617</v>
      </c>
      <c r="G359" s="4" t="s">
        <v>27</v>
      </c>
      <c r="H359" s="4" t="s">
        <v>66</v>
      </c>
      <c r="I359" s="4" t="s">
        <v>91</v>
      </c>
      <c r="J359" s="4" t="s">
        <v>100</v>
      </c>
      <c r="K359" s="4" t="s">
        <v>1615</v>
      </c>
      <c r="L359" s="4" t="str">
        <f aca="false">IF(TRIM(LOWER(E359))=TRIM(LOWER(J359)),"Match","Different")</f>
        <v>Different</v>
      </c>
    </row>
    <row r="360" customFormat="false" ht="15" hidden="false" customHeight="false" outlineLevel="0" collapsed="false">
      <c r="A360" s="4" t="s">
        <v>1618</v>
      </c>
      <c r="B360" s="4" t="s">
        <v>1619</v>
      </c>
      <c r="C360" s="4" t="s">
        <v>1620</v>
      </c>
      <c r="D360" s="4" t="s">
        <v>1621</v>
      </c>
      <c r="E360" s="4" t="s">
        <v>64</v>
      </c>
      <c r="F360" s="4" t="s">
        <v>1622</v>
      </c>
      <c r="G360" s="4" t="s">
        <v>98</v>
      </c>
      <c r="H360" s="4" t="s">
        <v>28</v>
      </c>
      <c r="I360" s="4" t="s">
        <v>123</v>
      </c>
      <c r="J360" s="4" t="s">
        <v>64</v>
      </c>
      <c r="K360" s="4" t="s">
        <v>1623</v>
      </c>
      <c r="L360" s="4" t="str">
        <f aca="false">IF(TRIM(LOWER(E360))=TRIM(LOWER(J360)),"Match","Different")</f>
        <v>Match</v>
      </c>
    </row>
    <row r="361" customFormat="false" ht="15" hidden="false" customHeight="false" outlineLevel="0" collapsed="false">
      <c r="A361" s="4" t="s">
        <v>1624</v>
      </c>
      <c r="B361" s="4" t="s">
        <v>1619</v>
      </c>
      <c r="C361" s="4" t="s">
        <v>1625</v>
      </c>
      <c r="D361" s="4"/>
      <c r="E361" s="4" t="s">
        <v>64</v>
      </c>
      <c r="F361" s="4" t="s">
        <v>1622</v>
      </c>
      <c r="G361" s="4" t="s">
        <v>98</v>
      </c>
      <c r="H361" s="4" t="s">
        <v>28</v>
      </c>
      <c r="I361" s="4" t="s">
        <v>123</v>
      </c>
      <c r="J361" s="4" t="s">
        <v>64</v>
      </c>
      <c r="K361" s="4" t="s">
        <v>1623</v>
      </c>
      <c r="L361" s="4" t="str">
        <f aca="false">IF(TRIM(LOWER(E361))=TRIM(LOWER(J361)),"Match","Different")</f>
        <v>Match</v>
      </c>
    </row>
    <row r="362" customFormat="false" ht="15" hidden="false" customHeight="false" outlineLevel="0" collapsed="false">
      <c r="A362" s="4" t="s">
        <v>1626</v>
      </c>
      <c r="B362" s="4" t="s">
        <v>1627</v>
      </c>
      <c r="C362" s="4" t="s">
        <v>1628</v>
      </c>
      <c r="D362" s="4" t="s">
        <v>1629</v>
      </c>
      <c r="E362" s="4" t="s">
        <v>25</v>
      </c>
      <c r="F362" s="4" t="s">
        <v>1630</v>
      </c>
      <c r="G362" s="4" t="s">
        <v>207</v>
      </c>
      <c r="H362" s="4" t="s">
        <v>39</v>
      </c>
      <c r="I362" s="4" t="s">
        <v>636</v>
      </c>
      <c r="J362" s="4" t="s">
        <v>50</v>
      </c>
      <c r="K362" s="4" t="s">
        <v>1631</v>
      </c>
      <c r="L362" s="4" t="str">
        <f aca="false">IF(TRIM(LOWER(E362))=TRIM(LOWER(J362)),"Match","Different")</f>
        <v>Different</v>
      </c>
    </row>
    <row r="363" customFormat="false" ht="15" hidden="false" customHeight="false" outlineLevel="0" collapsed="false">
      <c r="A363" s="4" t="s">
        <v>1632</v>
      </c>
      <c r="B363" s="4" t="s">
        <v>1627</v>
      </c>
      <c r="C363" s="4" t="s">
        <v>1633</v>
      </c>
      <c r="D363" s="4" t="s">
        <v>1629</v>
      </c>
      <c r="E363" s="4" t="s">
        <v>25</v>
      </c>
      <c r="F363" s="4" t="s">
        <v>1630</v>
      </c>
      <c r="G363" s="4" t="s">
        <v>207</v>
      </c>
      <c r="H363" s="4" t="s">
        <v>39</v>
      </c>
      <c r="I363" s="4" t="s">
        <v>636</v>
      </c>
      <c r="J363" s="4" t="s">
        <v>50</v>
      </c>
      <c r="K363" s="4" t="s">
        <v>1631</v>
      </c>
      <c r="L363" s="4" t="str">
        <f aca="false">IF(TRIM(LOWER(E363))=TRIM(LOWER(J363)),"Match","Different")</f>
        <v>Different</v>
      </c>
    </row>
    <row r="364" customFormat="false" ht="15" hidden="false" customHeight="false" outlineLevel="0" collapsed="false">
      <c r="A364" s="4" t="s">
        <v>1634</v>
      </c>
      <c r="B364" s="4" t="s">
        <v>1627</v>
      </c>
      <c r="C364" s="4" t="s">
        <v>1635</v>
      </c>
      <c r="D364" s="4" t="s">
        <v>1636</v>
      </c>
      <c r="E364" s="4" t="s">
        <v>25</v>
      </c>
      <c r="F364" s="4" t="s">
        <v>1630</v>
      </c>
      <c r="G364" s="4" t="s">
        <v>207</v>
      </c>
      <c r="H364" s="4" t="s">
        <v>39</v>
      </c>
      <c r="I364" s="4" t="s">
        <v>636</v>
      </c>
      <c r="J364" s="4" t="s">
        <v>50</v>
      </c>
      <c r="K364" s="4" t="s">
        <v>1631</v>
      </c>
      <c r="L364" s="4" t="str">
        <f aca="false">IF(TRIM(LOWER(E364))=TRIM(LOWER(J364)),"Match","Different")</f>
        <v>Different</v>
      </c>
    </row>
    <row r="365" customFormat="false" ht="15" hidden="false" customHeight="false" outlineLevel="0" collapsed="false">
      <c r="A365" s="4" t="s">
        <v>1637</v>
      </c>
      <c r="B365" s="4" t="s">
        <v>1638</v>
      </c>
      <c r="C365" s="4" t="s">
        <v>1639</v>
      </c>
      <c r="D365" s="4"/>
      <c r="E365" s="4" t="s">
        <v>89</v>
      </c>
      <c r="F365" s="4" t="s">
        <v>1640</v>
      </c>
      <c r="G365" s="4" t="s">
        <v>207</v>
      </c>
      <c r="H365" s="4" t="s">
        <v>39</v>
      </c>
      <c r="I365" s="4" t="s">
        <v>531</v>
      </c>
      <c r="J365" s="4" t="s">
        <v>30</v>
      </c>
      <c r="K365" s="4" t="s">
        <v>1639</v>
      </c>
      <c r="L365" s="4" t="str">
        <f aca="false">IF(TRIM(LOWER(E365))=TRIM(LOWER(J365)),"Match","Different")</f>
        <v>Different</v>
      </c>
    </row>
    <row r="366" customFormat="false" ht="15" hidden="false" customHeight="false" outlineLevel="0" collapsed="false">
      <c r="A366" s="4" t="s">
        <v>1641</v>
      </c>
      <c r="B366" s="4" t="s">
        <v>1642</v>
      </c>
      <c r="C366" s="4" t="s">
        <v>1643</v>
      </c>
      <c r="D366" s="4"/>
      <c r="E366" s="4" t="s">
        <v>50</v>
      </c>
      <c r="F366" s="4" t="s">
        <v>1644</v>
      </c>
      <c r="G366" s="4" t="s">
        <v>207</v>
      </c>
      <c r="H366" s="4" t="s">
        <v>39</v>
      </c>
      <c r="I366" s="4" t="s">
        <v>57</v>
      </c>
      <c r="J366" s="4" t="s">
        <v>50</v>
      </c>
      <c r="K366" s="4" t="s">
        <v>1645</v>
      </c>
      <c r="L366" s="4" t="str">
        <f aca="false">IF(TRIM(LOWER(E366))=TRIM(LOWER(J366)),"Match","Different")</f>
        <v>Match</v>
      </c>
    </row>
    <row r="367" customFormat="false" ht="15" hidden="false" customHeight="false" outlineLevel="0" collapsed="false">
      <c r="A367" s="4" t="s">
        <v>1646</v>
      </c>
      <c r="B367" s="4" t="s">
        <v>1642</v>
      </c>
      <c r="C367" s="4" t="s">
        <v>1647</v>
      </c>
      <c r="D367" s="4"/>
      <c r="E367" s="4" t="s">
        <v>50</v>
      </c>
      <c r="F367" s="4" t="s">
        <v>1644</v>
      </c>
      <c r="G367" s="4" t="s">
        <v>207</v>
      </c>
      <c r="H367" s="4" t="s">
        <v>39</v>
      </c>
      <c r="I367" s="4" t="s">
        <v>57</v>
      </c>
      <c r="J367" s="4" t="s">
        <v>50</v>
      </c>
      <c r="K367" s="4" t="s">
        <v>1645</v>
      </c>
      <c r="L367" s="4" t="str">
        <f aca="false">IF(TRIM(LOWER(E367))=TRIM(LOWER(J367)),"Match","Different")</f>
        <v>Match</v>
      </c>
    </row>
    <row r="368" customFormat="false" ht="15" hidden="false" customHeight="false" outlineLevel="0" collapsed="false">
      <c r="A368" s="4" t="s">
        <v>1648</v>
      </c>
      <c r="B368" s="4" t="s">
        <v>1642</v>
      </c>
      <c r="C368" s="4" t="s">
        <v>1645</v>
      </c>
      <c r="D368" s="4" t="s">
        <v>1649</v>
      </c>
      <c r="E368" s="4" t="s">
        <v>50</v>
      </c>
      <c r="F368" s="4" t="s">
        <v>1644</v>
      </c>
      <c r="G368" s="4" t="s">
        <v>207</v>
      </c>
      <c r="H368" s="4" t="s">
        <v>39</v>
      </c>
      <c r="I368" s="4" t="s">
        <v>57</v>
      </c>
      <c r="J368" s="4" t="s">
        <v>50</v>
      </c>
      <c r="K368" s="4" t="s">
        <v>1645</v>
      </c>
      <c r="L368" s="4" t="str">
        <f aca="false">IF(TRIM(LOWER(E368))=TRIM(LOWER(J368)),"Match","Different")</f>
        <v>Match</v>
      </c>
    </row>
    <row r="369" customFormat="false" ht="15" hidden="false" customHeight="false" outlineLevel="0" collapsed="false">
      <c r="A369" s="4" t="s">
        <v>1650</v>
      </c>
      <c r="B369" s="4" t="s">
        <v>1651</v>
      </c>
      <c r="C369" s="4" t="s">
        <v>1652</v>
      </c>
      <c r="D369" s="4"/>
      <c r="E369" s="4" t="s">
        <v>104</v>
      </c>
      <c r="F369" s="4" t="s">
        <v>1653</v>
      </c>
      <c r="G369" s="4" t="s">
        <v>207</v>
      </c>
      <c r="H369" s="4" t="s">
        <v>39</v>
      </c>
      <c r="I369" s="4" t="s">
        <v>208</v>
      </c>
      <c r="J369" s="4" t="s">
        <v>50</v>
      </c>
      <c r="K369" s="4" t="s">
        <v>1654</v>
      </c>
      <c r="L369" s="4" t="str">
        <f aca="false">IF(TRIM(LOWER(E369))=TRIM(LOWER(J369)),"Match","Different")</f>
        <v>Different</v>
      </c>
    </row>
    <row r="370" customFormat="false" ht="15" hidden="false" customHeight="false" outlineLevel="0" collapsed="false">
      <c r="A370" s="4" t="s">
        <v>1655</v>
      </c>
      <c r="B370" s="4" t="s">
        <v>1656</v>
      </c>
      <c r="C370" s="4" t="s">
        <v>1657</v>
      </c>
      <c r="D370" s="4" t="s">
        <v>1658</v>
      </c>
      <c r="E370" s="4" t="s">
        <v>50</v>
      </c>
      <c r="F370" s="4" t="s">
        <v>1659</v>
      </c>
      <c r="G370" s="4" t="s">
        <v>122</v>
      </c>
      <c r="H370" s="4" t="s">
        <v>39</v>
      </c>
      <c r="I370" s="4" t="s">
        <v>57</v>
      </c>
      <c r="J370" s="4" t="s">
        <v>32</v>
      </c>
      <c r="K370" s="4" t="s">
        <v>1660</v>
      </c>
      <c r="L370" s="4" t="str">
        <f aca="false">IF(TRIM(LOWER(E370))=TRIM(LOWER(J370)),"Match","Different")</f>
        <v>Different</v>
      </c>
    </row>
    <row r="371" customFormat="false" ht="15" hidden="false" customHeight="false" outlineLevel="0" collapsed="false">
      <c r="A371" s="4" t="s">
        <v>1661</v>
      </c>
      <c r="B371" s="4" t="s">
        <v>1662</v>
      </c>
      <c r="C371" s="4" t="s">
        <v>1663</v>
      </c>
      <c r="D371" s="4" t="s">
        <v>1664</v>
      </c>
      <c r="E371" s="4" t="s">
        <v>170</v>
      </c>
      <c r="F371" s="4" t="s">
        <v>1665</v>
      </c>
      <c r="G371" s="4" t="s">
        <v>27</v>
      </c>
      <c r="H371" s="4" t="s">
        <v>39</v>
      </c>
      <c r="I371" s="4" t="s">
        <v>129</v>
      </c>
      <c r="J371" s="4" t="s">
        <v>30</v>
      </c>
      <c r="K371" s="4" t="s">
        <v>1666</v>
      </c>
      <c r="L371" s="4" t="str">
        <f aca="false">IF(TRIM(LOWER(E371))=TRIM(LOWER(J371)),"Match","Different")</f>
        <v>Different</v>
      </c>
    </row>
    <row r="372" customFormat="false" ht="15" hidden="false" customHeight="false" outlineLevel="0" collapsed="false">
      <c r="A372" s="4" t="s">
        <v>1667</v>
      </c>
      <c r="B372" s="4" t="s">
        <v>1662</v>
      </c>
      <c r="C372" s="4" t="s">
        <v>1666</v>
      </c>
      <c r="D372" s="4"/>
      <c r="E372" s="4" t="s">
        <v>50</v>
      </c>
      <c r="F372" s="4" t="s">
        <v>1665</v>
      </c>
      <c r="G372" s="4" t="s">
        <v>27</v>
      </c>
      <c r="H372" s="4" t="s">
        <v>39</v>
      </c>
      <c r="I372" s="4" t="s">
        <v>129</v>
      </c>
      <c r="J372" s="4" t="s">
        <v>30</v>
      </c>
      <c r="K372" s="4" t="s">
        <v>1666</v>
      </c>
      <c r="L372" s="4" t="str">
        <f aca="false">IF(TRIM(LOWER(E372))=TRIM(LOWER(J372)),"Match","Different")</f>
        <v>Different</v>
      </c>
    </row>
    <row r="373" customFormat="false" ht="15" hidden="false" customHeight="false" outlineLevel="0" collapsed="false">
      <c r="A373" s="4" t="s">
        <v>1668</v>
      </c>
      <c r="B373" s="4" t="s">
        <v>1669</v>
      </c>
      <c r="C373" s="4"/>
      <c r="D373" s="4"/>
      <c r="E373" s="4" t="s">
        <v>32</v>
      </c>
      <c r="F373" s="4" t="s">
        <v>1670</v>
      </c>
      <c r="G373" s="4" t="s">
        <v>27</v>
      </c>
      <c r="H373" s="4" t="s">
        <v>66</v>
      </c>
      <c r="I373" s="4" t="s">
        <v>536</v>
      </c>
      <c r="J373" s="4" t="s">
        <v>32</v>
      </c>
      <c r="K373" s="4" t="s">
        <v>1671</v>
      </c>
      <c r="L373" s="4" t="str">
        <f aca="false">IF(TRIM(LOWER(E373))=TRIM(LOWER(J373)),"Match","Different")</f>
        <v>Match</v>
      </c>
    </row>
    <row r="374" customFormat="false" ht="15" hidden="false" customHeight="false" outlineLevel="0" collapsed="false">
      <c r="A374" s="4" t="s">
        <v>1672</v>
      </c>
      <c r="B374" s="4" t="s">
        <v>1669</v>
      </c>
      <c r="C374" s="4"/>
      <c r="D374" s="4"/>
      <c r="E374" s="4" t="s">
        <v>383</v>
      </c>
      <c r="F374" s="4" t="s">
        <v>1670</v>
      </c>
      <c r="G374" s="4" t="s">
        <v>27</v>
      </c>
      <c r="H374" s="4" t="s">
        <v>66</v>
      </c>
      <c r="I374" s="4" t="s">
        <v>536</v>
      </c>
      <c r="J374" s="4" t="s">
        <v>32</v>
      </c>
      <c r="K374" s="4" t="s">
        <v>1671</v>
      </c>
      <c r="L374" s="4" t="str">
        <f aca="false">IF(TRIM(LOWER(E374))=TRIM(LOWER(J374)),"Match","Different")</f>
        <v>Different</v>
      </c>
    </row>
    <row r="375" customFormat="false" ht="15" hidden="false" customHeight="false" outlineLevel="0" collapsed="false">
      <c r="A375" s="4" t="s">
        <v>1673</v>
      </c>
      <c r="B375" s="4" t="s">
        <v>1674</v>
      </c>
      <c r="C375" s="4" t="s">
        <v>1675</v>
      </c>
      <c r="D375" s="4"/>
      <c r="E375" s="4" t="s">
        <v>50</v>
      </c>
      <c r="F375" s="4" t="s">
        <v>1676</v>
      </c>
      <c r="G375" s="4" t="s">
        <v>122</v>
      </c>
      <c r="H375" s="4" t="s">
        <v>66</v>
      </c>
      <c r="I375" s="4" t="s">
        <v>536</v>
      </c>
      <c r="J375" s="4" t="s">
        <v>100</v>
      </c>
      <c r="K375" s="4" t="s">
        <v>1675</v>
      </c>
      <c r="L375" s="4" t="str">
        <f aca="false">IF(TRIM(LOWER(E375))=TRIM(LOWER(J375)),"Match","Different")</f>
        <v>Different</v>
      </c>
    </row>
    <row r="376" customFormat="false" ht="15" hidden="false" customHeight="false" outlineLevel="0" collapsed="false">
      <c r="A376" s="4" t="s">
        <v>1677</v>
      </c>
      <c r="B376" s="4" t="s">
        <v>1678</v>
      </c>
      <c r="C376" s="4" t="s">
        <v>1679</v>
      </c>
      <c r="D376" s="4" t="s">
        <v>1680</v>
      </c>
      <c r="E376" s="4" t="s">
        <v>104</v>
      </c>
      <c r="F376" s="4" t="s">
        <v>1681</v>
      </c>
      <c r="G376" s="4" t="s">
        <v>38</v>
      </c>
      <c r="H376" s="4" t="s">
        <v>39</v>
      </c>
      <c r="I376" s="4" t="s">
        <v>1219</v>
      </c>
      <c r="J376" s="4" t="s">
        <v>104</v>
      </c>
      <c r="K376" s="4" t="s">
        <v>1682</v>
      </c>
      <c r="L376" s="4" t="str">
        <f aca="false">IF(TRIM(LOWER(E376))=TRIM(LOWER(J376)),"Match","Different")</f>
        <v>Match</v>
      </c>
    </row>
    <row r="377" customFormat="false" ht="15" hidden="false" customHeight="false" outlineLevel="0" collapsed="false">
      <c r="A377" s="4" t="s">
        <v>1683</v>
      </c>
      <c r="B377" s="4" t="s">
        <v>1684</v>
      </c>
      <c r="C377" s="4"/>
      <c r="D377" s="4"/>
      <c r="E377" s="4" t="s">
        <v>89</v>
      </c>
      <c r="F377" s="4" t="s">
        <v>1685</v>
      </c>
      <c r="G377" s="4" t="s">
        <v>47</v>
      </c>
      <c r="H377" s="4" t="s">
        <v>39</v>
      </c>
      <c r="I377" s="4" t="s">
        <v>99</v>
      </c>
      <c r="J377" s="4" t="s">
        <v>100</v>
      </c>
      <c r="K377" s="4" t="s">
        <v>1686</v>
      </c>
      <c r="L377" s="4" t="str">
        <f aca="false">IF(TRIM(LOWER(E377))=TRIM(LOWER(J377)),"Match","Different")</f>
        <v>Different</v>
      </c>
    </row>
    <row r="378" customFormat="false" ht="15" hidden="false" customHeight="false" outlineLevel="0" collapsed="false">
      <c r="A378" s="4" t="s">
        <v>1687</v>
      </c>
      <c r="B378" s="4" t="s">
        <v>1688</v>
      </c>
      <c r="C378" s="4"/>
      <c r="D378" s="4" t="s">
        <v>1689</v>
      </c>
      <c r="E378" s="4" t="s">
        <v>32</v>
      </c>
      <c r="F378" s="4" t="s">
        <v>1690</v>
      </c>
      <c r="G378" s="4" t="s">
        <v>359</v>
      </c>
      <c r="H378" s="4" t="s">
        <v>498</v>
      </c>
      <c r="I378" s="4" t="s">
        <v>91</v>
      </c>
      <c r="J378" s="4" t="s">
        <v>30</v>
      </c>
      <c r="K378" s="4" t="s">
        <v>1691</v>
      </c>
      <c r="L378" s="4" t="str">
        <f aca="false">IF(TRIM(LOWER(E378))=TRIM(LOWER(J378)),"Match","Different")</f>
        <v>Different</v>
      </c>
    </row>
    <row r="379" customFormat="false" ht="15" hidden="false" customHeight="false" outlineLevel="0" collapsed="false">
      <c r="A379" s="4" t="s">
        <v>1692</v>
      </c>
      <c r="B379" s="4" t="s">
        <v>1688</v>
      </c>
      <c r="C379" s="4" t="s">
        <v>1693</v>
      </c>
      <c r="D379" s="4"/>
      <c r="E379" s="4" t="s">
        <v>341</v>
      </c>
      <c r="F379" s="4" t="s">
        <v>1690</v>
      </c>
      <c r="G379" s="4" t="s">
        <v>359</v>
      </c>
      <c r="H379" s="4" t="s">
        <v>498</v>
      </c>
      <c r="I379" s="4" t="s">
        <v>91</v>
      </c>
      <c r="J379" s="4" t="s">
        <v>30</v>
      </c>
      <c r="K379" s="4" t="s">
        <v>1691</v>
      </c>
      <c r="L379" s="4" t="str">
        <f aca="false">IF(TRIM(LOWER(E379))=TRIM(LOWER(J379)),"Match","Different")</f>
        <v>Different</v>
      </c>
    </row>
    <row r="380" customFormat="false" ht="15" hidden="false" customHeight="false" outlineLevel="0" collapsed="false">
      <c r="A380" s="4" t="s">
        <v>1694</v>
      </c>
      <c r="B380" s="4" t="s">
        <v>1695</v>
      </c>
      <c r="C380" s="4" t="s">
        <v>1696</v>
      </c>
      <c r="D380" s="4" t="s">
        <v>1697</v>
      </c>
      <c r="E380" s="4" t="s">
        <v>104</v>
      </c>
      <c r="F380" s="4" t="s">
        <v>1698</v>
      </c>
      <c r="G380" s="4" t="s">
        <v>1319</v>
      </c>
      <c r="H380" s="4" t="s">
        <v>66</v>
      </c>
      <c r="I380" s="4" t="s">
        <v>942</v>
      </c>
      <c r="J380" s="4" t="s">
        <v>104</v>
      </c>
      <c r="K380" s="4" t="s">
        <v>1699</v>
      </c>
      <c r="L380" s="4" t="str">
        <f aca="false">IF(TRIM(LOWER(E380))=TRIM(LOWER(J380)),"Match","Different")</f>
        <v>Match</v>
      </c>
    </row>
    <row r="381" customFormat="false" ht="15" hidden="false" customHeight="false" outlineLevel="0" collapsed="false">
      <c r="A381" s="4" t="s">
        <v>1700</v>
      </c>
      <c r="B381" s="4" t="s">
        <v>1695</v>
      </c>
      <c r="C381" s="4" t="s">
        <v>1701</v>
      </c>
      <c r="D381" s="4"/>
      <c r="E381" s="4" t="s">
        <v>104</v>
      </c>
      <c r="F381" s="4" t="s">
        <v>1698</v>
      </c>
      <c r="G381" s="4" t="s">
        <v>1319</v>
      </c>
      <c r="H381" s="4" t="s">
        <v>66</v>
      </c>
      <c r="I381" s="4" t="s">
        <v>942</v>
      </c>
      <c r="J381" s="4" t="s">
        <v>104</v>
      </c>
      <c r="K381" s="4" t="s">
        <v>1699</v>
      </c>
      <c r="L381" s="4" t="str">
        <f aca="false">IF(TRIM(LOWER(E381))=TRIM(LOWER(J381)),"Match","Different")</f>
        <v>Match</v>
      </c>
    </row>
    <row r="382" customFormat="false" ht="15" hidden="false" customHeight="false" outlineLevel="0" collapsed="false">
      <c r="A382" s="4" t="s">
        <v>1702</v>
      </c>
      <c r="B382" s="4" t="s">
        <v>1703</v>
      </c>
      <c r="C382" s="4" t="s">
        <v>1704</v>
      </c>
      <c r="D382" s="4" t="s">
        <v>1705</v>
      </c>
      <c r="E382" s="4" t="s">
        <v>54</v>
      </c>
      <c r="F382" s="4" t="s">
        <v>1706</v>
      </c>
      <c r="G382" s="4" t="s">
        <v>291</v>
      </c>
      <c r="H382" s="4" t="s">
        <v>66</v>
      </c>
      <c r="I382" s="4" t="s">
        <v>531</v>
      </c>
      <c r="J382" s="4" t="s">
        <v>92</v>
      </c>
      <c r="K382" s="4" t="s">
        <v>1707</v>
      </c>
      <c r="L382" s="4" t="str">
        <f aca="false">IF(TRIM(LOWER(E382))=TRIM(LOWER(J382)),"Match","Different")</f>
        <v>Different</v>
      </c>
    </row>
    <row r="383" customFormat="false" ht="15" hidden="false" customHeight="false" outlineLevel="0" collapsed="false">
      <c r="A383" s="4" t="s">
        <v>1708</v>
      </c>
      <c r="B383" s="4" t="s">
        <v>1709</v>
      </c>
      <c r="C383" s="4" t="s">
        <v>1710</v>
      </c>
      <c r="D383" s="4" t="s">
        <v>1711</v>
      </c>
      <c r="E383" s="4" t="s">
        <v>50</v>
      </c>
      <c r="F383" s="4" t="s">
        <v>1712</v>
      </c>
      <c r="G383" s="4" t="s">
        <v>207</v>
      </c>
      <c r="H383" s="4" t="s">
        <v>66</v>
      </c>
      <c r="I383" s="4" t="s">
        <v>297</v>
      </c>
      <c r="J383" s="4" t="s">
        <v>100</v>
      </c>
      <c r="K383" s="4" t="s">
        <v>1713</v>
      </c>
      <c r="L383" s="4" t="str">
        <f aca="false">IF(TRIM(LOWER(E383))=TRIM(LOWER(J383)),"Match","Different")</f>
        <v>Different</v>
      </c>
    </row>
    <row r="384" customFormat="false" ht="15" hidden="false" customHeight="false" outlineLevel="0" collapsed="false">
      <c r="A384" s="4" t="s">
        <v>1714</v>
      </c>
      <c r="B384" s="4" t="s">
        <v>1709</v>
      </c>
      <c r="C384" s="4"/>
      <c r="D384" s="4"/>
      <c r="E384" s="4" t="s">
        <v>32</v>
      </c>
      <c r="F384" s="4" t="s">
        <v>1712</v>
      </c>
      <c r="G384" s="4" t="s">
        <v>207</v>
      </c>
      <c r="H384" s="4" t="s">
        <v>66</v>
      </c>
      <c r="I384" s="4" t="s">
        <v>297</v>
      </c>
      <c r="J384" s="4" t="s">
        <v>100</v>
      </c>
      <c r="K384" s="4" t="s">
        <v>1713</v>
      </c>
      <c r="L384" s="4" t="str">
        <f aca="false">IF(TRIM(LOWER(E384))=TRIM(LOWER(J384)),"Match","Different")</f>
        <v>Different</v>
      </c>
    </row>
    <row r="385" customFormat="false" ht="15" hidden="false" customHeight="false" outlineLevel="0" collapsed="false">
      <c r="A385" s="4" t="s">
        <v>1715</v>
      </c>
      <c r="B385" s="4" t="s">
        <v>1716</v>
      </c>
      <c r="C385" s="4" t="s">
        <v>1717</v>
      </c>
      <c r="D385" s="4" t="s">
        <v>1718</v>
      </c>
      <c r="E385" s="4" t="s">
        <v>89</v>
      </c>
      <c r="F385" s="4" t="s">
        <v>1719</v>
      </c>
      <c r="G385" s="4" t="s">
        <v>56</v>
      </c>
      <c r="H385" s="4" t="s">
        <v>39</v>
      </c>
      <c r="I385" s="4" t="s">
        <v>99</v>
      </c>
      <c r="J385" s="4" t="s">
        <v>30</v>
      </c>
      <c r="K385" s="4" t="s">
        <v>1720</v>
      </c>
      <c r="L385" s="4" t="str">
        <f aca="false">IF(TRIM(LOWER(E385))=TRIM(LOWER(J385)),"Match","Different")</f>
        <v>Different</v>
      </c>
    </row>
    <row r="386" customFormat="false" ht="15" hidden="false" customHeight="false" outlineLevel="0" collapsed="false">
      <c r="A386" s="4" t="s">
        <v>1721</v>
      </c>
      <c r="B386" s="4" t="s">
        <v>1722</v>
      </c>
      <c r="C386" s="4" t="s">
        <v>1723</v>
      </c>
      <c r="D386" s="4"/>
      <c r="E386" s="4" t="s">
        <v>54</v>
      </c>
      <c r="F386" s="4" t="s">
        <v>1724</v>
      </c>
      <c r="G386" s="4" t="s">
        <v>38</v>
      </c>
      <c r="H386" s="4" t="s">
        <v>28</v>
      </c>
      <c r="I386" s="4" t="s">
        <v>123</v>
      </c>
      <c r="J386" s="4" t="s">
        <v>32</v>
      </c>
      <c r="K386" s="4" t="s">
        <v>1725</v>
      </c>
      <c r="L386" s="4" t="str">
        <f aca="false">IF(TRIM(LOWER(E386))=TRIM(LOWER(J386)),"Match","Different")</f>
        <v>Different</v>
      </c>
    </row>
    <row r="387" customFormat="false" ht="15" hidden="false" customHeight="false" outlineLevel="0" collapsed="false">
      <c r="A387" s="4" t="s">
        <v>1726</v>
      </c>
      <c r="B387" s="4" t="s">
        <v>1727</v>
      </c>
      <c r="C387" s="4" t="s">
        <v>1728</v>
      </c>
      <c r="D387" s="4" t="s">
        <v>1729</v>
      </c>
      <c r="E387" s="4" t="s">
        <v>64</v>
      </c>
      <c r="F387" s="4" t="s">
        <v>1730</v>
      </c>
      <c r="G387" s="4" t="s">
        <v>688</v>
      </c>
      <c r="H387" s="4" t="s">
        <v>39</v>
      </c>
      <c r="I387" s="4" t="s">
        <v>129</v>
      </c>
      <c r="J387" s="4" t="s">
        <v>64</v>
      </c>
      <c r="K387" s="4" t="s">
        <v>1731</v>
      </c>
      <c r="L387" s="4" t="str">
        <f aca="false">IF(TRIM(LOWER(E387))=TRIM(LOWER(J387)),"Match","Different")</f>
        <v>Match</v>
      </c>
    </row>
    <row r="388" customFormat="false" ht="15" hidden="false" customHeight="false" outlineLevel="0" collapsed="false">
      <c r="A388" s="4" t="s">
        <v>1732</v>
      </c>
      <c r="B388" s="4" t="s">
        <v>1733</v>
      </c>
      <c r="C388" s="4" t="s">
        <v>1734</v>
      </c>
      <c r="D388" s="4"/>
      <c r="E388" s="4" t="s">
        <v>50</v>
      </c>
      <c r="F388" s="4" t="s">
        <v>1735</v>
      </c>
      <c r="G388" s="4" t="s">
        <v>207</v>
      </c>
      <c r="H388" s="4" t="s">
        <v>39</v>
      </c>
      <c r="I388" s="4" t="s">
        <v>57</v>
      </c>
      <c r="J388" s="4" t="s">
        <v>50</v>
      </c>
      <c r="K388" s="4" t="s">
        <v>1736</v>
      </c>
      <c r="L388" s="4" t="str">
        <f aca="false">IF(TRIM(LOWER(E388))=TRIM(LOWER(J388)),"Match","Different")</f>
        <v>Match</v>
      </c>
    </row>
    <row r="389" customFormat="false" ht="15" hidden="false" customHeight="false" outlineLevel="0" collapsed="false">
      <c r="A389" s="4" t="s">
        <v>1737</v>
      </c>
      <c r="B389" s="4" t="s">
        <v>1738</v>
      </c>
      <c r="C389" s="4" t="s">
        <v>1739</v>
      </c>
      <c r="D389" s="4" t="s">
        <v>1740</v>
      </c>
      <c r="E389" s="4" t="s">
        <v>89</v>
      </c>
      <c r="F389" s="4" t="s">
        <v>1741</v>
      </c>
      <c r="G389" s="4" t="s">
        <v>128</v>
      </c>
      <c r="H389" s="4" t="s">
        <v>39</v>
      </c>
      <c r="I389" s="4" t="s">
        <v>208</v>
      </c>
      <c r="J389" s="4" t="s">
        <v>92</v>
      </c>
      <c r="K389" s="4" t="s">
        <v>1742</v>
      </c>
      <c r="L389" s="4" t="str">
        <f aca="false">IF(TRIM(LOWER(E389))=TRIM(LOWER(J389)),"Match","Different")</f>
        <v>Different</v>
      </c>
    </row>
    <row r="390" customFormat="false" ht="15" hidden="false" customHeight="false" outlineLevel="0" collapsed="false">
      <c r="A390" s="4" t="s">
        <v>1743</v>
      </c>
      <c r="B390" s="4" t="s">
        <v>1744</v>
      </c>
      <c r="C390" s="4" t="s">
        <v>1745</v>
      </c>
      <c r="D390" s="4"/>
      <c r="E390" s="4" t="s">
        <v>54</v>
      </c>
      <c r="F390" s="4" t="s">
        <v>1746</v>
      </c>
      <c r="G390" s="4" t="s">
        <v>27</v>
      </c>
      <c r="H390" s="4" t="s">
        <v>39</v>
      </c>
      <c r="I390" s="4" t="s">
        <v>99</v>
      </c>
      <c r="J390" s="4" t="s">
        <v>100</v>
      </c>
      <c r="K390" s="4" t="s">
        <v>1745</v>
      </c>
      <c r="L390" s="4" t="str">
        <f aca="false">IF(TRIM(LOWER(E390))=TRIM(LOWER(J390)),"Match","Different")</f>
        <v>Different</v>
      </c>
    </row>
    <row r="391" customFormat="false" ht="15" hidden="false" customHeight="false" outlineLevel="0" collapsed="false">
      <c r="A391" s="4" t="s">
        <v>1747</v>
      </c>
      <c r="B391" s="4" t="s">
        <v>1748</v>
      </c>
      <c r="C391" s="4" t="s">
        <v>1749</v>
      </c>
      <c r="D391" s="4" t="s">
        <v>1750</v>
      </c>
      <c r="E391" s="4" t="s">
        <v>64</v>
      </c>
      <c r="F391" s="4" t="s">
        <v>1751</v>
      </c>
      <c r="G391" s="4" t="s">
        <v>359</v>
      </c>
      <c r="H391" s="4" t="s">
        <v>39</v>
      </c>
      <c r="I391" s="4" t="s">
        <v>99</v>
      </c>
      <c r="J391" s="4" t="s">
        <v>100</v>
      </c>
      <c r="K391" s="4" t="s">
        <v>1752</v>
      </c>
      <c r="L391" s="4" t="str">
        <f aca="false">IF(TRIM(LOWER(E391))=TRIM(LOWER(J391)),"Match","Different")</f>
        <v>Different</v>
      </c>
    </row>
    <row r="392" customFormat="false" ht="15" hidden="false" customHeight="false" outlineLevel="0" collapsed="false">
      <c r="A392" s="4" t="s">
        <v>1753</v>
      </c>
      <c r="B392" s="4" t="s">
        <v>1748</v>
      </c>
      <c r="C392" s="4" t="s">
        <v>1752</v>
      </c>
      <c r="D392" s="4" t="s">
        <v>1754</v>
      </c>
      <c r="E392" s="4" t="s">
        <v>64</v>
      </c>
      <c r="F392" s="4" t="s">
        <v>1751</v>
      </c>
      <c r="G392" s="4" t="s">
        <v>359</v>
      </c>
      <c r="H392" s="4" t="s">
        <v>39</v>
      </c>
      <c r="I392" s="4" t="s">
        <v>99</v>
      </c>
      <c r="J392" s="4" t="s">
        <v>100</v>
      </c>
      <c r="K392" s="4" t="s">
        <v>1752</v>
      </c>
      <c r="L392" s="4" t="str">
        <f aca="false">IF(TRIM(LOWER(E392))=TRIM(LOWER(J392)),"Match","Different")</f>
        <v>Different</v>
      </c>
    </row>
    <row r="393" customFormat="false" ht="15" hidden="false" customHeight="false" outlineLevel="0" collapsed="false">
      <c r="A393" s="4" t="s">
        <v>1753</v>
      </c>
      <c r="B393" s="4" t="s">
        <v>1748</v>
      </c>
      <c r="C393" s="4" t="s">
        <v>1755</v>
      </c>
      <c r="D393" s="4" t="s">
        <v>1754</v>
      </c>
      <c r="E393" s="4" t="s">
        <v>64</v>
      </c>
      <c r="F393" s="4" t="s">
        <v>1751</v>
      </c>
      <c r="G393" s="4" t="s">
        <v>359</v>
      </c>
      <c r="H393" s="4" t="s">
        <v>39</v>
      </c>
      <c r="I393" s="4" t="s">
        <v>99</v>
      </c>
      <c r="J393" s="4" t="s">
        <v>100</v>
      </c>
      <c r="K393" s="4" t="s">
        <v>1752</v>
      </c>
      <c r="L393" s="4" t="str">
        <f aca="false">IF(TRIM(LOWER(E393))=TRIM(LOWER(J393)),"Match","Different")</f>
        <v>Different</v>
      </c>
    </row>
    <row r="394" customFormat="false" ht="15" hidden="false" customHeight="false" outlineLevel="0" collapsed="false">
      <c r="A394" s="4" t="s">
        <v>1756</v>
      </c>
      <c r="B394" s="4" t="s">
        <v>1757</v>
      </c>
      <c r="C394" s="4"/>
      <c r="D394" s="4" t="s">
        <v>1758</v>
      </c>
      <c r="E394" s="4" t="s">
        <v>25</v>
      </c>
      <c r="F394" s="4" t="s">
        <v>1759</v>
      </c>
      <c r="G394" s="4" t="s">
        <v>136</v>
      </c>
      <c r="H394" s="4" t="s">
        <v>39</v>
      </c>
      <c r="I394" s="4" t="s">
        <v>57</v>
      </c>
      <c r="J394" s="4" t="s">
        <v>32</v>
      </c>
      <c r="K394" s="4" t="s">
        <v>1760</v>
      </c>
      <c r="L394" s="4" t="str">
        <f aca="false">IF(TRIM(LOWER(E394))=TRIM(LOWER(J394)),"Match","Different")</f>
        <v>Different</v>
      </c>
    </row>
    <row r="395" customFormat="false" ht="15" hidden="false" customHeight="false" outlineLevel="0" collapsed="false">
      <c r="A395" s="4" t="s">
        <v>1761</v>
      </c>
      <c r="B395" s="4" t="s">
        <v>1757</v>
      </c>
      <c r="C395" s="4" t="s">
        <v>1760</v>
      </c>
      <c r="D395" s="4" t="s">
        <v>1758</v>
      </c>
      <c r="E395" s="4" t="s">
        <v>25</v>
      </c>
      <c r="F395" s="4" t="s">
        <v>1759</v>
      </c>
      <c r="G395" s="4" t="s">
        <v>136</v>
      </c>
      <c r="H395" s="4" t="s">
        <v>39</v>
      </c>
      <c r="I395" s="4" t="s">
        <v>57</v>
      </c>
      <c r="J395" s="4" t="s">
        <v>32</v>
      </c>
      <c r="K395" s="4" t="s">
        <v>1760</v>
      </c>
      <c r="L395" s="4" t="str">
        <f aca="false">IF(TRIM(LOWER(E395))=TRIM(LOWER(J395)),"Match","Different")</f>
        <v>Different</v>
      </c>
    </row>
    <row r="396" customFormat="false" ht="15" hidden="false" customHeight="false" outlineLevel="0" collapsed="false">
      <c r="A396" s="4" t="s">
        <v>1762</v>
      </c>
      <c r="B396" s="4" t="s">
        <v>1763</v>
      </c>
      <c r="C396" s="4" t="s">
        <v>1764</v>
      </c>
      <c r="D396" s="4"/>
      <c r="E396" s="4" t="s">
        <v>45</v>
      </c>
      <c r="F396" s="4" t="s">
        <v>1765</v>
      </c>
      <c r="G396" s="4" t="s">
        <v>513</v>
      </c>
      <c r="H396" s="4" t="s">
        <v>66</v>
      </c>
      <c r="I396" s="4" t="s">
        <v>993</v>
      </c>
      <c r="J396" s="4" t="s">
        <v>100</v>
      </c>
      <c r="K396" s="4" t="s">
        <v>1764</v>
      </c>
      <c r="L396" s="4" t="str">
        <f aca="false">IF(TRIM(LOWER(E396))=TRIM(LOWER(J396)),"Match","Different")</f>
        <v>Different</v>
      </c>
    </row>
    <row r="397" customFormat="false" ht="15" hidden="false" customHeight="false" outlineLevel="0" collapsed="false">
      <c r="A397" s="4" t="s">
        <v>1766</v>
      </c>
      <c r="B397" s="4" t="s">
        <v>1767</v>
      </c>
      <c r="C397" s="4" t="s">
        <v>1768</v>
      </c>
      <c r="D397" s="4"/>
      <c r="E397" s="4" t="s">
        <v>54</v>
      </c>
      <c r="F397" s="4" t="s">
        <v>1769</v>
      </c>
      <c r="G397" s="4" t="s">
        <v>47</v>
      </c>
      <c r="H397" s="4" t="s">
        <v>39</v>
      </c>
      <c r="I397" s="4" t="s">
        <v>1770</v>
      </c>
      <c r="J397" s="4" t="s">
        <v>58</v>
      </c>
      <c r="K397" s="4" t="s">
        <v>1768</v>
      </c>
      <c r="L397" s="4" t="str">
        <f aca="false">IF(TRIM(LOWER(E397))=TRIM(LOWER(J397)),"Match","Different")</f>
        <v>Different</v>
      </c>
    </row>
    <row r="398" customFormat="false" ht="15" hidden="false" customHeight="false" outlineLevel="0" collapsed="false">
      <c r="A398" s="4" t="s">
        <v>658</v>
      </c>
      <c r="B398" s="4" t="s">
        <v>1771</v>
      </c>
      <c r="C398" s="4"/>
      <c r="D398" s="4" t="s">
        <v>1772</v>
      </c>
      <c r="E398" s="4" t="s">
        <v>383</v>
      </c>
      <c r="F398" s="4" t="s">
        <v>1773</v>
      </c>
      <c r="G398" s="4" t="s">
        <v>56</v>
      </c>
      <c r="H398" s="4" t="s">
        <v>39</v>
      </c>
      <c r="I398" s="4" t="s">
        <v>99</v>
      </c>
      <c r="J398" s="4" t="s">
        <v>64</v>
      </c>
      <c r="K398" s="4" t="s">
        <v>1774</v>
      </c>
      <c r="L398" s="4" t="str">
        <f aca="false">IF(TRIM(LOWER(E398))=TRIM(LOWER(J398)),"Match","Different")</f>
        <v>Different</v>
      </c>
    </row>
    <row r="399" customFormat="false" ht="15" hidden="false" customHeight="false" outlineLevel="0" collapsed="false">
      <c r="A399" s="4" t="s">
        <v>1775</v>
      </c>
      <c r="B399" s="4" t="s">
        <v>1771</v>
      </c>
      <c r="C399" s="4" t="s">
        <v>1774</v>
      </c>
      <c r="D399" s="4"/>
      <c r="E399" s="4" t="s">
        <v>64</v>
      </c>
      <c r="F399" s="4" t="s">
        <v>1773</v>
      </c>
      <c r="G399" s="4" t="s">
        <v>56</v>
      </c>
      <c r="H399" s="4" t="s">
        <v>39</v>
      </c>
      <c r="I399" s="4" t="s">
        <v>99</v>
      </c>
      <c r="J399" s="4" t="s">
        <v>64</v>
      </c>
      <c r="K399" s="4" t="s">
        <v>1774</v>
      </c>
      <c r="L399" s="4" t="str">
        <f aca="false">IF(TRIM(LOWER(E399))=TRIM(LOWER(J399)),"Match","Different")</f>
        <v>Match</v>
      </c>
    </row>
    <row r="400" customFormat="false" ht="15" hidden="false" customHeight="false" outlineLevel="0" collapsed="false">
      <c r="A400" s="4" t="s">
        <v>1776</v>
      </c>
      <c r="B400" s="4" t="s">
        <v>1771</v>
      </c>
      <c r="C400" s="4" t="s">
        <v>1777</v>
      </c>
      <c r="D400" s="4" t="s">
        <v>1778</v>
      </c>
      <c r="E400" s="4" t="s">
        <v>64</v>
      </c>
      <c r="F400" s="4" t="s">
        <v>1773</v>
      </c>
      <c r="G400" s="4" t="s">
        <v>56</v>
      </c>
      <c r="H400" s="4" t="s">
        <v>39</v>
      </c>
      <c r="I400" s="4" t="s">
        <v>99</v>
      </c>
      <c r="J400" s="4" t="s">
        <v>64</v>
      </c>
      <c r="K400" s="4" t="s">
        <v>1774</v>
      </c>
      <c r="L400" s="4" t="str">
        <f aca="false">IF(TRIM(LOWER(E400))=TRIM(LOWER(J400)),"Match","Different")</f>
        <v>Match</v>
      </c>
    </row>
    <row r="401" customFormat="false" ht="15" hidden="false" customHeight="false" outlineLevel="0" collapsed="false">
      <c r="A401" s="4" t="s">
        <v>1779</v>
      </c>
      <c r="B401" s="4" t="s">
        <v>1771</v>
      </c>
      <c r="C401" s="4" t="s">
        <v>1780</v>
      </c>
      <c r="D401" s="4" t="s">
        <v>1778</v>
      </c>
      <c r="E401" s="4" t="s">
        <v>64</v>
      </c>
      <c r="F401" s="4" t="s">
        <v>1773</v>
      </c>
      <c r="G401" s="4" t="s">
        <v>56</v>
      </c>
      <c r="H401" s="4" t="s">
        <v>39</v>
      </c>
      <c r="I401" s="4" t="s">
        <v>99</v>
      </c>
      <c r="J401" s="4" t="s">
        <v>64</v>
      </c>
      <c r="K401" s="4" t="s">
        <v>1774</v>
      </c>
      <c r="L401" s="4" t="str">
        <f aca="false">IF(TRIM(LOWER(E401))=TRIM(LOWER(J401)),"Match","Different")</f>
        <v>Match</v>
      </c>
    </row>
    <row r="402" customFormat="false" ht="15" hidden="false" customHeight="false" outlineLevel="0" collapsed="false">
      <c r="A402" s="4" t="s">
        <v>1781</v>
      </c>
      <c r="B402" s="4" t="s">
        <v>1782</v>
      </c>
      <c r="C402" s="4" t="s">
        <v>1783</v>
      </c>
      <c r="D402" s="4" t="s">
        <v>1784</v>
      </c>
      <c r="E402" s="4" t="s">
        <v>89</v>
      </c>
      <c r="F402" s="4" t="s">
        <v>1785</v>
      </c>
      <c r="G402" s="4" t="s">
        <v>1324</v>
      </c>
      <c r="H402" s="4" t="s">
        <v>66</v>
      </c>
      <c r="I402" s="4" t="s">
        <v>91</v>
      </c>
      <c r="J402" s="4" t="s">
        <v>92</v>
      </c>
      <c r="K402" s="4" t="s">
        <v>1786</v>
      </c>
      <c r="L402" s="4" t="str">
        <f aca="false">IF(TRIM(LOWER(E402))=TRIM(LOWER(J402)),"Match","Different")</f>
        <v>Different</v>
      </c>
    </row>
    <row r="403" customFormat="false" ht="15" hidden="false" customHeight="false" outlineLevel="0" collapsed="false">
      <c r="A403" s="4" t="s">
        <v>1787</v>
      </c>
      <c r="B403" s="4" t="s">
        <v>1782</v>
      </c>
      <c r="C403" s="4"/>
      <c r="D403" s="4" t="s">
        <v>1784</v>
      </c>
      <c r="E403" s="4" t="s">
        <v>170</v>
      </c>
      <c r="F403" s="4" t="s">
        <v>1785</v>
      </c>
      <c r="G403" s="4" t="s">
        <v>1324</v>
      </c>
      <c r="H403" s="4" t="s">
        <v>66</v>
      </c>
      <c r="I403" s="4" t="s">
        <v>91</v>
      </c>
      <c r="J403" s="4" t="s">
        <v>92</v>
      </c>
      <c r="K403" s="4" t="s">
        <v>1786</v>
      </c>
      <c r="L403" s="4" t="str">
        <f aca="false">IF(TRIM(LOWER(E403))=TRIM(LOWER(J403)),"Match","Different")</f>
        <v>Different</v>
      </c>
    </row>
    <row r="404" customFormat="false" ht="15" hidden="false" customHeight="false" outlineLevel="0" collapsed="false">
      <c r="A404" s="4" t="s">
        <v>1788</v>
      </c>
      <c r="B404" s="4" t="s">
        <v>1782</v>
      </c>
      <c r="C404" s="4"/>
      <c r="D404" s="4" t="s">
        <v>1789</v>
      </c>
      <c r="E404" s="4" t="s">
        <v>383</v>
      </c>
      <c r="F404" s="4" t="s">
        <v>1785</v>
      </c>
      <c r="G404" s="4" t="s">
        <v>1324</v>
      </c>
      <c r="H404" s="4" t="s">
        <v>66</v>
      </c>
      <c r="I404" s="4" t="s">
        <v>91</v>
      </c>
      <c r="J404" s="4" t="s">
        <v>92</v>
      </c>
      <c r="K404" s="4" t="s">
        <v>1786</v>
      </c>
      <c r="L404" s="4" t="str">
        <f aca="false">IF(TRIM(LOWER(E404))=TRIM(LOWER(J404)),"Match","Different")</f>
        <v>Different</v>
      </c>
    </row>
    <row r="405" customFormat="false" ht="15" hidden="false" customHeight="false" outlineLevel="0" collapsed="false">
      <c r="A405" s="4" t="s">
        <v>1790</v>
      </c>
      <c r="B405" s="4" t="s">
        <v>1791</v>
      </c>
      <c r="C405" s="4" t="s">
        <v>1792</v>
      </c>
      <c r="D405" s="4" t="s">
        <v>1793</v>
      </c>
      <c r="E405" s="4" t="s">
        <v>25</v>
      </c>
      <c r="F405" s="4" t="s">
        <v>1794</v>
      </c>
      <c r="G405" s="4" t="s">
        <v>122</v>
      </c>
      <c r="H405" s="4" t="s">
        <v>28</v>
      </c>
      <c r="I405" s="4" t="s">
        <v>40</v>
      </c>
      <c r="J405" s="4" t="s">
        <v>32</v>
      </c>
      <c r="K405" s="4" t="s">
        <v>1795</v>
      </c>
      <c r="L405" s="4" t="str">
        <f aca="false">IF(TRIM(LOWER(E405))=TRIM(LOWER(J405)),"Match","Different")</f>
        <v>Different</v>
      </c>
    </row>
    <row r="406" customFormat="false" ht="15" hidden="false" customHeight="false" outlineLevel="0" collapsed="false">
      <c r="A406" s="4" t="s">
        <v>1796</v>
      </c>
      <c r="B406" s="4" t="s">
        <v>1791</v>
      </c>
      <c r="C406" s="4"/>
      <c r="D406" s="4"/>
      <c r="E406" s="4" t="s">
        <v>32</v>
      </c>
      <c r="F406" s="4" t="s">
        <v>1794</v>
      </c>
      <c r="G406" s="4" t="s">
        <v>122</v>
      </c>
      <c r="H406" s="4" t="s">
        <v>28</v>
      </c>
      <c r="I406" s="4" t="s">
        <v>40</v>
      </c>
      <c r="J406" s="4" t="s">
        <v>32</v>
      </c>
      <c r="K406" s="4" t="s">
        <v>1795</v>
      </c>
      <c r="L406" s="4" t="str">
        <f aca="false">IF(TRIM(LOWER(E406))=TRIM(LOWER(J406)),"Match","Different")</f>
        <v>Match</v>
      </c>
    </row>
    <row r="407" customFormat="false" ht="15" hidden="false" customHeight="false" outlineLevel="0" collapsed="false">
      <c r="A407" s="4" t="s">
        <v>1797</v>
      </c>
      <c r="B407" s="4" t="s">
        <v>1798</v>
      </c>
      <c r="C407" s="4" t="s">
        <v>1799</v>
      </c>
      <c r="D407" s="4" t="s">
        <v>1800</v>
      </c>
      <c r="E407" s="4" t="s">
        <v>25</v>
      </c>
      <c r="F407" s="4" t="s">
        <v>1801</v>
      </c>
      <c r="G407" s="4" t="s">
        <v>513</v>
      </c>
      <c r="H407" s="4" t="s">
        <v>66</v>
      </c>
      <c r="I407" s="4" t="s">
        <v>67</v>
      </c>
      <c r="J407" s="4" t="s">
        <v>30</v>
      </c>
      <c r="K407" s="4" t="s">
        <v>1799</v>
      </c>
      <c r="L407" s="4" t="str">
        <f aca="false">IF(TRIM(LOWER(E407))=TRIM(LOWER(J407)),"Match","Different")</f>
        <v>Different</v>
      </c>
    </row>
    <row r="408" customFormat="false" ht="15" hidden="false" customHeight="false" outlineLevel="0" collapsed="false">
      <c r="A408" s="4" t="s">
        <v>1802</v>
      </c>
      <c r="B408" s="4" t="s">
        <v>1803</v>
      </c>
      <c r="C408" s="4" t="s">
        <v>1804</v>
      </c>
      <c r="D408" s="4"/>
      <c r="E408" s="4" t="s">
        <v>54</v>
      </c>
      <c r="F408" s="4" t="s">
        <v>1805</v>
      </c>
      <c r="G408" s="4" t="s">
        <v>56</v>
      </c>
      <c r="H408" s="4" t="s">
        <v>66</v>
      </c>
      <c r="I408" s="4" t="s">
        <v>1087</v>
      </c>
      <c r="J408" s="4" t="s">
        <v>100</v>
      </c>
      <c r="K408" s="4" t="s">
        <v>1804</v>
      </c>
      <c r="L408" s="4" t="str">
        <f aca="false">IF(TRIM(LOWER(E408))=TRIM(LOWER(J408)),"Match","Different")</f>
        <v>Different</v>
      </c>
    </row>
    <row r="409" customFormat="false" ht="15" hidden="false" customHeight="false" outlineLevel="0" collapsed="false">
      <c r="A409" s="4" t="s">
        <v>1806</v>
      </c>
      <c r="B409" s="4" t="s">
        <v>1807</v>
      </c>
      <c r="C409" s="4" t="s">
        <v>1808</v>
      </c>
      <c r="D409" s="4"/>
      <c r="E409" s="4" t="s">
        <v>341</v>
      </c>
      <c r="F409" s="4" t="s">
        <v>1809</v>
      </c>
      <c r="G409" s="4" t="s">
        <v>359</v>
      </c>
      <c r="H409" s="4" t="s">
        <v>39</v>
      </c>
      <c r="I409" s="4" t="s">
        <v>99</v>
      </c>
      <c r="J409" s="4" t="s">
        <v>100</v>
      </c>
      <c r="K409" s="4" t="s">
        <v>1808</v>
      </c>
      <c r="L409" s="4" t="str">
        <f aca="false">IF(TRIM(LOWER(E409))=TRIM(LOWER(J409)),"Match","Different")</f>
        <v>Different</v>
      </c>
    </row>
    <row r="410" customFormat="false" ht="15" hidden="false" customHeight="false" outlineLevel="0" collapsed="false">
      <c r="A410" s="4" t="s">
        <v>1810</v>
      </c>
      <c r="B410" s="4" t="s">
        <v>1811</v>
      </c>
      <c r="C410" s="4" t="s">
        <v>1812</v>
      </c>
      <c r="D410" s="4"/>
      <c r="E410" s="4" t="s">
        <v>64</v>
      </c>
      <c r="F410" s="4" t="s">
        <v>1813</v>
      </c>
      <c r="G410" s="4" t="s">
        <v>136</v>
      </c>
      <c r="H410" s="4" t="s">
        <v>28</v>
      </c>
      <c r="I410" s="4" t="s">
        <v>123</v>
      </c>
      <c r="J410" s="4" t="s">
        <v>1814</v>
      </c>
      <c r="K410" s="4" t="s">
        <v>1812</v>
      </c>
      <c r="L410" s="4" t="str">
        <f aca="false">IF(TRIM(LOWER(E410))=TRIM(LOWER(J410)),"Match","Different")</f>
        <v>Different</v>
      </c>
    </row>
    <row r="411" customFormat="false" ht="15" hidden="false" customHeight="false" outlineLevel="0" collapsed="false">
      <c r="A411" s="4" t="s">
        <v>1815</v>
      </c>
      <c r="B411" s="4" t="s">
        <v>1816</v>
      </c>
      <c r="C411" s="4" t="s">
        <v>1817</v>
      </c>
      <c r="D411" s="4" t="s">
        <v>1818</v>
      </c>
      <c r="E411" s="4" t="s">
        <v>25</v>
      </c>
      <c r="F411" s="4" t="s">
        <v>1819</v>
      </c>
      <c r="G411" s="4" t="s">
        <v>136</v>
      </c>
      <c r="H411" s="4" t="s">
        <v>66</v>
      </c>
      <c r="I411" s="4" t="s">
        <v>226</v>
      </c>
      <c r="J411" s="4" t="s">
        <v>32</v>
      </c>
      <c r="K411" s="4" t="s">
        <v>1817</v>
      </c>
      <c r="L411" s="4" t="str">
        <f aca="false">IF(TRIM(LOWER(E411))=TRIM(LOWER(J411)),"Match","Different")</f>
        <v>Different</v>
      </c>
    </row>
    <row r="412" customFormat="false" ht="15" hidden="false" customHeight="false" outlineLevel="0" collapsed="false">
      <c r="A412" s="4" t="s">
        <v>1820</v>
      </c>
      <c r="B412" s="4" t="s">
        <v>1821</v>
      </c>
      <c r="C412" s="4" t="s">
        <v>1822</v>
      </c>
      <c r="D412" s="4"/>
      <c r="E412" s="4" t="s">
        <v>170</v>
      </c>
      <c r="F412" s="4" t="s">
        <v>1823</v>
      </c>
      <c r="G412" s="4" t="s">
        <v>56</v>
      </c>
      <c r="H412" s="4" t="s">
        <v>172</v>
      </c>
      <c r="I412" s="4" t="s">
        <v>173</v>
      </c>
      <c r="J412" s="4" t="s">
        <v>174</v>
      </c>
      <c r="K412" s="4" t="s">
        <v>1822</v>
      </c>
      <c r="L412" s="4" t="str">
        <f aca="false">IF(TRIM(LOWER(E412))=TRIM(LOWER(J412)),"Match","Different")</f>
        <v>Different</v>
      </c>
    </row>
    <row r="413" customFormat="false" ht="15" hidden="false" customHeight="false" outlineLevel="0" collapsed="false">
      <c r="A413" s="4" t="s">
        <v>1824</v>
      </c>
      <c r="B413" s="4" t="s">
        <v>1821</v>
      </c>
      <c r="C413" s="4"/>
      <c r="D413" s="4" t="s">
        <v>1825</v>
      </c>
      <c r="E413" s="4" t="s">
        <v>170</v>
      </c>
      <c r="F413" s="4" t="s">
        <v>1823</v>
      </c>
      <c r="G413" s="4" t="s">
        <v>56</v>
      </c>
      <c r="H413" s="4" t="s">
        <v>172</v>
      </c>
      <c r="I413" s="4" t="s">
        <v>173</v>
      </c>
      <c r="J413" s="4" t="s">
        <v>174</v>
      </c>
      <c r="K413" s="4" t="s">
        <v>1822</v>
      </c>
      <c r="L413" s="4" t="str">
        <f aca="false">IF(TRIM(LOWER(E413))=TRIM(LOWER(J413)),"Match","Different")</f>
        <v>Different</v>
      </c>
    </row>
    <row r="414" customFormat="false" ht="15" hidden="false" customHeight="false" outlineLevel="0" collapsed="false">
      <c r="A414" s="4" t="s">
        <v>1826</v>
      </c>
      <c r="B414" s="4" t="s">
        <v>1827</v>
      </c>
      <c r="C414" s="4" t="s">
        <v>1828</v>
      </c>
      <c r="D414" s="4"/>
      <c r="E414" s="4" t="s">
        <v>54</v>
      </c>
      <c r="F414" s="4" t="s">
        <v>1829</v>
      </c>
      <c r="G414" s="4" t="s">
        <v>47</v>
      </c>
      <c r="H414" s="4" t="s">
        <v>66</v>
      </c>
      <c r="I414" s="4" t="s">
        <v>1830</v>
      </c>
      <c r="J414" s="4" t="s">
        <v>58</v>
      </c>
      <c r="K414" s="4" t="s">
        <v>1831</v>
      </c>
      <c r="L414" s="4" t="str">
        <f aca="false">IF(TRIM(LOWER(E414))=TRIM(LOWER(J414)),"Match","Different")</f>
        <v>Different</v>
      </c>
    </row>
    <row r="415" customFormat="false" ht="15" hidden="false" customHeight="false" outlineLevel="0" collapsed="false">
      <c r="A415" s="4" t="s">
        <v>1832</v>
      </c>
      <c r="B415" s="4" t="s">
        <v>1827</v>
      </c>
      <c r="C415" s="4" t="s">
        <v>1831</v>
      </c>
      <c r="D415" s="4"/>
      <c r="E415" s="4" t="s">
        <v>54</v>
      </c>
      <c r="F415" s="4" t="s">
        <v>1829</v>
      </c>
      <c r="G415" s="4" t="s">
        <v>47</v>
      </c>
      <c r="H415" s="4" t="s">
        <v>66</v>
      </c>
      <c r="I415" s="4" t="s">
        <v>1830</v>
      </c>
      <c r="J415" s="4" t="s">
        <v>58</v>
      </c>
      <c r="K415" s="4" t="s">
        <v>1831</v>
      </c>
      <c r="L415" s="4" t="str">
        <f aca="false">IF(TRIM(LOWER(E415))=TRIM(LOWER(J415)),"Match","Different")</f>
        <v>Different</v>
      </c>
    </row>
    <row r="416" customFormat="false" ht="15" hidden="false" customHeight="false" outlineLevel="0" collapsed="false">
      <c r="A416" s="4" t="s">
        <v>1833</v>
      </c>
      <c r="B416" s="4" t="s">
        <v>1834</v>
      </c>
      <c r="C416" s="4" t="s">
        <v>1835</v>
      </c>
      <c r="D416" s="4"/>
      <c r="E416" s="4" t="s">
        <v>341</v>
      </c>
      <c r="F416" s="4" t="s">
        <v>1836</v>
      </c>
      <c r="G416" s="4" t="s">
        <v>56</v>
      </c>
      <c r="H416" s="4" t="s">
        <v>39</v>
      </c>
      <c r="I416" s="4" t="s">
        <v>99</v>
      </c>
      <c r="J416" s="4" t="s">
        <v>64</v>
      </c>
      <c r="K416" s="4" t="s">
        <v>1837</v>
      </c>
      <c r="L416" s="4" t="str">
        <f aca="false">IF(TRIM(LOWER(E416))=TRIM(LOWER(J416)),"Match","Different")</f>
        <v>Different</v>
      </c>
    </row>
    <row r="417" customFormat="false" ht="15" hidden="false" customHeight="false" outlineLevel="0" collapsed="false">
      <c r="A417" s="4" t="s">
        <v>1838</v>
      </c>
      <c r="B417" s="4" t="s">
        <v>1834</v>
      </c>
      <c r="C417" s="4" t="s">
        <v>1839</v>
      </c>
      <c r="D417" s="4" t="s">
        <v>1840</v>
      </c>
      <c r="E417" s="4" t="s">
        <v>64</v>
      </c>
      <c r="F417" s="4" t="s">
        <v>1836</v>
      </c>
      <c r="G417" s="4" t="s">
        <v>56</v>
      </c>
      <c r="H417" s="4" t="s">
        <v>39</v>
      </c>
      <c r="I417" s="4" t="s">
        <v>99</v>
      </c>
      <c r="J417" s="4" t="s">
        <v>64</v>
      </c>
      <c r="K417" s="4" t="s">
        <v>1837</v>
      </c>
      <c r="L417" s="4" t="str">
        <f aca="false">IF(TRIM(LOWER(E417))=TRIM(LOWER(J417)),"Match","Different")</f>
        <v>Match</v>
      </c>
    </row>
    <row r="418" customFormat="false" ht="15" hidden="false" customHeight="false" outlineLevel="0" collapsed="false">
      <c r="A418" s="4" t="s">
        <v>1838</v>
      </c>
      <c r="B418" s="4" t="s">
        <v>1834</v>
      </c>
      <c r="C418" s="4" t="s">
        <v>1841</v>
      </c>
      <c r="D418" s="4" t="s">
        <v>1842</v>
      </c>
      <c r="E418" s="4" t="s">
        <v>64</v>
      </c>
      <c r="F418" s="4" t="s">
        <v>1836</v>
      </c>
      <c r="G418" s="4" t="s">
        <v>56</v>
      </c>
      <c r="H418" s="4" t="s">
        <v>39</v>
      </c>
      <c r="I418" s="4" t="s">
        <v>99</v>
      </c>
      <c r="J418" s="4" t="s">
        <v>64</v>
      </c>
      <c r="K418" s="4" t="s">
        <v>1837</v>
      </c>
      <c r="L418" s="4" t="str">
        <f aca="false">IF(TRIM(LOWER(E418))=TRIM(LOWER(J418)),"Match","Different")</f>
        <v>Match</v>
      </c>
    </row>
    <row r="419" customFormat="false" ht="15" hidden="false" customHeight="false" outlineLevel="0" collapsed="false">
      <c r="A419" s="4" t="s">
        <v>1843</v>
      </c>
      <c r="B419" s="4" t="s">
        <v>1844</v>
      </c>
      <c r="C419" s="4" t="s">
        <v>1845</v>
      </c>
      <c r="D419" s="4" t="s">
        <v>1846</v>
      </c>
      <c r="E419" s="4" t="s">
        <v>54</v>
      </c>
      <c r="F419" s="4" t="s">
        <v>1847</v>
      </c>
      <c r="G419" s="4" t="s">
        <v>27</v>
      </c>
      <c r="H419" s="4" t="s">
        <v>39</v>
      </c>
      <c r="I419" s="4" t="s">
        <v>226</v>
      </c>
      <c r="J419" s="4" t="s">
        <v>32</v>
      </c>
      <c r="K419" s="4" t="s">
        <v>1848</v>
      </c>
      <c r="L419" s="4" t="str">
        <f aca="false">IF(TRIM(LOWER(E419))=TRIM(LOWER(J419)),"Match","Different")</f>
        <v>Different</v>
      </c>
    </row>
    <row r="420" customFormat="false" ht="15" hidden="false" customHeight="false" outlineLevel="0" collapsed="false">
      <c r="A420" s="4" t="s">
        <v>1088</v>
      </c>
      <c r="B420" s="4" t="s">
        <v>1849</v>
      </c>
      <c r="C420" s="4" t="s">
        <v>1850</v>
      </c>
      <c r="D420" s="4" t="s">
        <v>1851</v>
      </c>
      <c r="E420" s="4" t="s">
        <v>104</v>
      </c>
      <c r="F420" s="4" t="s">
        <v>1852</v>
      </c>
      <c r="G420" s="4" t="s">
        <v>98</v>
      </c>
      <c r="H420" s="4" t="s">
        <v>28</v>
      </c>
      <c r="I420" s="4" t="s">
        <v>123</v>
      </c>
      <c r="J420" s="4" t="s">
        <v>104</v>
      </c>
      <c r="K420" s="4" t="s">
        <v>1853</v>
      </c>
      <c r="L420" s="4" t="str">
        <f aca="false">IF(TRIM(LOWER(E420))=TRIM(LOWER(J420)),"Match","Different")</f>
        <v>Match</v>
      </c>
    </row>
    <row r="421" customFormat="false" ht="15" hidden="false" customHeight="false" outlineLevel="0" collapsed="false">
      <c r="A421" s="4" t="s">
        <v>1854</v>
      </c>
      <c r="B421" s="4" t="s">
        <v>1855</v>
      </c>
      <c r="C421" s="4" t="s">
        <v>1856</v>
      </c>
      <c r="D421" s="4"/>
      <c r="E421" s="4" t="s">
        <v>54</v>
      </c>
      <c r="F421" s="4" t="s">
        <v>1857</v>
      </c>
      <c r="G421" s="4" t="s">
        <v>98</v>
      </c>
      <c r="H421" s="4" t="s">
        <v>28</v>
      </c>
      <c r="I421" s="4" t="s">
        <v>123</v>
      </c>
      <c r="J421" s="4" t="s">
        <v>30</v>
      </c>
      <c r="K421" s="4" t="s">
        <v>1858</v>
      </c>
      <c r="L421" s="4" t="str">
        <f aca="false">IF(TRIM(LOWER(E421))=TRIM(LOWER(J421)),"Match","Different")</f>
        <v>Different</v>
      </c>
    </row>
    <row r="422" customFormat="false" ht="15" hidden="false" customHeight="false" outlineLevel="0" collapsed="false">
      <c r="A422" s="4" t="s">
        <v>1859</v>
      </c>
      <c r="B422" s="4" t="s">
        <v>1860</v>
      </c>
      <c r="C422" s="4" t="s">
        <v>1861</v>
      </c>
      <c r="D422" s="4" t="s">
        <v>1862</v>
      </c>
      <c r="E422" s="4" t="s">
        <v>104</v>
      </c>
      <c r="F422" s="4" t="s">
        <v>1863</v>
      </c>
      <c r="G422" s="4" t="s">
        <v>56</v>
      </c>
      <c r="H422" s="4" t="s">
        <v>39</v>
      </c>
      <c r="I422" s="4" t="s">
        <v>636</v>
      </c>
      <c r="J422" s="4" t="s">
        <v>104</v>
      </c>
      <c r="K422" s="4" t="s">
        <v>1864</v>
      </c>
      <c r="L422" s="4" t="str">
        <f aca="false">IF(TRIM(LOWER(E422))=TRIM(LOWER(J422)),"Match","Different")</f>
        <v>Match</v>
      </c>
    </row>
    <row r="423" customFormat="false" ht="15" hidden="false" customHeight="false" outlineLevel="0" collapsed="false">
      <c r="A423" s="4" t="s">
        <v>1865</v>
      </c>
      <c r="B423" s="4" t="s">
        <v>1866</v>
      </c>
      <c r="C423" s="4" t="s">
        <v>1867</v>
      </c>
      <c r="D423" s="4" t="s">
        <v>1868</v>
      </c>
      <c r="E423" s="4" t="s">
        <v>89</v>
      </c>
      <c r="F423" s="4" t="s">
        <v>1869</v>
      </c>
      <c r="G423" s="4" t="s">
        <v>47</v>
      </c>
      <c r="H423" s="4" t="s">
        <v>39</v>
      </c>
      <c r="I423" s="4" t="s">
        <v>129</v>
      </c>
      <c r="J423" s="4" t="s">
        <v>92</v>
      </c>
      <c r="K423" s="4" t="s">
        <v>1867</v>
      </c>
      <c r="L423" s="4" t="str">
        <f aca="false">IF(TRIM(LOWER(E423))=TRIM(LOWER(J423)),"Match","Different")</f>
        <v>Different</v>
      </c>
    </row>
    <row r="424" customFormat="false" ht="15" hidden="false" customHeight="false" outlineLevel="0" collapsed="false">
      <c r="A424" s="4" t="s">
        <v>1870</v>
      </c>
      <c r="B424" s="4" t="s">
        <v>1871</v>
      </c>
      <c r="C424" s="4"/>
      <c r="D424" s="4" t="s">
        <v>1872</v>
      </c>
      <c r="E424" s="4" t="s">
        <v>383</v>
      </c>
      <c r="F424" s="4" t="s">
        <v>1873</v>
      </c>
      <c r="G424" s="4" t="s">
        <v>56</v>
      </c>
      <c r="H424" s="4" t="s">
        <v>39</v>
      </c>
      <c r="I424" s="4" t="s">
        <v>147</v>
      </c>
      <c r="J424" s="4" t="s">
        <v>32</v>
      </c>
      <c r="K424" s="4" t="s">
        <v>1874</v>
      </c>
      <c r="L424" s="4" t="str">
        <f aca="false">IF(TRIM(LOWER(E424))=TRIM(LOWER(J424)),"Match","Different")</f>
        <v>Different</v>
      </c>
    </row>
    <row r="425" customFormat="false" ht="15" hidden="false" customHeight="false" outlineLevel="0" collapsed="false">
      <c r="A425" s="4" t="s">
        <v>1875</v>
      </c>
      <c r="B425" s="4" t="s">
        <v>1871</v>
      </c>
      <c r="C425" s="4" t="s">
        <v>1876</v>
      </c>
      <c r="D425" s="4" t="s">
        <v>1877</v>
      </c>
      <c r="E425" s="4" t="s">
        <v>25</v>
      </c>
      <c r="F425" s="4" t="s">
        <v>1873</v>
      </c>
      <c r="G425" s="4" t="s">
        <v>56</v>
      </c>
      <c r="H425" s="4" t="s">
        <v>39</v>
      </c>
      <c r="I425" s="4" t="s">
        <v>147</v>
      </c>
      <c r="J425" s="4" t="s">
        <v>32</v>
      </c>
      <c r="K425" s="4" t="s">
        <v>1874</v>
      </c>
      <c r="L425" s="4" t="str">
        <f aca="false">IF(TRIM(LOWER(E425))=TRIM(LOWER(J425)),"Match","Different")</f>
        <v>Different</v>
      </c>
    </row>
    <row r="426" customFormat="false" ht="15" hidden="false" customHeight="false" outlineLevel="0" collapsed="false">
      <c r="A426" s="4" t="s">
        <v>1878</v>
      </c>
      <c r="B426" s="4" t="s">
        <v>1871</v>
      </c>
      <c r="C426" s="4" t="s">
        <v>1874</v>
      </c>
      <c r="D426" s="4" t="s">
        <v>1879</v>
      </c>
      <c r="E426" s="4" t="s">
        <v>25</v>
      </c>
      <c r="F426" s="4" t="s">
        <v>1873</v>
      </c>
      <c r="G426" s="4" t="s">
        <v>56</v>
      </c>
      <c r="H426" s="4" t="s">
        <v>39</v>
      </c>
      <c r="I426" s="4" t="s">
        <v>147</v>
      </c>
      <c r="J426" s="4" t="s">
        <v>32</v>
      </c>
      <c r="K426" s="4" t="s">
        <v>1874</v>
      </c>
      <c r="L426" s="4" t="str">
        <f aca="false">IF(TRIM(LOWER(E426))=TRIM(LOWER(J426)),"Match","Different")</f>
        <v>Different</v>
      </c>
    </row>
    <row r="427" customFormat="false" ht="15" hidden="false" customHeight="false" outlineLevel="0" collapsed="false">
      <c r="A427" s="4" t="s">
        <v>1880</v>
      </c>
      <c r="B427" s="4" t="s">
        <v>1871</v>
      </c>
      <c r="C427" s="4" t="s">
        <v>1881</v>
      </c>
      <c r="D427" s="4" t="s">
        <v>1882</v>
      </c>
      <c r="E427" s="4" t="s">
        <v>25</v>
      </c>
      <c r="F427" s="4" t="s">
        <v>1873</v>
      </c>
      <c r="G427" s="4" t="s">
        <v>56</v>
      </c>
      <c r="H427" s="4" t="s">
        <v>39</v>
      </c>
      <c r="I427" s="4" t="s">
        <v>147</v>
      </c>
      <c r="J427" s="4" t="s">
        <v>32</v>
      </c>
      <c r="K427" s="4" t="s">
        <v>1874</v>
      </c>
      <c r="L427" s="4" t="str">
        <f aca="false">IF(TRIM(LOWER(E427))=TRIM(LOWER(J427)),"Match","Different")</f>
        <v>Different</v>
      </c>
    </row>
    <row r="428" customFormat="false" ht="15" hidden="false" customHeight="false" outlineLevel="0" collapsed="false">
      <c r="A428" s="4" t="s">
        <v>1883</v>
      </c>
      <c r="B428" s="4" t="s">
        <v>1884</v>
      </c>
      <c r="C428" s="4" t="s">
        <v>1885</v>
      </c>
      <c r="D428" s="4" t="s">
        <v>1886</v>
      </c>
      <c r="E428" s="4" t="s">
        <v>64</v>
      </c>
      <c r="F428" s="4" t="s">
        <v>1887</v>
      </c>
      <c r="G428" s="4" t="s">
        <v>38</v>
      </c>
      <c r="H428" s="4" t="s">
        <v>39</v>
      </c>
      <c r="I428" s="4" t="s">
        <v>99</v>
      </c>
      <c r="J428" s="4" t="s">
        <v>64</v>
      </c>
      <c r="K428" s="4" t="s">
        <v>1888</v>
      </c>
      <c r="L428" s="4" t="str">
        <f aca="false">IF(TRIM(LOWER(E428))=TRIM(LOWER(J428)),"Match","Different")</f>
        <v>Match</v>
      </c>
    </row>
    <row r="429" customFormat="false" ht="15" hidden="false" customHeight="false" outlineLevel="0" collapsed="false">
      <c r="A429" s="4" t="s">
        <v>1889</v>
      </c>
      <c r="B429" s="4" t="s">
        <v>1890</v>
      </c>
      <c r="C429" s="4" t="s">
        <v>1891</v>
      </c>
      <c r="D429" s="4"/>
      <c r="E429" s="4" t="s">
        <v>64</v>
      </c>
      <c r="F429" s="4" t="s">
        <v>1892</v>
      </c>
      <c r="G429" s="4" t="s">
        <v>82</v>
      </c>
      <c r="H429" s="4" t="s">
        <v>39</v>
      </c>
      <c r="I429" s="4" t="s">
        <v>1893</v>
      </c>
      <c r="J429" s="4" t="s">
        <v>64</v>
      </c>
      <c r="K429" s="4" t="s">
        <v>1891</v>
      </c>
      <c r="L429" s="4" t="str">
        <f aca="false">IF(TRIM(LOWER(E429))=TRIM(LOWER(J429)),"Match","Different")</f>
        <v>Match</v>
      </c>
    </row>
    <row r="430" customFormat="false" ht="15" hidden="false" customHeight="false" outlineLevel="0" collapsed="false">
      <c r="A430" s="4" t="s">
        <v>1894</v>
      </c>
      <c r="B430" s="4" t="s">
        <v>1895</v>
      </c>
      <c r="C430" s="4"/>
      <c r="D430" s="4"/>
      <c r="E430" s="4" t="s">
        <v>32</v>
      </c>
      <c r="F430" s="4" t="s">
        <v>1896</v>
      </c>
      <c r="G430" s="4" t="s">
        <v>27</v>
      </c>
      <c r="H430" s="4" t="s">
        <v>39</v>
      </c>
      <c r="I430" s="4" t="s">
        <v>208</v>
      </c>
      <c r="J430" s="4" t="s">
        <v>100</v>
      </c>
      <c r="K430" s="4" t="s">
        <v>1897</v>
      </c>
      <c r="L430" s="4" t="str">
        <f aca="false">IF(TRIM(LOWER(E430))=TRIM(LOWER(J430)),"Match","Different")</f>
        <v>Different</v>
      </c>
    </row>
    <row r="431" customFormat="false" ht="15" hidden="false" customHeight="false" outlineLevel="0" collapsed="false">
      <c r="A431" s="4" t="s">
        <v>1898</v>
      </c>
      <c r="B431" s="4" t="s">
        <v>1895</v>
      </c>
      <c r="C431" s="4" t="s">
        <v>1899</v>
      </c>
      <c r="D431" s="4" t="s">
        <v>1900</v>
      </c>
      <c r="E431" s="4" t="s">
        <v>89</v>
      </c>
      <c r="F431" s="4" t="s">
        <v>1896</v>
      </c>
      <c r="G431" s="4" t="s">
        <v>27</v>
      </c>
      <c r="H431" s="4" t="s">
        <v>39</v>
      </c>
      <c r="I431" s="4" t="s">
        <v>208</v>
      </c>
      <c r="J431" s="4" t="s">
        <v>100</v>
      </c>
      <c r="K431" s="4" t="s">
        <v>1897</v>
      </c>
      <c r="L431" s="4" t="str">
        <f aca="false">IF(TRIM(LOWER(E431))=TRIM(LOWER(J431)),"Match","Different")</f>
        <v>Different</v>
      </c>
    </row>
    <row r="432" customFormat="false" ht="15" hidden="false" customHeight="false" outlineLevel="0" collapsed="false">
      <c r="A432" s="4" t="s">
        <v>1901</v>
      </c>
      <c r="B432" s="4" t="s">
        <v>1902</v>
      </c>
      <c r="C432" s="4" t="s">
        <v>1903</v>
      </c>
      <c r="D432" s="4" t="s">
        <v>1904</v>
      </c>
      <c r="E432" s="4" t="s">
        <v>64</v>
      </c>
      <c r="F432" s="4" t="s">
        <v>1905</v>
      </c>
      <c r="G432" s="4" t="s">
        <v>47</v>
      </c>
      <c r="H432" s="4" t="s">
        <v>39</v>
      </c>
      <c r="I432" s="4" t="s">
        <v>129</v>
      </c>
      <c r="J432" s="4" t="s">
        <v>64</v>
      </c>
      <c r="K432" s="4" t="s">
        <v>1906</v>
      </c>
      <c r="L432" s="4" t="str">
        <f aca="false">IF(TRIM(LOWER(E432))=TRIM(LOWER(J432)),"Match","Different")</f>
        <v>Match</v>
      </c>
    </row>
    <row r="433" customFormat="false" ht="15" hidden="false" customHeight="false" outlineLevel="0" collapsed="false">
      <c r="A433" s="4" t="s">
        <v>1901</v>
      </c>
      <c r="B433" s="4" t="s">
        <v>1902</v>
      </c>
      <c r="C433" s="4" t="s">
        <v>1907</v>
      </c>
      <c r="D433" s="4" t="s">
        <v>1904</v>
      </c>
      <c r="E433" s="4" t="s">
        <v>64</v>
      </c>
      <c r="F433" s="4" t="s">
        <v>1905</v>
      </c>
      <c r="G433" s="4" t="s">
        <v>47</v>
      </c>
      <c r="H433" s="4" t="s">
        <v>39</v>
      </c>
      <c r="I433" s="4" t="s">
        <v>129</v>
      </c>
      <c r="J433" s="4" t="s">
        <v>64</v>
      </c>
      <c r="K433" s="4" t="s">
        <v>1906</v>
      </c>
      <c r="L433" s="4" t="str">
        <f aca="false">IF(TRIM(LOWER(E433))=TRIM(LOWER(J433)),"Match","Different")</f>
        <v>Match</v>
      </c>
    </row>
    <row r="434" customFormat="false" ht="15" hidden="false" customHeight="false" outlineLevel="0" collapsed="false">
      <c r="A434" s="4" t="s">
        <v>1908</v>
      </c>
      <c r="B434" s="4" t="s">
        <v>1902</v>
      </c>
      <c r="C434" s="4" t="s">
        <v>1909</v>
      </c>
      <c r="D434" s="4" t="s">
        <v>1910</v>
      </c>
      <c r="E434" s="4" t="s">
        <v>64</v>
      </c>
      <c r="F434" s="4" t="s">
        <v>1905</v>
      </c>
      <c r="G434" s="4" t="s">
        <v>47</v>
      </c>
      <c r="H434" s="4" t="s">
        <v>39</v>
      </c>
      <c r="I434" s="4" t="s">
        <v>129</v>
      </c>
      <c r="J434" s="4" t="s">
        <v>64</v>
      </c>
      <c r="K434" s="4" t="s">
        <v>1906</v>
      </c>
      <c r="L434" s="4" t="str">
        <f aca="false">IF(TRIM(LOWER(E434))=TRIM(LOWER(J434)),"Match","Different")</f>
        <v>Match</v>
      </c>
    </row>
    <row r="435" customFormat="false" ht="15" hidden="false" customHeight="false" outlineLevel="0" collapsed="false">
      <c r="A435" s="4" t="s">
        <v>1911</v>
      </c>
      <c r="B435" s="4" t="s">
        <v>1912</v>
      </c>
      <c r="C435" s="4" t="s">
        <v>1913</v>
      </c>
      <c r="D435" s="4" t="s">
        <v>1914</v>
      </c>
      <c r="E435" s="4" t="s">
        <v>89</v>
      </c>
      <c r="F435" s="4" t="s">
        <v>1915</v>
      </c>
      <c r="G435" s="4" t="s">
        <v>128</v>
      </c>
      <c r="H435" s="4" t="s">
        <v>39</v>
      </c>
      <c r="I435" s="4" t="s">
        <v>129</v>
      </c>
      <c r="J435" s="4" t="s">
        <v>30</v>
      </c>
      <c r="K435" s="4"/>
      <c r="L435" s="4" t="str">
        <f aca="false">IF(TRIM(LOWER(E435))=TRIM(LOWER(J435)),"Match","Different")</f>
        <v>Different</v>
      </c>
    </row>
    <row r="436" customFormat="false" ht="15" hidden="false" customHeight="false" outlineLevel="0" collapsed="false">
      <c r="A436" s="4" t="s">
        <v>1916</v>
      </c>
      <c r="B436" s="4" t="s">
        <v>1917</v>
      </c>
      <c r="C436" s="4" t="s">
        <v>1918</v>
      </c>
      <c r="D436" s="4" t="s">
        <v>1919</v>
      </c>
      <c r="E436" s="4" t="s">
        <v>89</v>
      </c>
      <c r="F436" s="4" t="s">
        <v>1920</v>
      </c>
      <c r="G436" s="4" t="s">
        <v>56</v>
      </c>
      <c r="H436" s="4" t="s">
        <v>39</v>
      </c>
      <c r="I436" s="4" t="s">
        <v>129</v>
      </c>
      <c r="J436" s="4" t="s">
        <v>92</v>
      </c>
      <c r="K436" s="4" t="s">
        <v>1918</v>
      </c>
      <c r="L436" s="4" t="str">
        <f aca="false">IF(TRIM(LOWER(E436))=TRIM(LOWER(J436)),"Match","Different")</f>
        <v>Different</v>
      </c>
    </row>
    <row r="437" customFormat="false" ht="15" hidden="false" customHeight="false" outlineLevel="0" collapsed="false">
      <c r="A437" s="4" t="s">
        <v>1921</v>
      </c>
      <c r="B437" s="4" t="s">
        <v>1917</v>
      </c>
      <c r="C437" s="4"/>
      <c r="D437" s="4" t="s">
        <v>1922</v>
      </c>
      <c r="E437" s="4" t="s">
        <v>383</v>
      </c>
      <c r="F437" s="4" t="s">
        <v>1920</v>
      </c>
      <c r="G437" s="4" t="s">
        <v>56</v>
      </c>
      <c r="H437" s="4" t="s">
        <v>39</v>
      </c>
      <c r="I437" s="4" t="s">
        <v>129</v>
      </c>
      <c r="J437" s="4" t="s">
        <v>92</v>
      </c>
      <c r="K437" s="4" t="s">
        <v>1918</v>
      </c>
      <c r="L437" s="4" t="str">
        <f aca="false">IF(TRIM(LOWER(E437))=TRIM(LOWER(J437)),"Match","Different")</f>
        <v>Different</v>
      </c>
    </row>
    <row r="438" customFormat="false" ht="15" hidden="false" customHeight="false" outlineLevel="0" collapsed="false">
      <c r="A438" s="4" t="s">
        <v>1923</v>
      </c>
      <c r="B438" s="4" t="s">
        <v>1924</v>
      </c>
      <c r="C438" s="4" t="s">
        <v>1925</v>
      </c>
      <c r="D438" s="4" t="s">
        <v>1926</v>
      </c>
      <c r="E438" s="4" t="s">
        <v>45</v>
      </c>
      <c r="F438" s="4" t="s">
        <v>1927</v>
      </c>
      <c r="G438" s="4" t="s">
        <v>136</v>
      </c>
      <c r="H438" s="4" t="s">
        <v>66</v>
      </c>
      <c r="I438" s="4" t="s">
        <v>536</v>
      </c>
      <c r="J438" s="4" t="s">
        <v>30</v>
      </c>
      <c r="K438" s="4" t="s">
        <v>1925</v>
      </c>
      <c r="L438" s="4" t="str">
        <f aca="false">IF(TRIM(LOWER(E438))=TRIM(LOWER(J438)),"Match","Different")</f>
        <v>Different</v>
      </c>
    </row>
    <row r="439" customFormat="false" ht="15" hidden="false" customHeight="false" outlineLevel="0" collapsed="false">
      <c r="A439" s="4" t="s">
        <v>1928</v>
      </c>
      <c r="B439" s="4" t="s">
        <v>1929</v>
      </c>
      <c r="C439" s="4"/>
      <c r="D439" s="4" t="s">
        <v>1930</v>
      </c>
      <c r="E439" s="4" t="s">
        <v>1029</v>
      </c>
      <c r="F439" s="4" t="s">
        <v>1931</v>
      </c>
      <c r="G439" s="4" t="s">
        <v>291</v>
      </c>
      <c r="H439" s="4" t="s">
        <v>39</v>
      </c>
      <c r="I439" s="4" t="s">
        <v>514</v>
      </c>
      <c r="J439" s="4" t="s">
        <v>32</v>
      </c>
      <c r="K439" s="4" t="s">
        <v>1932</v>
      </c>
      <c r="L439" s="4" t="str">
        <f aca="false">IF(TRIM(LOWER(E439))=TRIM(LOWER(J439)),"Match","Different")</f>
        <v>Different</v>
      </c>
    </row>
    <row r="440" customFormat="false" ht="15" hidden="false" customHeight="false" outlineLevel="0" collapsed="false">
      <c r="A440" s="4" t="s">
        <v>1928</v>
      </c>
      <c r="B440" s="4" t="s">
        <v>1929</v>
      </c>
      <c r="C440" s="4"/>
      <c r="D440" s="4"/>
      <c r="E440" s="4" t="s">
        <v>32</v>
      </c>
      <c r="F440" s="4" t="s">
        <v>1931</v>
      </c>
      <c r="G440" s="4" t="s">
        <v>291</v>
      </c>
      <c r="H440" s="4" t="s">
        <v>39</v>
      </c>
      <c r="I440" s="4" t="s">
        <v>514</v>
      </c>
      <c r="J440" s="4" t="s">
        <v>32</v>
      </c>
      <c r="K440" s="4" t="s">
        <v>1932</v>
      </c>
      <c r="L440" s="4" t="str">
        <f aca="false">IF(TRIM(LOWER(E440))=TRIM(LOWER(J440)),"Match","Different")</f>
        <v>Match</v>
      </c>
    </row>
    <row r="441" customFormat="false" ht="15" hidden="false" customHeight="false" outlineLevel="0" collapsed="false">
      <c r="A441" s="4" t="s">
        <v>1933</v>
      </c>
      <c r="B441" s="4" t="s">
        <v>1934</v>
      </c>
      <c r="C441" s="4" t="s">
        <v>1935</v>
      </c>
      <c r="D441" s="4" t="s">
        <v>1936</v>
      </c>
      <c r="E441" s="4" t="s">
        <v>50</v>
      </c>
      <c r="F441" s="4" t="s">
        <v>1937</v>
      </c>
      <c r="G441" s="4" t="s">
        <v>575</v>
      </c>
      <c r="H441" s="4" t="s">
        <v>28</v>
      </c>
      <c r="I441" s="4" t="s">
        <v>123</v>
      </c>
      <c r="J441" s="4" t="s">
        <v>30</v>
      </c>
      <c r="K441" s="4" t="s">
        <v>1938</v>
      </c>
      <c r="L441" s="4" t="str">
        <f aca="false">IF(TRIM(LOWER(E441))=TRIM(LOWER(J441)),"Match","Different")</f>
        <v>Different</v>
      </c>
    </row>
    <row r="442" customFormat="false" ht="15" hidden="false" customHeight="false" outlineLevel="0" collapsed="false">
      <c r="A442" s="4" t="s">
        <v>1939</v>
      </c>
      <c r="B442" s="4" t="s">
        <v>1940</v>
      </c>
      <c r="C442" s="4"/>
      <c r="D442" s="4"/>
      <c r="E442" s="4" t="s">
        <v>32</v>
      </c>
      <c r="F442" s="4" t="s">
        <v>1941</v>
      </c>
      <c r="G442" s="4" t="s">
        <v>136</v>
      </c>
      <c r="H442" s="4" t="s">
        <v>66</v>
      </c>
      <c r="I442" s="4" t="s">
        <v>297</v>
      </c>
      <c r="J442" s="4" t="s">
        <v>32</v>
      </c>
      <c r="K442" s="4" t="s">
        <v>1942</v>
      </c>
      <c r="L442" s="4" t="str">
        <f aca="false">IF(TRIM(LOWER(E442))=TRIM(LOWER(J442)),"Match","Different")</f>
        <v>Match</v>
      </c>
    </row>
    <row r="443" customFormat="false" ht="15" hidden="false" customHeight="false" outlineLevel="0" collapsed="false">
      <c r="A443" s="4" t="s">
        <v>1943</v>
      </c>
      <c r="B443" s="4" t="s">
        <v>1940</v>
      </c>
      <c r="C443" s="4" t="s">
        <v>1942</v>
      </c>
      <c r="D443" s="4" t="s">
        <v>1944</v>
      </c>
      <c r="E443" s="4" t="s">
        <v>25</v>
      </c>
      <c r="F443" s="4" t="s">
        <v>1941</v>
      </c>
      <c r="G443" s="4" t="s">
        <v>136</v>
      </c>
      <c r="H443" s="4" t="s">
        <v>66</v>
      </c>
      <c r="I443" s="4" t="s">
        <v>297</v>
      </c>
      <c r="J443" s="4" t="s">
        <v>32</v>
      </c>
      <c r="K443" s="4" t="s">
        <v>1942</v>
      </c>
      <c r="L443" s="4" t="str">
        <f aca="false">IF(TRIM(LOWER(E443))=TRIM(LOWER(J443)),"Match","Different")</f>
        <v>Different</v>
      </c>
    </row>
    <row r="444" customFormat="false" ht="15" hidden="false" customHeight="false" outlineLevel="0" collapsed="false">
      <c r="A444" s="4" t="s">
        <v>1945</v>
      </c>
      <c r="B444" s="4" t="s">
        <v>1946</v>
      </c>
      <c r="C444" s="4" t="s">
        <v>1947</v>
      </c>
      <c r="D444" s="4" t="s">
        <v>1948</v>
      </c>
      <c r="E444" s="4" t="s">
        <v>25</v>
      </c>
      <c r="F444" s="4" t="s">
        <v>1949</v>
      </c>
      <c r="G444" s="4" t="s">
        <v>82</v>
      </c>
      <c r="H444" s="4" t="s">
        <v>66</v>
      </c>
      <c r="I444" s="4" t="s">
        <v>297</v>
      </c>
      <c r="J444" s="4" t="s">
        <v>392</v>
      </c>
      <c r="K444" s="4" t="s">
        <v>1950</v>
      </c>
      <c r="L444" s="4" t="str">
        <f aca="false">IF(TRIM(LOWER(E444))=TRIM(LOWER(J444)),"Match","Different")</f>
        <v>Different</v>
      </c>
    </row>
    <row r="445" customFormat="false" ht="15" hidden="false" customHeight="false" outlineLevel="0" collapsed="false">
      <c r="A445" s="4" t="s">
        <v>1951</v>
      </c>
      <c r="B445" s="4" t="s">
        <v>1952</v>
      </c>
      <c r="C445" s="4" t="s">
        <v>1953</v>
      </c>
      <c r="D445" s="4" t="s">
        <v>1954</v>
      </c>
      <c r="E445" s="4" t="s">
        <v>89</v>
      </c>
      <c r="F445" s="4" t="s">
        <v>1955</v>
      </c>
      <c r="G445" s="4" t="s">
        <v>82</v>
      </c>
      <c r="H445" s="4" t="s">
        <v>66</v>
      </c>
      <c r="I445" s="4" t="s">
        <v>91</v>
      </c>
      <c r="J445" s="4" t="s">
        <v>92</v>
      </c>
      <c r="K445" s="4" t="s">
        <v>1956</v>
      </c>
      <c r="L445" s="4" t="str">
        <f aca="false">IF(TRIM(LOWER(E445))=TRIM(LOWER(J445)),"Match","Different")</f>
        <v>Different</v>
      </c>
    </row>
    <row r="446" customFormat="false" ht="15" hidden="false" customHeight="false" outlineLevel="0" collapsed="false">
      <c r="A446" s="4" t="s">
        <v>1957</v>
      </c>
      <c r="B446" s="4" t="s">
        <v>1958</v>
      </c>
      <c r="C446" s="4" t="s">
        <v>1959</v>
      </c>
      <c r="D446" s="4" t="s">
        <v>1960</v>
      </c>
      <c r="E446" s="4" t="s">
        <v>104</v>
      </c>
      <c r="F446" s="4" t="s">
        <v>1961</v>
      </c>
      <c r="G446" s="4" t="s">
        <v>128</v>
      </c>
      <c r="H446" s="4" t="s">
        <v>39</v>
      </c>
      <c r="I446" s="4" t="s">
        <v>821</v>
      </c>
      <c r="J446" s="4" t="s">
        <v>104</v>
      </c>
      <c r="K446" s="4" t="s">
        <v>1962</v>
      </c>
      <c r="L446" s="4" t="str">
        <f aca="false">IF(TRIM(LOWER(E446))=TRIM(LOWER(J446)),"Match","Different")</f>
        <v>Match</v>
      </c>
    </row>
    <row r="447" customFormat="false" ht="15" hidden="false" customHeight="false" outlineLevel="0" collapsed="false">
      <c r="A447" s="4" t="s">
        <v>1963</v>
      </c>
      <c r="B447" s="4" t="s">
        <v>1964</v>
      </c>
      <c r="C447" s="4" t="s">
        <v>1965</v>
      </c>
      <c r="D447" s="4"/>
      <c r="E447" s="4" t="s">
        <v>50</v>
      </c>
      <c r="F447" s="4" t="s">
        <v>1966</v>
      </c>
      <c r="G447" s="4" t="s">
        <v>161</v>
      </c>
      <c r="H447" s="4" t="s">
        <v>66</v>
      </c>
      <c r="I447" s="4" t="s">
        <v>278</v>
      </c>
      <c r="J447" s="4" t="s">
        <v>50</v>
      </c>
      <c r="K447" s="4" t="s">
        <v>1967</v>
      </c>
      <c r="L447" s="4" t="str">
        <f aca="false">IF(TRIM(LOWER(E447))=TRIM(LOWER(J447)),"Match","Different")</f>
        <v>Match</v>
      </c>
    </row>
    <row r="448" customFormat="false" ht="15" hidden="false" customHeight="false" outlineLevel="0" collapsed="false">
      <c r="A448" s="4" t="s">
        <v>1968</v>
      </c>
      <c r="B448" s="4" t="s">
        <v>1964</v>
      </c>
      <c r="C448" s="4" t="s">
        <v>1967</v>
      </c>
      <c r="D448" s="4"/>
      <c r="E448" s="4" t="s">
        <v>50</v>
      </c>
      <c r="F448" s="4" t="s">
        <v>1966</v>
      </c>
      <c r="G448" s="4" t="s">
        <v>161</v>
      </c>
      <c r="H448" s="4" t="s">
        <v>66</v>
      </c>
      <c r="I448" s="4" t="s">
        <v>278</v>
      </c>
      <c r="J448" s="4" t="s">
        <v>50</v>
      </c>
      <c r="K448" s="4" t="s">
        <v>1967</v>
      </c>
      <c r="L448" s="4" t="str">
        <f aca="false">IF(TRIM(LOWER(E448))=TRIM(LOWER(J448)),"Match","Different")</f>
        <v>Match</v>
      </c>
    </row>
    <row r="449" customFormat="false" ht="15" hidden="false" customHeight="false" outlineLevel="0" collapsed="false">
      <c r="A449" s="4" t="s">
        <v>1969</v>
      </c>
      <c r="B449" s="4" t="s">
        <v>1970</v>
      </c>
      <c r="C449" s="4" t="s">
        <v>1971</v>
      </c>
      <c r="D449" s="4" t="s">
        <v>1972</v>
      </c>
      <c r="E449" s="4" t="s">
        <v>89</v>
      </c>
      <c r="F449" s="4" t="s">
        <v>1973</v>
      </c>
      <c r="G449" s="4" t="s">
        <v>27</v>
      </c>
      <c r="H449" s="4" t="s">
        <v>39</v>
      </c>
      <c r="I449" s="4" t="s">
        <v>123</v>
      </c>
      <c r="J449" s="4" t="s">
        <v>30</v>
      </c>
      <c r="K449" s="4" t="s">
        <v>1974</v>
      </c>
      <c r="L449" s="4" t="str">
        <f aca="false">IF(TRIM(LOWER(E449))=TRIM(LOWER(J449)),"Match","Different")</f>
        <v>Different</v>
      </c>
    </row>
    <row r="450" customFormat="false" ht="15" hidden="false" customHeight="false" outlineLevel="0" collapsed="false">
      <c r="A450" s="4" t="s">
        <v>1975</v>
      </c>
      <c r="B450" s="4" t="s">
        <v>1976</v>
      </c>
      <c r="C450" s="4" t="s">
        <v>1977</v>
      </c>
      <c r="D450" s="4" t="s">
        <v>1978</v>
      </c>
      <c r="E450" s="4" t="s">
        <v>104</v>
      </c>
      <c r="F450" s="4" t="s">
        <v>1979</v>
      </c>
      <c r="G450" s="4" t="s">
        <v>207</v>
      </c>
      <c r="H450" s="4" t="s">
        <v>66</v>
      </c>
      <c r="I450" s="4" t="s">
        <v>1980</v>
      </c>
      <c r="J450" s="4" t="s">
        <v>104</v>
      </c>
      <c r="K450" s="4" t="s">
        <v>1981</v>
      </c>
      <c r="L450" s="4" t="str">
        <f aca="false">IF(TRIM(LOWER(E450))=TRIM(LOWER(J450)),"Match","Different")</f>
        <v>Match</v>
      </c>
    </row>
    <row r="451" customFormat="false" ht="15" hidden="false" customHeight="false" outlineLevel="0" collapsed="false">
      <c r="A451" s="4" t="s">
        <v>1982</v>
      </c>
      <c r="B451" s="4" t="s">
        <v>1983</v>
      </c>
      <c r="C451" s="4" t="s">
        <v>1984</v>
      </c>
      <c r="D451" s="4" t="s">
        <v>1985</v>
      </c>
      <c r="E451" s="4" t="s">
        <v>89</v>
      </c>
      <c r="F451" s="4" t="s">
        <v>1986</v>
      </c>
      <c r="G451" s="4" t="s">
        <v>27</v>
      </c>
      <c r="H451" s="4" t="s">
        <v>66</v>
      </c>
      <c r="I451" s="4" t="s">
        <v>536</v>
      </c>
      <c r="J451" s="4" t="s">
        <v>30</v>
      </c>
      <c r="K451" s="4" t="s">
        <v>1984</v>
      </c>
      <c r="L451" s="4" t="str">
        <f aca="false">IF(TRIM(LOWER(E451))=TRIM(LOWER(J451)),"Match","Different")</f>
        <v>Different</v>
      </c>
    </row>
    <row r="452" customFormat="false" ht="15" hidden="false" customHeight="false" outlineLevel="0" collapsed="false">
      <c r="A452" s="4" t="s">
        <v>1987</v>
      </c>
      <c r="B452" s="4" t="s">
        <v>1988</v>
      </c>
      <c r="C452" s="4" t="s">
        <v>1989</v>
      </c>
      <c r="D452" s="4" t="s">
        <v>1990</v>
      </c>
      <c r="E452" s="4" t="s">
        <v>64</v>
      </c>
      <c r="F452" s="4" t="s">
        <v>1991</v>
      </c>
      <c r="G452" s="4" t="s">
        <v>688</v>
      </c>
      <c r="H452" s="4" t="s">
        <v>66</v>
      </c>
      <c r="I452" s="4" t="s">
        <v>993</v>
      </c>
      <c r="J452" s="4" t="s">
        <v>64</v>
      </c>
      <c r="K452" s="4" t="s">
        <v>1989</v>
      </c>
      <c r="L452" s="4" t="str">
        <f aca="false">IF(TRIM(LOWER(E452))=TRIM(LOWER(J452)),"Match","Different")</f>
        <v>Match</v>
      </c>
    </row>
    <row r="453" customFormat="false" ht="15" hidden="false" customHeight="false" outlineLevel="0" collapsed="false">
      <c r="A453" s="4" t="s">
        <v>1992</v>
      </c>
      <c r="B453" s="4" t="s">
        <v>1993</v>
      </c>
      <c r="C453" s="4" t="s">
        <v>1994</v>
      </c>
      <c r="D453" s="4" t="s">
        <v>1995</v>
      </c>
      <c r="E453" s="4" t="s">
        <v>104</v>
      </c>
      <c r="F453" s="4" t="s">
        <v>1996</v>
      </c>
      <c r="G453" s="4" t="s">
        <v>122</v>
      </c>
      <c r="H453" s="4" t="s">
        <v>39</v>
      </c>
      <c r="I453" s="4" t="s">
        <v>99</v>
      </c>
      <c r="J453" s="4" t="s">
        <v>104</v>
      </c>
      <c r="K453" s="4" t="s">
        <v>1997</v>
      </c>
      <c r="L453" s="4" t="str">
        <f aca="false">IF(TRIM(LOWER(E453))=TRIM(LOWER(J453)),"Match","Different")</f>
        <v>Match</v>
      </c>
    </row>
    <row r="454" customFormat="false" ht="15" hidden="false" customHeight="false" outlineLevel="0" collapsed="false">
      <c r="A454" s="4" t="s">
        <v>1998</v>
      </c>
      <c r="B454" s="4" t="s">
        <v>1993</v>
      </c>
      <c r="C454" s="4" t="s">
        <v>1997</v>
      </c>
      <c r="D454" s="4"/>
      <c r="E454" s="4" t="s">
        <v>104</v>
      </c>
      <c r="F454" s="4" t="s">
        <v>1996</v>
      </c>
      <c r="G454" s="4" t="s">
        <v>122</v>
      </c>
      <c r="H454" s="4" t="s">
        <v>39</v>
      </c>
      <c r="I454" s="4" t="s">
        <v>99</v>
      </c>
      <c r="J454" s="4" t="s">
        <v>104</v>
      </c>
      <c r="K454" s="4" t="s">
        <v>1997</v>
      </c>
      <c r="L454" s="4" t="str">
        <f aca="false">IF(TRIM(LOWER(E454))=TRIM(LOWER(J454)),"Match","Different")</f>
        <v>Match</v>
      </c>
    </row>
    <row r="455" customFormat="false" ht="15" hidden="false" customHeight="false" outlineLevel="0" collapsed="false">
      <c r="A455" s="4" t="s">
        <v>1999</v>
      </c>
      <c r="B455" s="4" t="s">
        <v>2000</v>
      </c>
      <c r="C455" s="4" t="s">
        <v>2001</v>
      </c>
      <c r="D455" s="4"/>
      <c r="E455" s="4" t="s">
        <v>54</v>
      </c>
      <c r="F455" s="4" t="s">
        <v>2002</v>
      </c>
      <c r="G455" s="4" t="s">
        <v>47</v>
      </c>
      <c r="H455" s="4" t="s">
        <v>66</v>
      </c>
      <c r="I455" s="4" t="s">
        <v>402</v>
      </c>
      <c r="J455" s="4" t="s">
        <v>30</v>
      </c>
      <c r="K455" s="4" t="s">
        <v>2001</v>
      </c>
      <c r="L455" s="4" t="str">
        <f aca="false">IF(TRIM(LOWER(E455))=TRIM(LOWER(J455)),"Match","Different")</f>
        <v>Different</v>
      </c>
    </row>
    <row r="456" customFormat="false" ht="15" hidden="false" customHeight="false" outlineLevel="0" collapsed="false">
      <c r="A456" s="4" t="s">
        <v>2003</v>
      </c>
      <c r="B456" s="4" t="s">
        <v>2004</v>
      </c>
      <c r="C456" s="4" t="s">
        <v>2005</v>
      </c>
      <c r="D456" s="4" t="s">
        <v>2006</v>
      </c>
      <c r="E456" s="4" t="s">
        <v>64</v>
      </c>
      <c r="F456" s="4" t="s">
        <v>2007</v>
      </c>
      <c r="G456" s="4" t="s">
        <v>98</v>
      </c>
      <c r="H456" s="4" t="s">
        <v>39</v>
      </c>
      <c r="I456" s="4" t="s">
        <v>40</v>
      </c>
      <c r="J456" s="4" t="s">
        <v>100</v>
      </c>
      <c r="K456" s="4" t="s">
        <v>2008</v>
      </c>
      <c r="L456" s="4" t="str">
        <f aca="false">IF(TRIM(LOWER(E456))=TRIM(LOWER(J456)),"Match","Different")</f>
        <v>Different</v>
      </c>
    </row>
    <row r="457" customFormat="false" ht="15" hidden="false" customHeight="false" outlineLevel="0" collapsed="false">
      <c r="A457" s="4" t="s">
        <v>2009</v>
      </c>
      <c r="B457" s="4" t="s">
        <v>2004</v>
      </c>
      <c r="C457" s="4" t="s">
        <v>2010</v>
      </c>
      <c r="D457" s="4" t="s">
        <v>2011</v>
      </c>
      <c r="E457" s="4" t="s">
        <v>64</v>
      </c>
      <c r="F457" s="4" t="s">
        <v>2007</v>
      </c>
      <c r="G457" s="4" t="s">
        <v>98</v>
      </c>
      <c r="H457" s="4" t="s">
        <v>39</v>
      </c>
      <c r="I457" s="4" t="s">
        <v>40</v>
      </c>
      <c r="J457" s="4" t="s">
        <v>100</v>
      </c>
      <c r="K457" s="4" t="s">
        <v>2008</v>
      </c>
      <c r="L457" s="4" t="str">
        <f aca="false">IF(TRIM(LOWER(E457))=TRIM(LOWER(J457)),"Match","Different")</f>
        <v>Different</v>
      </c>
    </row>
    <row r="458" customFormat="false" ht="15" hidden="false" customHeight="false" outlineLevel="0" collapsed="false">
      <c r="A458" s="4" t="s">
        <v>2012</v>
      </c>
      <c r="B458" s="4" t="s">
        <v>2004</v>
      </c>
      <c r="C458" s="4" t="s">
        <v>2008</v>
      </c>
      <c r="D458" s="4" t="s">
        <v>2013</v>
      </c>
      <c r="E458" s="4" t="s">
        <v>64</v>
      </c>
      <c r="F458" s="4" t="s">
        <v>2007</v>
      </c>
      <c r="G458" s="4" t="s">
        <v>98</v>
      </c>
      <c r="H458" s="4" t="s">
        <v>39</v>
      </c>
      <c r="I458" s="4" t="s">
        <v>40</v>
      </c>
      <c r="J458" s="4" t="s">
        <v>100</v>
      </c>
      <c r="K458" s="4" t="s">
        <v>2008</v>
      </c>
      <c r="L458" s="4" t="str">
        <f aca="false">IF(TRIM(LOWER(E458))=TRIM(LOWER(J458)),"Match","Different")</f>
        <v>Different</v>
      </c>
    </row>
    <row r="459" customFormat="false" ht="15" hidden="false" customHeight="false" outlineLevel="0" collapsed="false">
      <c r="A459" s="4" t="s">
        <v>2014</v>
      </c>
      <c r="B459" s="4" t="s">
        <v>2015</v>
      </c>
      <c r="C459" s="4" t="s">
        <v>2016</v>
      </c>
      <c r="D459" s="4"/>
      <c r="E459" s="4" t="s">
        <v>54</v>
      </c>
      <c r="F459" s="4" t="s">
        <v>2017</v>
      </c>
      <c r="G459" s="4" t="s">
        <v>136</v>
      </c>
      <c r="H459" s="4" t="s">
        <v>39</v>
      </c>
      <c r="I459" s="4" t="s">
        <v>1830</v>
      </c>
      <c r="J459" s="4" t="s">
        <v>30</v>
      </c>
      <c r="K459" s="4" t="s">
        <v>2016</v>
      </c>
      <c r="L459" s="4" t="str">
        <f aca="false">IF(TRIM(LOWER(E459))=TRIM(LOWER(J459)),"Match","Different")</f>
        <v>Different</v>
      </c>
    </row>
    <row r="460" customFormat="false" ht="15" hidden="false" customHeight="false" outlineLevel="0" collapsed="false">
      <c r="A460" s="4" t="s">
        <v>2018</v>
      </c>
      <c r="B460" s="4" t="s">
        <v>2019</v>
      </c>
      <c r="C460" s="4" t="s">
        <v>2020</v>
      </c>
      <c r="D460" s="4" t="s">
        <v>2021</v>
      </c>
      <c r="E460" s="4" t="s">
        <v>64</v>
      </c>
      <c r="F460" s="4" t="s">
        <v>2022</v>
      </c>
      <c r="G460" s="4" t="s">
        <v>136</v>
      </c>
      <c r="H460" s="4" t="s">
        <v>66</v>
      </c>
      <c r="I460" s="4" t="s">
        <v>297</v>
      </c>
      <c r="J460" s="4" t="s">
        <v>30</v>
      </c>
      <c r="K460" s="4" t="s">
        <v>2020</v>
      </c>
      <c r="L460" s="4" t="str">
        <f aca="false">IF(TRIM(LOWER(E460))=TRIM(LOWER(J460)),"Match","Different")</f>
        <v>Different</v>
      </c>
    </row>
    <row r="461" customFormat="false" ht="15" hidden="false" customHeight="false" outlineLevel="0" collapsed="false">
      <c r="A461" s="4" t="s">
        <v>2023</v>
      </c>
      <c r="B461" s="4" t="s">
        <v>2024</v>
      </c>
      <c r="C461" s="4" t="s">
        <v>2025</v>
      </c>
      <c r="D461" s="4" t="s">
        <v>2026</v>
      </c>
      <c r="E461" s="4" t="s">
        <v>64</v>
      </c>
      <c r="F461" s="4" t="s">
        <v>2027</v>
      </c>
      <c r="G461" s="4" t="s">
        <v>56</v>
      </c>
      <c r="H461" s="4" t="s">
        <v>39</v>
      </c>
      <c r="I461" s="4" t="s">
        <v>531</v>
      </c>
      <c r="J461" s="4" t="s">
        <v>64</v>
      </c>
      <c r="K461" s="4" t="s">
        <v>2028</v>
      </c>
      <c r="L461" s="4" t="str">
        <f aca="false">IF(TRIM(LOWER(E461))=TRIM(LOWER(J461)),"Match","Different")</f>
        <v>Match</v>
      </c>
    </row>
    <row r="462" customFormat="false" ht="15" hidden="false" customHeight="false" outlineLevel="0" collapsed="false">
      <c r="A462" s="4" t="s">
        <v>2029</v>
      </c>
      <c r="B462" s="4" t="s">
        <v>2030</v>
      </c>
      <c r="C462" s="4" t="s">
        <v>2031</v>
      </c>
      <c r="D462" s="4" t="s">
        <v>2032</v>
      </c>
      <c r="E462" s="4" t="s">
        <v>89</v>
      </c>
      <c r="F462" s="4" t="s">
        <v>2033</v>
      </c>
      <c r="G462" s="4" t="s">
        <v>27</v>
      </c>
      <c r="H462" s="4" t="s">
        <v>39</v>
      </c>
      <c r="I462" s="4" t="s">
        <v>208</v>
      </c>
      <c r="J462" s="4" t="s">
        <v>92</v>
      </c>
      <c r="K462" s="4" t="s">
        <v>2034</v>
      </c>
      <c r="L462" s="4" t="str">
        <f aca="false">IF(TRIM(LOWER(E462))=TRIM(LOWER(J462)),"Match","Different")</f>
        <v>Different</v>
      </c>
    </row>
    <row r="463" customFormat="false" ht="15" hidden="false" customHeight="false" outlineLevel="0" collapsed="false">
      <c r="A463" s="4" t="s">
        <v>2035</v>
      </c>
      <c r="B463" s="4" t="s">
        <v>2036</v>
      </c>
      <c r="C463" s="4" t="s">
        <v>2037</v>
      </c>
      <c r="D463" s="4" t="s">
        <v>2038</v>
      </c>
      <c r="E463" s="4" t="s">
        <v>89</v>
      </c>
      <c r="F463" s="4" t="s">
        <v>2039</v>
      </c>
      <c r="G463" s="4" t="s">
        <v>38</v>
      </c>
      <c r="H463" s="4" t="s">
        <v>39</v>
      </c>
      <c r="I463" s="4" t="s">
        <v>1188</v>
      </c>
      <c r="J463" s="4" t="s">
        <v>92</v>
      </c>
      <c r="K463" s="4" t="s">
        <v>2037</v>
      </c>
      <c r="L463" s="4" t="str">
        <f aca="false">IF(TRIM(LOWER(E463))=TRIM(LOWER(J463)),"Match","Different")</f>
        <v>Different</v>
      </c>
    </row>
    <row r="464" customFormat="false" ht="15" hidden="false" customHeight="false" outlineLevel="0" collapsed="false">
      <c r="A464" s="4" t="s">
        <v>2040</v>
      </c>
      <c r="B464" s="4" t="s">
        <v>2041</v>
      </c>
      <c r="C464" s="4"/>
      <c r="D464" s="4" t="s">
        <v>2042</v>
      </c>
      <c r="E464" s="4" t="s">
        <v>383</v>
      </c>
      <c r="F464" s="4" t="s">
        <v>2043</v>
      </c>
      <c r="G464" s="4" t="s">
        <v>47</v>
      </c>
      <c r="H464" s="4" t="s">
        <v>66</v>
      </c>
      <c r="I464" s="4" t="s">
        <v>91</v>
      </c>
      <c r="J464" s="4" t="s">
        <v>32</v>
      </c>
      <c r="K464" s="4" t="s">
        <v>2044</v>
      </c>
      <c r="L464" s="4" t="str">
        <f aca="false">IF(TRIM(LOWER(E464))=TRIM(LOWER(J464)),"Match","Different")</f>
        <v>Different</v>
      </c>
    </row>
    <row r="465" customFormat="false" ht="15" hidden="false" customHeight="false" outlineLevel="0" collapsed="false">
      <c r="A465" s="4" t="s">
        <v>2045</v>
      </c>
      <c r="B465" s="4" t="s">
        <v>2041</v>
      </c>
      <c r="C465" s="4" t="s">
        <v>2046</v>
      </c>
      <c r="D465" s="4" t="s">
        <v>2047</v>
      </c>
      <c r="E465" s="4" t="s">
        <v>25</v>
      </c>
      <c r="F465" s="4" t="s">
        <v>2043</v>
      </c>
      <c r="G465" s="4" t="s">
        <v>47</v>
      </c>
      <c r="H465" s="4" t="s">
        <v>66</v>
      </c>
      <c r="I465" s="4" t="s">
        <v>91</v>
      </c>
      <c r="J465" s="4" t="s">
        <v>32</v>
      </c>
      <c r="K465" s="4" t="s">
        <v>2044</v>
      </c>
      <c r="L465" s="4" t="str">
        <f aca="false">IF(TRIM(LOWER(E465))=TRIM(LOWER(J465)),"Match","Different")</f>
        <v>Different</v>
      </c>
    </row>
    <row r="466" customFormat="false" ht="15" hidden="false" customHeight="false" outlineLevel="0" collapsed="false">
      <c r="A466" s="4" t="s">
        <v>2048</v>
      </c>
      <c r="B466" s="4" t="s">
        <v>2041</v>
      </c>
      <c r="C466" s="4" t="s">
        <v>2044</v>
      </c>
      <c r="D466" s="4"/>
      <c r="E466" s="4" t="s">
        <v>25</v>
      </c>
      <c r="F466" s="4" t="s">
        <v>2043</v>
      </c>
      <c r="G466" s="4" t="s">
        <v>47</v>
      </c>
      <c r="H466" s="4" t="s">
        <v>66</v>
      </c>
      <c r="I466" s="4" t="s">
        <v>91</v>
      </c>
      <c r="J466" s="4" t="s">
        <v>32</v>
      </c>
      <c r="K466" s="4" t="s">
        <v>2044</v>
      </c>
      <c r="L466" s="4" t="str">
        <f aca="false">IF(TRIM(LOWER(E466))=TRIM(LOWER(J466)),"Match","Different")</f>
        <v>Different</v>
      </c>
    </row>
    <row r="467" customFormat="false" ht="15" hidden="false" customHeight="false" outlineLevel="0" collapsed="false">
      <c r="A467" s="4" t="s">
        <v>2049</v>
      </c>
      <c r="B467" s="4" t="s">
        <v>2050</v>
      </c>
      <c r="C467" s="4" t="s">
        <v>2051</v>
      </c>
      <c r="D467" s="4"/>
      <c r="E467" s="4" t="s">
        <v>25</v>
      </c>
      <c r="F467" s="4" t="s">
        <v>2052</v>
      </c>
      <c r="G467" s="4" t="s">
        <v>122</v>
      </c>
      <c r="H467" s="4" t="s">
        <v>39</v>
      </c>
      <c r="I467" s="4" t="s">
        <v>99</v>
      </c>
      <c r="J467" s="4" t="s">
        <v>100</v>
      </c>
      <c r="K467" s="4" t="s">
        <v>2053</v>
      </c>
      <c r="L467" s="4" t="str">
        <f aca="false">IF(TRIM(LOWER(E467))=TRIM(LOWER(J467)),"Match","Different")</f>
        <v>Different</v>
      </c>
    </row>
    <row r="468" customFormat="false" ht="15" hidden="false" customHeight="false" outlineLevel="0" collapsed="false">
      <c r="A468" s="4" t="s">
        <v>2054</v>
      </c>
      <c r="B468" s="4" t="s">
        <v>2055</v>
      </c>
      <c r="C468" s="4" t="s">
        <v>2056</v>
      </c>
      <c r="D468" s="4" t="s">
        <v>2057</v>
      </c>
      <c r="E468" s="4" t="s">
        <v>104</v>
      </c>
      <c r="F468" s="4" t="s">
        <v>2058</v>
      </c>
      <c r="G468" s="4" t="s">
        <v>38</v>
      </c>
      <c r="H468" s="4" t="s">
        <v>39</v>
      </c>
      <c r="I468" s="4" t="s">
        <v>99</v>
      </c>
      <c r="J468" s="4" t="s">
        <v>104</v>
      </c>
      <c r="K468" s="4" t="s">
        <v>2059</v>
      </c>
      <c r="L468" s="4" t="str">
        <f aca="false">IF(TRIM(LOWER(E468))=TRIM(LOWER(J468)),"Match","Different")</f>
        <v>Match</v>
      </c>
    </row>
    <row r="469" customFormat="false" ht="15" hidden="false" customHeight="false" outlineLevel="0" collapsed="false">
      <c r="A469" s="4" t="s">
        <v>45</v>
      </c>
      <c r="B469" s="4" t="s">
        <v>2055</v>
      </c>
      <c r="C469" s="4"/>
      <c r="D469" s="4"/>
      <c r="E469" s="4" t="s">
        <v>383</v>
      </c>
      <c r="F469" s="4" t="s">
        <v>2058</v>
      </c>
      <c r="G469" s="4" t="s">
        <v>38</v>
      </c>
      <c r="H469" s="4" t="s">
        <v>39</v>
      </c>
      <c r="I469" s="4" t="s">
        <v>99</v>
      </c>
      <c r="J469" s="4" t="s">
        <v>104</v>
      </c>
      <c r="K469" s="4" t="s">
        <v>2059</v>
      </c>
      <c r="L469" s="4" t="str">
        <f aca="false">IF(TRIM(LOWER(E469))=TRIM(LOWER(J469)),"Match","Different")</f>
        <v>Different</v>
      </c>
    </row>
    <row r="470" customFormat="false" ht="15" hidden="false" customHeight="false" outlineLevel="0" collapsed="false">
      <c r="A470" s="4" t="s">
        <v>2060</v>
      </c>
      <c r="B470" s="4" t="s">
        <v>2055</v>
      </c>
      <c r="C470" s="4" t="s">
        <v>2059</v>
      </c>
      <c r="D470" s="4"/>
      <c r="E470" s="4" t="s">
        <v>104</v>
      </c>
      <c r="F470" s="4" t="s">
        <v>2058</v>
      </c>
      <c r="G470" s="4" t="s">
        <v>38</v>
      </c>
      <c r="H470" s="4" t="s">
        <v>39</v>
      </c>
      <c r="I470" s="4" t="s">
        <v>99</v>
      </c>
      <c r="J470" s="4" t="s">
        <v>104</v>
      </c>
      <c r="K470" s="4" t="s">
        <v>2059</v>
      </c>
      <c r="L470" s="4" t="str">
        <f aca="false">IF(TRIM(LOWER(E470))=TRIM(LOWER(J470)),"Match","Different")</f>
        <v>Match</v>
      </c>
    </row>
    <row r="471" customFormat="false" ht="15" hidden="false" customHeight="false" outlineLevel="0" collapsed="false">
      <c r="A471" s="4" t="s">
        <v>2061</v>
      </c>
      <c r="B471" s="4" t="s">
        <v>2062</v>
      </c>
      <c r="C471" s="4" t="s">
        <v>2063</v>
      </c>
      <c r="D471" s="4" t="s">
        <v>1363</v>
      </c>
      <c r="E471" s="4" t="s">
        <v>50</v>
      </c>
      <c r="F471" s="4" t="s">
        <v>2064</v>
      </c>
      <c r="G471" s="4" t="s">
        <v>82</v>
      </c>
      <c r="H471" s="4" t="s">
        <v>66</v>
      </c>
      <c r="I471" s="4" t="s">
        <v>297</v>
      </c>
      <c r="J471" s="4" t="s">
        <v>50</v>
      </c>
      <c r="K471" s="4" t="s">
        <v>2065</v>
      </c>
      <c r="L471" s="4" t="str">
        <f aca="false">IF(TRIM(LOWER(E471))=TRIM(LOWER(J471)),"Match","Different")</f>
        <v>Match</v>
      </c>
    </row>
    <row r="472" customFormat="false" ht="15" hidden="false" customHeight="false" outlineLevel="0" collapsed="false">
      <c r="A472" s="4" t="s">
        <v>2066</v>
      </c>
      <c r="B472" s="4" t="s">
        <v>2062</v>
      </c>
      <c r="C472" s="4" t="s">
        <v>2067</v>
      </c>
      <c r="D472" s="4" t="s">
        <v>2068</v>
      </c>
      <c r="E472" s="4" t="s">
        <v>170</v>
      </c>
      <c r="F472" s="4" t="s">
        <v>2064</v>
      </c>
      <c r="G472" s="4" t="s">
        <v>82</v>
      </c>
      <c r="H472" s="4" t="s">
        <v>66</v>
      </c>
      <c r="I472" s="4" t="s">
        <v>297</v>
      </c>
      <c r="J472" s="4" t="s">
        <v>50</v>
      </c>
      <c r="K472" s="4" t="s">
        <v>2065</v>
      </c>
      <c r="L472" s="4" t="str">
        <f aca="false">IF(TRIM(LOWER(E472))=TRIM(LOWER(J472)),"Match","Different")</f>
        <v>Different</v>
      </c>
    </row>
    <row r="473" customFormat="false" ht="15" hidden="false" customHeight="false" outlineLevel="0" collapsed="false">
      <c r="A473" s="4" t="s">
        <v>2069</v>
      </c>
      <c r="B473" s="4" t="s">
        <v>2070</v>
      </c>
      <c r="C473" s="4" t="s">
        <v>2071</v>
      </c>
      <c r="D473" s="4" t="s">
        <v>2072</v>
      </c>
      <c r="E473" s="4" t="s">
        <v>50</v>
      </c>
      <c r="F473" s="4" t="s">
        <v>2073</v>
      </c>
      <c r="G473" s="4" t="s">
        <v>47</v>
      </c>
      <c r="H473" s="4" t="s">
        <v>66</v>
      </c>
      <c r="I473" s="4" t="s">
        <v>1206</v>
      </c>
      <c r="J473" s="4" t="s">
        <v>100</v>
      </c>
      <c r="K473" s="4" t="s">
        <v>2074</v>
      </c>
      <c r="L473" s="4" t="str">
        <f aca="false">IF(TRIM(LOWER(E473))=TRIM(LOWER(J473)),"Match","Different")</f>
        <v>Different</v>
      </c>
    </row>
    <row r="474" customFormat="false" ht="15" hidden="false" customHeight="false" outlineLevel="0" collapsed="false">
      <c r="A474" s="4" t="s">
        <v>2075</v>
      </c>
      <c r="B474" s="4" t="s">
        <v>2076</v>
      </c>
      <c r="C474" s="4"/>
      <c r="D474" s="4"/>
      <c r="E474" s="4" t="s">
        <v>89</v>
      </c>
      <c r="F474" s="4" t="s">
        <v>2077</v>
      </c>
      <c r="G474" s="4" t="s">
        <v>359</v>
      </c>
      <c r="H474" s="4" t="s">
        <v>39</v>
      </c>
      <c r="I474" s="4" t="s">
        <v>57</v>
      </c>
      <c r="J474" s="4" t="s">
        <v>30</v>
      </c>
      <c r="K474" s="4" t="s">
        <v>2078</v>
      </c>
      <c r="L474" s="4" t="str">
        <f aca="false">IF(TRIM(LOWER(E474))=TRIM(LOWER(J474)),"Match","Different")</f>
        <v>Different</v>
      </c>
    </row>
    <row r="475" customFormat="false" ht="15" hidden="false" customHeight="false" outlineLevel="0" collapsed="false">
      <c r="A475" s="4" t="s">
        <v>2079</v>
      </c>
      <c r="B475" s="4" t="s">
        <v>2080</v>
      </c>
      <c r="C475" s="4" t="s">
        <v>2081</v>
      </c>
      <c r="D475" s="4"/>
      <c r="E475" s="4" t="s">
        <v>25</v>
      </c>
      <c r="F475" s="4" t="s">
        <v>2082</v>
      </c>
      <c r="G475" s="4" t="s">
        <v>359</v>
      </c>
      <c r="H475" s="4" t="s">
        <v>66</v>
      </c>
      <c r="I475" s="4" t="s">
        <v>262</v>
      </c>
      <c r="J475" s="4" t="s">
        <v>32</v>
      </c>
      <c r="K475" s="4" t="s">
        <v>2083</v>
      </c>
      <c r="L475" s="4" t="str">
        <f aca="false">IF(TRIM(LOWER(E475))=TRIM(LOWER(J475)),"Match","Different")</f>
        <v>Different</v>
      </c>
    </row>
    <row r="476" customFormat="false" ht="15" hidden="false" customHeight="false" outlineLevel="0" collapsed="false">
      <c r="A476" s="4" t="s">
        <v>2084</v>
      </c>
      <c r="B476" s="4" t="s">
        <v>2080</v>
      </c>
      <c r="C476" s="4"/>
      <c r="D476" s="4"/>
      <c r="E476" s="4" t="s">
        <v>32</v>
      </c>
      <c r="F476" s="4" t="s">
        <v>2082</v>
      </c>
      <c r="G476" s="4" t="s">
        <v>359</v>
      </c>
      <c r="H476" s="4" t="s">
        <v>66</v>
      </c>
      <c r="I476" s="4" t="s">
        <v>262</v>
      </c>
      <c r="J476" s="4" t="s">
        <v>32</v>
      </c>
      <c r="K476" s="4" t="s">
        <v>2083</v>
      </c>
      <c r="L476" s="4" t="str">
        <f aca="false">IF(TRIM(LOWER(E476))=TRIM(LOWER(J476)),"Match","Different")</f>
        <v>Match</v>
      </c>
    </row>
    <row r="477" customFormat="false" ht="15" hidden="false" customHeight="false" outlineLevel="0" collapsed="false">
      <c r="A477" s="4" t="s">
        <v>2085</v>
      </c>
      <c r="B477" s="4" t="s">
        <v>2080</v>
      </c>
      <c r="C477" s="4" t="s">
        <v>2086</v>
      </c>
      <c r="D477" s="4" t="s">
        <v>2087</v>
      </c>
      <c r="E477" s="4" t="s">
        <v>25</v>
      </c>
      <c r="F477" s="4" t="s">
        <v>2082</v>
      </c>
      <c r="G477" s="4" t="s">
        <v>359</v>
      </c>
      <c r="H477" s="4" t="s">
        <v>66</v>
      </c>
      <c r="I477" s="4" t="s">
        <v>262</v>
      </c>
      <c r="J477" s="4" t="s">
        <v>32</v>
      </c>
      <c r="K477" s="4" t="s">
        <v>2083</v>
      </c>
      <c r="L477" s="4" t="str">
        <f aca="false">IF(TRIM(LOWER(E477))=TRIM(LOWER(J477)),"Match","Different")</f>
        <v>Different</v>
      </c>
    </row>
    <row r="478" customFormat="false" ht="15" hidden="false" customHeight="false" outlineLevel="0" collapsed="false">
      <c r="A478" s="4" t="s">
        <v>2088</v>
      </c>
      <c r="B478" s="4" t="s">
        <v>2080</v>
      </c>
      <c r="C478" s="4"/>
      <c r="D478" s="4" t="s">
        <v>2089</v>
      </c>
      <c r="E478" s="4" t="s">
        <v>32</v>
      </c>
      <c r="F478" s="4" t="s">
        <v>2082</v>
      </c>
      <c r="G478" s="4" t="s">
        <v>359</v>
      </c>
      <c r="H478" s="4" t="s">
        <v>66</v>
      </c>
      <c r="I478" s="4" t="s">
        <v>262</v>
      </c>
      <c r="J478" s="4" t="s">
        <v>32</v>
      </c>
      <c r="K478" s="4" t="s">
        <v>2083</v>
      </c>
      <c r="L478" s="4" t="str">
        <f aca="false">IF(TRIM(LOWER(E478))=TRIM(LOWER(J478)),"Match","Different")</f>
        <v>Match</v>
      </c>
    </row>
    <row r="479" customFormat="false" ht="15" hidden="false" customHeight="false" outlineLevel="0" collapsed="false">
      <c r="A479" s="4" t="s">
        <v>2088</v>
      </c>
      <c r="B479" s="4" t="s">
        <v>2080</v>
      </c>
      <c r="C479" s="4"/>
      <c r="D479" s="4"/>
      <c r="E479" s="4" t="s">
        <v>32</v>
      </c>
      <c r="F479" s="4" t="s">
        <v>2082</v>
      </c>
      <c r="G479" s="4" t="s">
        <v>359</v>
      </c>
      <c r="H479" s="4" t="s">
        <v>66</v>
      </c>
      <c r="I479" s="4" t="s">
        <v>262</v>
      </c>
      <c r="J479" s="4" t="s">
        <v>32</v>
      </c>
      <c r="K479" s="4" t="s">
        <v>2083</v>
      </c>
      <c r="L479" s="4" t="str">
        <f aca="false">IF(TRIM(LOWER(E479))=TRIM(LOWER(J479)),"Match","Different")</f>
        <v>Match</v>
      </c>
    </row>
    <row r="480" customFormat="false" ht="15" hidden="false" customHeight="false" outlineLevel="0" collapsed="false">
      <c r="A480" s="4" t="s">
        <v>2090</v>
      </c>
      <c r="B480" s="4" t="s">
        <v>2091</v>
      </c>
      <c r="C480" s="4" t="s">
        <v>2092</v>
      </c>
      <c r="D480" s="4"/>
      <c r="E480" s="4" t="s">
        <v>50</v>
      </c>
      <c r="F480" s="4" t="s">
        <v>2093</v>
      </c>
      <c r="G480" s="4" t="s">
        <v>56</v>
      </c>
      <c r="H480" s="4" t="s">
        <v>66</v>
      </c>
      <c r="I480" s="4" t="s">
        <v>194</v>
      </c>
      <c r="J480" s="4" t="s">
        <v>30</v>
      </c>
      <c r="K480" s="4" t="s">
        <v>2092</v>
      </c>
      <c r="L480" s="4" t="str">
        <f aca="false">IF(TRIM(LOWER(E480))=TRIM(LOWER(J480)),"Match","Different")</f>
        <v>Different</v>
      </c>
    </row>
    <row r="481" customFormat="false" ht="15" hidden="false" customHeight="false" outlineLevel="0" collapsed="false">
      <c r="A481" s="4" t="s">
        <v>2094</v>
      </c>
      <c r="B481" s="4" t="s">
        <v>2095</v>
      </c>
      <c r="C481" s="4" t="s">
        <v>2096</v>
      </c>
      <c r="D481" s="4"/>
      <c r="E481" s="4" t="s">
        <v>89</v>
      </c>
      <c r="F481" s="4" t="s">
        <v>2097</v>
      </c>
      <c r="G481" s="4" t="s">
        <v>128</v>
      </c>
      <c r="H481" s="4" t="s">
        <v>39</v>
      </c>
      <c r="I481" s="4" t="s">
        <v>129</v>
      </c>
      <c r="J481" s="4" t="s">
        <v>92</v>
      </c>
      <c r="K481" s="4" t="s">
        <v>2098</v>
      </c>
      <c r="L481" s="4" t="str">
        <f aca="false">IF(TRIM(LOWER(E481))=TRIM(LOWER(J481)),"Match","Different")</f>
        <v>Different</v>
      </c>
    </row>
    <row r="482" customFormat="false" ht="15" hidden="false" customHeight="false" outlineLevel="0" collapsed="false">
      <c r="A482" s="4" t="s">
        <v>2099</v>
      </c>
      <c r="B482" s="4" t="s">
        <v>2100</v>
      </c>
      <c r="C482" s="4" t="s">
        <v>2101</v>
      </c>
      <c r="D482" s="4" t="s">
        <v>2102</v>
      </c>
      <c r="E482" s="4" t="s">
        <v>89</v>
      </c>
      <c r="F482" s="4" t="s">
        <v>2103</v>
      </c>
      <c r="G482" s="4" t="s">
        <v>47</v>
      </c>
      <c r="H482" s="4" t="s">
        <v>39</v>
      </c>
      <c r="I482" s="4" t="s">
        <v>40</v>
      </c>
      <c r="J482" s="4" t="s">
        <v>30</v>
      </c>
      <c r="K482" s="4" t="s">
        <v>2101</v>
      </c>
      <c r="L482" s="4" t="str">
        <f aca="false">IF(TRIM(LOWER(E482))=TRIM(LOWER(J482)),"Match","Different")</f>
        <v>Different</v>
      </c>
    </row>
    <row r="483" customFormat="false" ht="15" hidden="false" customHeight="false" outlineLevel="0" collapsed="false">
      <c r="A483" s="4" t="s">
        <v>2104</v>
      </c>
      <c r="B483" s="4" t="s">
        <v>2105</v>
      </c>
      <c r="C483" s="4" t="s">
        <v>2106</v>
      </c>
      <c r="D483" s="4"/>
      <c r="E483" s="4" t="s">
        <v>50</v>
      </c>
      <c r="F483" s="4" t="s">
        <v>2107</v>
      </c>
      <c r="G483" s="4" t="s">
        <v>27</v>
      </c>
      <c r="H483" s="4" t="s">
        <v>39</v>
      </c>
      <c r="I483" s="4" t="s">
        <v>297</v>
      </c>
      <c r="J483" s="4" t="s">
        <v>32</v>
      </c>
      <c r="K483" s="4" t="s">
        <v>2106</v>
      </c>
      <c r="L483" s="4" t="str">
        <f aca="false">IF(TRIM(LOWER(E483))=TRIM(LOWER(J483)),"Match","Different")</f>
        <v>Different</v>
      </c>
    </row>
    <row r="484" customFormat="false" ht="15" hidden="false" customHeight="false" outlineLevel="0" collapsed="false">
      <c r="A484" s="4" t="s">
        <v>2108</v>
      </c>
      <c r="B484" s="4" t="s">
        <v>2109</v>
      </c>
      <c r="C484" s="4" t="s">
        <v>2110</v>
      </c>
      <c r="D484" s="4"/>
      <c r="E484" s="4" t="s">
        <v>89</v>
      </c>
      <c r="F484" s="4" t="s">
        <v>2111</v>
      </c>
      <c r="G484" s="4" t="s">
        <v>688</v>
      </c>
      <c r="H484" s="4" t="s">
        <v>1601</v>
      </c>
      <c r="I484" s="4" t="s">
        <v>430</v>
      </c>
      <c r="J484" s="4" t="s">
        <v>92</v>
      </c>
      <c r="K484" s="4" t="s">
        <v>2112</v>
      </c>
      <c r="L484" s="4" t="str">
        <f aca="false">IF(TRIM(LOWER(E484))=TRIM(LOWER(J484)),"Match","Different")</f>
        <v>Different</v>
      </c>
    </row>
    <row r="485" customFormat="false" ht="15" hidden="false" customHeight="false" outlineLevel="0" collapsed="false">
      <c r="A485" s="4" t="s">
        <v>2113</v>
      </c>
      <c r="B485" s="4" t="s">
        <v>2114</v>
      </c>
      <c r="C485" s="4" t="s">
        <v>2115</v>
      </c>
      <c r="D485" s="4" t="s">
        <v>2116</v>
      </c>
      <c r="E485" s="4" t="s">
        <v>170</v>
      </c>
      <c r="F485" s="4" t="s">
        <v>2117</v>
      </c>
      <c r="G485" s="4" t="s">
        <v>136</v>
      </c>
      <c r="H485" s="4" t="s">
        <v>172</v>
      </c>
      <c r="I485" s="4" t="s">
        <v>173</v>
      </c>
      <c r="J485" s="4" t="s">
        <v>174</v>
      </c>
      <c r="K485" s="4" t="s">
        <v>2118</v>
      </c>
      <c r="L485" s="4" t="str">
        <f aca="false">IF(TRIM(LOWER(E485))=TRIM(LOWER(J485)),"Match","Different")</f>
        <v>Different</v>
      </c>
    </row>
    <row r="486" customFormat="false" ht="15" hidden="false" customHeight="false" outlineLevel="0" collapsed="false">
      <c r="A486" s="4" t="s">
        <v>2119</v>
      </c>
      <c r="B486" s="4" t="s">
        <v>2114</v>
      </c>
      <c r="C486" s="4"/>
      <c r="D486" s="4" t="s">
        <v>2120</v>
      </c>
      <c r="E486" s="4" t="s">
        <v>170</v>
      </c>
      <c r="F486" s="4" t="s">
        <v>2117</v>
      </c>
      <c r="G486" s="4" t="s">
        <v>136</v>
      </c>
      <c r="H486" s="4" t="s">
        <v>172</v>
      </c>
      <c r="I486" s="4" t="s">
        <v>173</v>
      </c>
      <c r="J486" s="4" t="s">
        <v>174</v>
      </c>
      <c r="K486" s="4" t="s">
        <v>2118</v>
      </c>
      <c r="L486" s="4" t="str">
        <f aca="false">IF(TRIM(LOWER(E486))=TRIM(LOWER(J486)),"Match","Different")</f>
        <v>Different</v>
      </c>
    </row>
    <row r="487" customFormat="false" ht="15" hidden="false" customHeight="false" outlineLevel="0" collapsed="false">
      <c r="A487" s="4" t="s">
        <v>2121</v>
      </c>
      <c r="B487" s="4" t="s">
        <v>2122</v>
      </c>
      <c r="C487" s="4" t="s">
        <v>2123</v>
      </c>
      <c r="D487" s="4"/>
      <c r="E487" s="4" t="s">
        <v>341</v>
      </c>
      <c r="F487" s="4" t="s">
        <v>2124</v>
      </c>
      <c r="G487" s="4" t="s">
        <v>359</v>
      </c>
      <c r="H487" s="4" t="s">
        <v>39</v>
      </c>
      <c r="I487" s="4" t="s">
        <v>129</v>
      </c>
      <c r="J487" s="4" t="s">
        <v>30</v>
      </c>
      <c r="K487" s="4" t="s">
        <v>2123</v>
      </c>
      <c r="L487" s="4" t="str">
        <f aca="false">IF(TRIM(LOWER(E487))=TRIM(LOWER(J487)),"Match","Different")</f>
        <v>Different</v>
      </c>
    </row>
    <row r="488" customFormat="false" ht="15" hidden="false" customHeight="false" outlineLevel="0" collapsed="false">
      <c r="A488" s="4" t="s">
        <v>2125</v>
      </c>
      <c r="B488" s="4" t="s">
        <v>2126</v>
      </c>
      <c r="C488" s="4" t="s">
        <v>2127</v>
      </c>
      <c r="D488" s="4"/>
      <c r="E488" s="4" t="s">
        <v>50</v>
      </c>
      <c r="F488" s="4" t="s">
        <v>2128</v>
      </c>
      <c r="G488" s="4" t="s">
        <v>56</v>
      </c>
      <c r="H488" s="4" t="s">
        <v>39</v>
      </c>
      <c r="I488" s="4" t="s">
        <v>881</v>
      </c>
      <c r="J488" s="4" t="s">
        <v>50</v>
      </c>
      <c r="K488" s="4" t="s">
        <v>2127</v>
      </c>
      <c r="L488" s="4" t="str">
        <f aca="false">IF(TRIM(LOWER(E488))=TRIM(LOWER(J488)),"Match","Different")</f>
        <v>Match</v>
      </c>
    </row>
    <row r="489" customFormat="false" ht="15" hidden="false" customHeight="false" outlineLevel="0" collapsed="false">
      <c r="A489" s="4" t="s">
        <v>2125</v>
      </c>
      <c r="B489" s="4" t="s">
        <v>2126</v>
      </c>
      <c r="C489" s="4" t="s">
        <v>2129</v>
      </c>
      <c r="D489" s="4"/>
      <c r="E489" s="4" t="s">
        <v>341</v>
      </c>
      <c r="F489" s="4" t="s">
        <v>2128</v>
      </c>
      <c r="G489" s="4" t="s">
        <v>56</v>
      </c>
      <c r="H489" s="4" t="s">
        <v>39</v>
      </c>
      <c r="I489" s="4" t="s">
        <v>881</v>
      </c>
      <c r="J489" s="4" t="s">
        <v>50</v>
      </c>
      <c r="K489" s="4" t="s">
        <v>2127</v>
      </c>
      <c r="L489" s="4" t="str">
        <f aca="false">IF(TRIM(LOWER(E489))=TRIM(LOWER(J489)),"Match","Different")</f>
        <v>Different</v>
      </c>
    </row>
    <row r="490" customFormat="false" ht="15" hidden="false" customHeight="false" outlineLevel="0" collapsed="false">
      <c r="A490" s="4" t="s">
        <v>2130</v>
      </c>
      <c r="B490" s="4" t="s">
        <v>2131</v>
      </c>
      <c r="C490" s="4" t="s">
        <v>2132</v>
      </c>
      <c r="D490" s="4" t="s">
        <v>2133</v>
      </c>
      <c r="E490" s="4" t="s">
        <v>89</v>
      </c>
      <c r="F490" s="4" t="s">
        <v>2134</v>
      </c>
      <c r="G490" s="4" t="s">
        <v>38</v>
      </c>
      <c r="H490" s="4" t="s">
        <v>39</v>
      </c>
      <c r="I490" s="4" t="s">
        <v>881</v>
      </c>
      <c r="J490" s="4" t="s">
        <v>30</v>
      </c>
      <c r="K490" s="4" t="s">
        <v>2135</v>
      </c>
      <c r="L490" s="4" t="str">
        <f aca="false">IF(TRIM(LOWER(E490))=TRIM(LOWER(J490)),"Match","Different")</f>
        <v>Different</v>
      </c>
    </row>
    <row r="491" customFormat="false" ht="15" hidden="false" customHeight="false" outlineLevel="0" collapsed="false">
      <c r="A491" s="4" t="s">
        <v>2136</v>
      </c>
      <c r="B491" s="4" t="s">
        <v>2137</v>
      </c>
      <c r="C491" s="4" t="s">
        <v>2138</v>
      </c>
      <c r="D491" s="4" t="s">
        <v>2139</v>
      </c>
      <c r="E491" s="4" t="s">
        <v>89</v>
      </c>
      <c r="F491" s="4" t="s">
        <v>2140</v>
      </c>
      <c r="G491" s="4" t="s">
        <v>27</v>
      </c>
      <c r="H491" s="4" t="s">
        <v>39</v>
      </c>
      <c r="I491" s="4" t="s">
        <v>881</v>
      </c>
      <c r="J491" s="4" t="s">
        <v>30</v>
      </c>
      <c r="K491" s="4" t="s">
        <v>2141</v>
      </c>
      <c r="L491" s="4" t="str">
        <f aca="false">IF(TRIM(LOWER(E491))=TRIM(LOWER(J491)),"Match","Different")</f>
        <v>Different</v>
      </c>
    </row>
    <row r="492" customFormat="false" ht="15" hidden="false" customHeight="false" outlineLevel="0" collapsed="false">
      <c r="A492" s="4" t="s">
        <v>2142</v>
      </c>
      <c r="B492" s="4" t="s">
        <v>2143</v>
      </c>
      <c r="C492" s="4" t="s">
        <v>2144</v>
      </c>
      <c r="D492" s="4" t="s">
        <v>2145</v>
      </c>
      <c r="E492" s="4" t="s">
        <v>104</v>
      </c>
      <c r="F492" s="4" t="s">
        <v>2146</v>
      </c>
      <c r="G492" s="4" t="s">
        <v>38</v>
      </c>
      <c r="H492" s="4" t="s">
        <v>39</v>
      </c>
      <c r="I492" s="4" t="s">
        <v>821</v>
      </c>
      <c r="J492" s="4" t="s">
        <v>104</v>
      </c>
      <c r="K492" s="4" t="s">
        <v>2147</v>
      </c>
      <c r="L492" s="4" t="str">
        <f aca="false">IF(TRIM(LOWER(E492))=TRIM(LOWER(J492)),"Match","Different")</f>
        <v>Match</v>
      </c>
    </row>
    <row r="493" customFormat="false" ht="15" hidden="false" customHeight="false" outlineLevel="0" collapsed="false">
      <c r="A493" s="4" t="s">
        <v>2148</v>
      </c>
      <c r="B493" s="4" t="s">
        <v>2143</v>
      </c>
      <c r="C493" s="4" t="s">
        <v>2147</v>
      </c>
      <c r="D493" s="4"/>
      <c r="E493" s="4" t="s">
        <v>104</v>
      </c>
      <c r="F493" s="4" t="s">
        <v>2146</v>
      </c>
      <c r="G493" s="4" t="s">
        <v>38</v>
      </c>
      <c r="H493" s="4" t="s">
        <v>39</v>
      </c>
      <c r="I493" s="4" t="s">
        <v>821</v>
      </c>
      <c r="J493" s="4" t="s">
        <v>104</v>
      </c>
      <c r="K493" s="4" t="s">
        <v>2147</v>
      </c>
      <c r="L493" s="4" t="str">
        <f aca="false">IF(TRIM(LOWER(E493))=TRIM(LOWER(J493)),"Match","Different")</f>
        <v>Match</v>
      </c>
    </row>
    <row r="494" customFormat="false" ht="15" hidden="false" customHeight="false" outlineLevel="0" collapsed="false">
      <c r="A494" s="4" t="s">
        <v>2149</v>
      </c>
      <c r="B494" s="4" t="s">
        <v>2150</v>
      </c>
      <c r="C494" s="4" t="s">
        <v>2151</v>
      </c>
      <c r="D494" s="4" t="s">
        <v>2152</v>
      </c>
      <c r="E494" s="4" t="s">
        <v>64</v>
      </c>
      <c r="F494" s="4" t="s">
        <v>2153</v>
      </c>
      <c r="G494" s="4" t="s">
        <v>56</v>
      </c>
      <c r="H494" s="4" t="s">
        <v>39</v>
      </c>
      <c r="I494" s="4" t="s">
        <v>732</v>
      </c>
      <c r="J494" s="4" t="s">
        <v>64</v>
      </c>
      <c r="K494" s="4" t="s">
        <v>2154</v>
      </c>
      <c r="L494" s="4" t="str">
        <f aca="false">IF(TRIM(LOWER(E494))=TRIM(LOWER(J494)),"Match","Different")</f>
        <v>Match</v>
      </c>
    </row>
    <row r="495" customFormat="false" ht="15" hidden="false" customHeight="false" outlineLevel="0" collapsed="false">
      <c r="A495" s="4" t="s">
        <v>2155</v>
      </c>
      <c r="B495" s="4" t="s">
        <v>2156</v>
      </c>
      <c r="C495" s="4" t="s">
        <v>2157</v>
      </c>
      <c r="D495" s="4"/>
      <c r="E495" s="4" t="s">
        <v>89</v>
      </c>
      <c r="F495" s="4" t="s">
        <v>2158</v>
      </c>
      <c r="G495" s="4" t="s">
        <v>56</v>
      </c>
      <c r="H495" s="4" t="s">
        <v>39</v>
      </c>
      <c r="I495" s="4" t="s">
        <v>147</v>
      </c>
      <c r="J495" s="4" t="s">
        <v>100</v>
      </c>
      <c r="K495" s="4" t="s">
        <v>2157</v>
      </c>
      <c r="L495" s="4" t="str">
        <f aca="false">IF(TRIM(LOWER(E495))=TRIM(LOWER(J495)),"Match","Different")</f>
        <v>Different</v>
      </c>
    </row>
    <row r="496" customFormat="false" ht="15" hidden="false" customHeight="false" outlineLevel="0" collapsed="false">
      <c r="A496" s="4" t="s">
        <v>2159</v>
      </c>
      <c r="B496" s="4" t="s">
        <v>2160</v>
      </c>
      <c r="C496" s="4" t="s">
        <v>2161</v>
      </c>
      <c r="D496" s="4" t="s">
        <v>2162</v>
      </c>
      <c r="E496" s="4" t="s">
        <v>25</v>
      </c>
      <c r="F496" s="4" t="s">
        <v>2163</v>
      </c>
      <c r="G496" s="4" t="s">
        <v>122</v>
      </c>
      <c r="H496" s="4" t="s">
        <v>39</v>
      </c>
      <c r="I496" s="4" t="s">
        <v>2164</v>
      </c>
      <c r="J496" s="4" t="s">
        <v>50</v>
      </c>
      <c r="K496" s="4" t="s">
        <v>2161</v>
      </c>
      <c r="L496" s="4" t="str">
        <f aca="false">IF(TRIM(LOWER(E496))=TRIM(LOWER(J496)),"Match","Different")</f>
        <v>Different</v>
      </c>
    </row>
    <row r="497" customFormat="false" ht="15" hidden="false" customHeight="false" outlineLevel="0" collapsed="false">
      <c r="A497" s="4" t="s">
        <v>2165</v>
      </c>
      <c r="B497" s="4" t="s">
        <v>2166</v>
      </c>
      <c r="C497" s="4" t="s">
        <v>2167</v>
      </c>
      <c r="D497" s="4"/>
      <c r="E497" s="4" t="s">
        <v>54</v>
      </c>
      <c r="F497" s="4" t="s">
        <v>2168</v>
      </c>
      <c r="G497" s="4" t="s">
        <v>27</v>
      </c>
      <c r="H497" s="4" t="s">
        <v>39</v>
      </c>
      <c r="I497" s="4" t="s">
        <v>2169</v>
      </c>
      <c r="J497" s="4" t="s">
        <v>58</v>
      </c>
      <c r="K497" s="4" t="s">
        <v>2170</v>
      </c>
      <c r="L497" s="4" t="str">
        <f aca="false">IF(TRIM(LOWER(E497))=TRIM(LOWER(J497)),"Match","Different")</f>
        <v>Different</v>
      </c>
    </row>
    <row r="498" customFormat="false" ht="15" hidden="false" customHeight="false" outlineLevel="0" collapsed="false">
      <c r="A498" s="4" t="s">
        <v>2171</v>
      </c>
      <c r="B498" s="4" t="s">
        <v>2172</v>
      </c>
      <c r="C498" s="4" t="s">
        <v>2173</v>
      </c>
      <c r="D498" s="4" t="s">
        <v>2174</v>
      </c>
      <c r="E498" s="4" t="s">
        <v>25</v>
      </c>
      <c r="F498" s="4" t="s">
        <v>2175</v>
      </c>
      <c r="G498" s="4" t="s">
        <v>27</v>
      </c>
      <c r="H498" s="4" t="s">
        <v>39</v>
      </c>
      <c r="I498" s="4" t="s">
        <v>99</v>
      </c>
      <c r="J498" s="4" t="s">
        <v>32</v>
      </c>
      <c r="K498" s="4" t="s">
        <v>2176</v>
      </c>
      <c r="L498" s="4" t="str">
        <f aca="false">IF(TRIM(LOWER(E498))=TRIM(LOWER(J498)),"Match","Different")</f>
        <v>Different</v>
      </c>
    </row>
    <row r="499" customFormat="false" ht="15" hidden="false" customHeight="false" outlineLevel="0" collapsed="false">
      <c r="A499" s="4" t="s">
        <v>2177</v>
      </c>
      <c r="B499" s="4" t="s">
        <v>2172</v>
      </c>
      <c r="C499" s="4" t="s">
        <v>2176</v>
      </c>
      <c r="D499" s="4"/>
      <c r="E499" s="4" t="s">
        <v>25</v>
      </c>
      <c r="F499" s="4" t="s">
        <v>2175</v>
      </c>
      <c r="G499" s="4" t="s">
        <v>27</v>
      </c>
      <c r="H499" s="4" t="s">
        <v>39</v>
      </c>
      <c r="I499" s="4" t="s">
        <v>99</v>
      </c>
      <c r="J499" s="4" t="s">
        <v>32</v>
      </c>
      <c r="K499" s="4" t="s">
        <v>2176</v>
      </c>
      <c r="L499" s="4" t="str">
        <f aca="false">IF(TRIM(LOWER(E499))=TRIM(LOWER(J499)),"Match","Different")</f>
        <v>Different</v>
      </c>
    </row>
    <row r="500" customFormat="false" ht="15" hidden="false" customHeight="false" outlineLevel="0" collapsed="false">
      <c r="A500" s="4" t="s">
        <v>2178</v>
      </c>
      <c r="B500" s="4" t="s">
        <v>2179</v>
      </c>
      <c r="C500" s="4" t="s">
        <v>2180</v>
      </c>
      <c r="D500" s="4"/>
      <c r="E500" s="4" t="s">
        <v>54</v>
      </c>
      <c r="F500" s="4" t="s">
        <v>2181</v>
      </c>
      <c r="G500" s="4" t="s">
        <v>207</v>
      </c>
      <c r="H500" s="4" t="s">
        <v>39</v>
      </c>
      <c r="I500" s="4" t="s">
        <v>430</v>
      </c>
      <c r="J500" s="4" t="s">
        <v>58</v>
      </c>
      <c r="K500" s="4" t="s">
        <v>2182</v>
      </c>
      <c r="L500" s="4" t="str">
        <f aca="false">IF(TRIM(LOWER(E500))=TRIM(LOWER(J500)),"Match","Different")</f>
        <v>Different</v>
      </c>
    </row>
    <row r="501" customFormat="false" ht="15" hidden="false" customHeight="false" outlineLevel="0" collapsed="false">
      <c r="A501" s="4" t="s">
        <v>2183</v>
      </c>
      <c r="B501" s="4" t="s">
        <v>2179</v>
      </c>
      <c r="C501" s="4" t="s">
        <v>2184</v>
      </c>
      <c r="D501" s="4"/>
      <c r="E501" s="4" t="s">
        <v>54</v>
      </c>
      <c r="F501" s="4" t="s">
        <v>2181</v>
      </c>
      <c r="G501" s="4" t="s">
        <v>207</v>
      </c>
      <c r="H501" s="4" t="s">
        <v>39</v>
      </c>
      <c r="I501" s="4" t="s">
        <v>430</v>
      </c>
      <c r="J501" s="4" t="s">
        <v>58</v>
      </c>
      <c r="K501" s="4" t="s">
        <v>2182</v>
      </c>
      <c r="L501" s="4" t="str">
        <f aca="false">IF(TRIM(LOWER(E501))=TRIM(LOWER(J501)),"Match","Different")</f>
        <v>Different</v>
      </c>
    </row>
    <row r="502" customFormat="false" ht="15" hidden="false" customHeight="false" outlineLevel="0" collapsed="false">
      <c r="A502" s="4" t="s">
        <v>2185</v>
      </c>
      <c r="B502" s="4" t="s">
        <v>2186</v>
      </c>
      <c r="C502" s="4"/>
      <c r="D502" s="4" t="s">
        <v>2187</v>
      </c>
      <c r="E502" s="4" t="s">
        <v>170</v>
      </c>
      <c r="F502" s="4" t="s">
        <v>2188</v>
      </c>
      <c r="G502" s="4" t="s">
        <v>82</v>
      </c>
      <c r="H502" s="4" t="s">
        <v>172</v>
      </c>
      <c r="I502" s="4" t="s">
        <v>173</v>
      </c>
      <c r="J502" s="4" t="s">
        <v>174</v>
      </c>
      <c r="K502" s="4" t="s">
        <v>2189</v>
      </c>
      <c r="L502" s="4" t="str">
        <f aca="false">IF(TRIM(LOWER(E502))=TRIM(LOWER(J502)),"Match","Different")</f>
        <v>Different</v>
      </c>
    </row>
    <row r="503" customFormat="false" ht="15" hidden="false" customHeight="false" outlineLevel="0" collapsed="false">
      <c r="A503" s="4" t="s">
        <v>2190</v>
      </c>
      <c r="B503" s="4" t="s">
        <v>2186</v>
      </c>
      <c r="C503" s="4"/>
      <c r="D503" s="4" t="s">
        <v>2191</v>
      </c>
      <c r="E503" s="4" t="s">
        <v>170</v>
      </c>
      <c r="F503" s="4" t="s">
        <v>2188</v>
      </c>
      <c r="G503" s="4" t="s">
        <v>82</v>
      </c>
      <c r="H503" s="4" t="s">
        <v>172</v>
      </c>
      <c r="I503" s="4" t="s">
        <v>173</v>
      </c>
      <c r="J503" s="4" t="s">
        <v>174</v>
      </c>
      <c r="K503" s="4" t="s">
        <v>2189</v>
      </c>
      <c r="L503" s="4" t="str">
        <f aca="false">IF(TRIM(LOWER(E503))=TRIM(LOWER(J503)),"Match","Different")</f>
        <v>Different</v>
      </c>
    </row>
    <row r="504" customFormat="false" ht="15" hidden="false" customHeight="false" outlineLevel="0" collapsed="false">
      <c r="A504" s="4" t="s">
        <v>2192</v>
      </c>
      <c r="B504" s="4" t="s">
        <v>2186</v>
      </c>
      <c r="C504" s="4"/>
      <c r="D504" s="4" t="s">
        <v>2193</v>
      </c>
      <c r="E504" s="4" t="s">
        <v>170</v>
      </c>
      <c r="F504" s="4" t="s">
        <v>2188</v>
      </c>
      <c r="G504" s="4" t="s">
        <v>82</v>
      </c>
      <c r="H504" s="4" t="s">
        <v>172</v>
      </c>
      <c r="I504" s="4" t="s">
        <v>173</v>
      </c>
      <c r="J504" s="4" t="s">
        <v>174</v>
      </c>
      <c r="K504" s="4" t="s">
        <v>2189</v>
      </c>
      <c r="L504" s="4" t="str">
        <f aca="false">IF(TRIM(LOWER(E504))=TRIM(LOWER(J504)),"Match","Different")</f>
        <v>Different</v>
      </c>
    </row>
    <row r="505" customFormat="false" ht="15" hidden="false" customHeight="false" outlineLevel="0" collapsed="false">
      <c r="A505" s="4" t="s">
        <v>2194</v>
      </c>
      <c r="B505" s="4" t="s">
        <v>2195</v>
      </c>
      <c r="C505" s="4" t="s">
        <v>2196</v>
      </c>
      <c r="D505" s="4" t="s">
        <v>2197</v>
      </c>
      <c r="E505" s="4" t="s">
        <v>89</v>
      </c>
      <c r="F505" s="4" t="s">
        <v>2198</v>
      </c>
      <c r="G505" s="4" t="s">
        <v>82</v>
      </c>
      <c r="H505" s="4" t="s">
        <v>66</v>
      </c>
      <c r="I505" s="4" t="s">
        <v>536</v>
      </c>
      <c r="J505" s="4" t="s">
        <v>92</v>
      </c>
      <c r="K505" s="4" t="s">
        <v>2199</v>
      </c>
      <c r="L505" s="4" t="str">
        <f aca="false">IF(TRIM(LOWER(E505))=TRIM(LOWER(J505)),"Match","Different")</f>
        <v>Different</v>
      </c>
    </row>
    <row r="506" customFormat="false" ht="15" hidden="false" customHeight="false" outlineLevel="0" collapsed="false">
      <c r="A506" s="4" t="s">
        <v>2200</v>
      </c>
      <c r="B506" s="4" t="s">
        <v>2195</v>
      </c>
      <c r="C506" s="4" t="s">
        <v>2199</v>
      </c>
      <c r="D506" s="4" t="s">
        <v>2201</v>
      </c>
      <c r="E506" s="4" t="s">
        <v>50</v>
      </c>
      <c r="F506" s="4" t="s">
        <v>2198</v>
      </c>
      <c r="G506" s="4" t="s">
        <v>82</v>
      </c>
      <c r="H506" s="4" t="s">
        <v>66</v>
      </c>
      <c r="I506" s="4" t="s">
        <v>536</v>
      </c>
      <c r="J506" s="4" t="s">
        <v>92</v>
      </c>
      <c r="K506" s="4" t="s">
        <v>2199</v>
      </c>
      <c r="L506" s="4" t="str">
        <f aca="false">IF(TRIM(LOWER(E506))=TRIM(LOWER(J506)),"Match","Different")</f>
        <v>Different</v>
      </c>
    </row>
    <row r="507" customFormat="false" ht="15" hidden="false" customHeight="false" outlineLevel="0" collapsed="false">
      <c r="A507" s="4" t="s">
        <v>2202</v>
      </c>
      <c r="B507" s="4" t="s">
        <v>2203</v>
      </c>
      <c r="C507" s="4" t="s">
        <v>2204</v>
      </c>
      <c r="D507" s="4" t="s">
        <v>2205</v>
      </c>
      <c r="E507" s="4" t="s">
        <v>104</v>
      </c>
      <c r="F507" s="4" t="s">
        <v>2206</v>
      </c>
      <c r="G507" s="4" t="s">
        <v>56</v>
      </c>
      <c r="H507" s="4" t="s">
        <v>498</v>
      </c>
      <c r="I507" s="4" t="s">
        <v>942</v>
      </c>
      <c r="J507" s="4" t="s">
        <v>104</v>
      </c>
      <c r="K507" s="4" t="s">
        <v>2207</v>
      </c>
      <c r="L507" s="4" t="str">
        <f aca="false">IF(TRIM(LOWER(E507))=TRIM(LOWER(J507)),"Match","Different")</f>
        <v>Match</v>
      </c>
    </row>
    <row r="508" customFormat="false" ht="15" hidden="false" customHeight="false" outlineLevel="0" collapsed="false">
      <c r="A508" s="4" t="s">
        <v>2208</v>
      </c>
      <c r="B508" s="4" t="s">
        <v>2203</v>
      </c>
      <c r="C508" s="4" t="s">
        <v>2209</v>
      </c>
      <c r="D508" s="4"/>
      <c r="E508" s="4" t="s">
        <v>341</v>
      </c>
      <c r="F508" s="4" t="s">
        <v>2206</v>
      </c>
      <c r="G508" s="4" t="s">
        <v>56</v>
      </c>
      <c r="H508" s="4" t="s">
        <v>498</v>
      </c>
      <c r="I508" s="4" t="s">
        <v>942</v>
      </c>
      <c r="J508" s="4" t="s">
        <v>104</v>
      </c>
      <c r="K508" s="4" t="s">
        <v>2207</v>
      </c>
      <c r="L508" s="4" t="str">
        <f aca="false">IF(TRIM(LOWER(E508))=TRIM(LOWER(J508)),"Match","Different")</f>
        <v>Different</v>
      </c>
    </row>
    <row r="509" customFormat="false" ht="15" hidden="false" customHeight="false" outlineLevel="0" collapsed="false">
      <c r="A509" s="4" t="s">
        <v>2210</v>
      </c>
      <c r="B509" s="4" t="s">
        <v>2211</v>
      </c>
      <c r="C509" s="4" t="s">
        <v>2212</v>
      </c>
      <c r="D509" s="4"/>
      <c r="E509" s="4" t="s">
        <v>25</v>
      </c>
      <c r="F509" s="4" t="s">
        <v>2213</v>
      </c>
      <c r="G509" s="4" t="s">
        <v>122</v>
      </c>
      <c r="H509" s="4" t="s">
        <v>28</v>
      </c>
      <c r="I509" s="4" t="s">
        <v>1105</v>
      </c>
      <c r="J509" s="4" t="s">
        <v>50</v>
      </c>
      <c r="K509" s="4" t="s">
        <v>2214</v>
      </c>
      <c r="L509" s="4" t="str">
        <f aca="false">IF(TRIM(LOWER(E509))=TRIM(LOWER(J509)),"Match","Different")</f>
        <v>Different</v>
      </c>
    </row>
    <row r="510" customFormat="false" ht="15" hidden="false" customHeight="false" outlineLevel="0" collapsed="false">
      <c r="A510" s="4" t="s">
        <v>2215</v>
      </c>
      <c r="B510" s="4" t="s">
        <v>2216</v>
      </c>
      <c r="C510" s="4" t="s">
        <v>2217</v>
      </c>
      <c r="D510" s="4" t="s">
        <v>2218</v>
      </c>
      <c r="E510" s="4" t="s">
        <v>89</v>
      </c>
      <c r="F510" s="4" t="s">
        <v>2219</v>
      </c>
      <c r="G510" s="4" t="s">
        <v>82</v>
      </c>
      <c r="H510" s="4" t="s">
        <v>39</v>
      </c>
      <c r="I510" s="4" t="s">
        <v>821</v>
      </c>
      <c r="J510" s="4" t="s">
        <v>30</v>
      </c>
      <c r="K510" s="4" t="s">
        <v>2220</v>
      </c>
      <c r="L510" s="4" t="str">
        <f aca="false">IF(TRIM(LOWER(E510))=TRIM(LOWER(J510)),"Match","Different")</f>
        <v>Different</v>
      </c>
    </row>
    <row r="511" customFormat="false" ht="15" hidden="false" customHeight="false" outlineLevel="0" collapsed="false">
      <c r="A511" s="4" t="s">
        <v>2221</v>
      </c>
      <c r="B511" s="4" t="s">
        <v>2222</v>
      </c>
      <c r="C511" s="4" t="s">
        <v>2223</v>
      </c>
      <c r="D511" s="4" t="s">
        <v>1363</v>
      </c>
      <c r="E511" s="4" t="s">
        <v>50</v>
      </c>
      <c r="F511" s="4" t="s">
        <v>2224</v>
      </c>
      <c r="G511" s="4" t="s">
        <v>128</v>
      </c>
      <c r="H511" s="4" t="s">
        <v>66</v>
      </c>
      <c r="I511" s="4" t="s">
        <v>2225</v>
      </c>
      <c r="J511" s="4" t="s">
        <v>100</v>
      </c>
      <c r="K511" s="4" t="s">
        <v>2226</v>
      </c>
      <c r="L511" s="4" t="str">
        <f aca="false">IF(TRIM(LOWER(E511))=TRIM(LOWER(J511)),"Match","Different")</f>
        <v>Different</v>
      </c>
    </row>
    <row r="512" customFormat="false" ht="15" hidden="false" customHeight="false" outlineLevel="0" collapsed="false">
      <c r="A512" s="4" t="s">
        <v>2227</v>
      </c>
      <c r="B512" s="4" t="s">
        <v>2228</v>
      </c>
      <c r="C512" s="4"/>
      <c r="D512" s="4" t="s">
        <v>2229</v>
      </c>
      <c r="E512" s="4" t="s">
        <v>383</v>
      </c>
      <c r="F512" s="4" t="s">
        <v>2230</v>
      </c>
      <c r="G512" s="4" t="s">
        <v>56</v>
      </c>
      <c r="H512" s="4" t="s">
        <v>498</v>
      </c>
      <c r="I512" s="4" t="s">
        <v>499</v>
      </c>
      <c r="J512" s="4" t="s">
        <v>50</v>
      </c>
      <c r="K512" s="4" t="s">
        <v>2231</v>
      </c>
      <c r="L512" s="4" t="str">
        <f aca="false">IF(TRIM(LOWER(E512))=TRIM(LOWER(J512)),"Match","Different")</f>
        <v>Different</v>
      </c>
    </row>
    <row r="513" customFormat="false" ht="15" hidden="false" customHeight="false" outlineLevel="0" collapsed="false">
      <c r="A513" s="4" t="s">
        <v>2232</v>
      </c>
      <c r="B513" s="4" t="s">
        <v>2228</v>
      </c>
      <c r="C513" s="4" t="s">
        <v>2233</v>
      </c>
      <c r="D513" s="4" t="s">
        <v>2234</v>
      </c>
      <c r="E513" s="4" t="s">
        <v>25</v>
      </c>
      <c r="F513" s="4" t="s">
        <v>2230</v>
      </c>
      <c r="G513" s="4" t="s">
        <v>56</v>
      </c>
      <c r="H513" s="4" t="s">
        <v>498</v>
      </c>
      <c r="I513" s="4" t="s">
        <v>499</v>
      </c>
      <c r="J513" s="4" t="s">
        <v>50</v>
      </c>
      <c r="K513" s="4" t="s">
        <v>2231</v>
      </c>
      <c r="L513" s="4" t="str">
        <f aca="false">IF(TRIM(LOWER(E513))=TRIM(LOWER(J513)),"Match","Different")</f>
        <v>Different</v>
      </c>
    </row>
    <row r="514" customFormat="false" ht="15" hidden="false" customHeight="false" outlineLevel="0" collapsed="false">
      <c r="A514" s="4" t="s">
        <v>2235</v>
      </c>
      <c r="B514" s="4" t="s">
        <v>2228</v>
      </c>
      <c r="C514" s="4" t="s">
        <v>2231</v>
      </c>
      <c r="D514" s="4" t="s">
        <v>2234</v>
      </c>
      <c r="E514" s="4" t="s">
        <v>25</v>
      </c>
      <c r="F514" s="4" t="s">
        <v>2230</v>
      </c>
      <c r="G514" s="4" t="s">
        <v>56</v>
      </c>
      <c r="H514" s="4" t="s">
        <v>498</v>
      </c>
      <c r="I514" s="4" t="s">
        <v>499</v>
      </c>
      <c r="J514" s="4" t="s">
        <v>50</v>
      </c>
      <c r="K514" s="4" t="s">
        <v>2231</v>
      </c>
      <c r="L514" s="4" t="str">
        <f aca="false">IF(TRIM(LOWER(E514))=TRIM(LOWER(J514)),"Match","Different")</f>
        <v>Different</v>
      </c>
    </row>
    <row r="515" customFormat="false" ht="15" hidden="false" customHeight="false" outlineLevel="0" collapsed="false">
      <c r="A515" s="4" t="s">
        <v>2236</v>
      </c>
      <c r="B515" s="4" t="s">
        <v>2237</v>
      </c>
      <c r="C515" s="4" t="s">
        <v>2238</v>
      </c>
      <c r="D515" s="4" t="s">
        <v>2239</v>
      </c>
      <c r="E515" s="4" t="s">
        <v>170</v>
      </c>
      <c r="F515" s="4" t="s">
        <v>2240</v>
      </c>
      <c r="G515" s="4" t="s">
        <v>359</v>
      </c>
      <c r="H515" s="4" t="s">
        <v>172</v>
      </c>
      <c r="I515" s="4" t="s">
        <v>173</v>
      </c>
      <c r="J515" s="4" t="s">
        <v>174</v>
      </c>
      <c r="K515" s="4" t="s">
        <v>2241</v>
      </c>
      <c r="L515" s="4" t="str">
        <f aca="false">IF(TRIM(LOWER(E515))=TRIM(LOWER(J515)),"Match","Different")</f>
        <v>Different</v>
      </c>
    </row>
    <row r="516" customFormat="false" ht="15" hidden="false" customHeight="false" outlineLevel="0" collapsed="false">
      <c r="A516" s="4" t="s">
        <v>2242</v>
      </c>
      <c r="B516" s="4" t="s">
        <v>2237</v>
      </c>
      <c r="C516" s="4" t="s">
        <v>2243</v>
      </c>
      <c r="D516" s="4"/>
      <c r="E516" s="4" t="s">
        <v>170</v>
      </c>
      <c r="F516" s="4" t="s">
        <v>2240</v>
      </c>
      <c r="G516" s="4" t="s">
        <v>359</v>
      </c>
      <c r="H516" s="4" t="s">
        <v>172</v>
      </c>
      <c r="I516" s="4" t="s">
        <v>173</v>
      </c>
      <c r="J516" s="4" t="s">
        <v>174</v>
      </c>
      <c r="K516" s="4" t="s">
        <v>2241</v>
      </c>
      <c r="L516" s="4" t="str">
        <f aca="false">IF(TRIM(LOWER(E516))=TRIM(LOWER(J516)),"Match","Different")</f>
        <v>Different</v>
      </c>
    </row>
    <row r="517" customFormat="false" ht="15" hidden="false" customHeight="false" outlineLevel="0" collapsed="false">
      <c r="A517" s="4" t="s">
        <v>2244</v>
      </c>
      <c r="B517" s="4" t="s">
        <v>2245</v>
      </c>
      <c r="C517" s="4"/>
      <c r="D517" s="4" t="s">
        <v>2246</v>
      </c>
      <c r="E517" s="4" t="s">
        <v>54</v>
      </c>
      <c r="F517" s="4" t="s">
        <v>2247</v>
      </c>
      <c r="G517" s="4" t="s">
        <v>359</v>
      </c>
      <c r="H517" s="4" t="s">
        <v>39</v>
      </c>
      <c r="I517" s="4" t="s">
        <v>99</v>
      </c>
      <c r="J517" s="4" t="s">
        <v>58</v>
      </c>
      <c r="K517" s="4" t="s">
        <v>2248</v>
      </c>
      <c r="L517" s="4" t="str">
        <f aca="false">IF(TRIM(LOWER(E517))=TRIM(LOWER(J517)),"Match","Different")</f>
        <v>Different</v>
      </c>
    </row>
    <row r="518" customFormat="false" ht="15" hidden="false" customHeight="false" outlineLevel="0" collapsed="false">
      <c r="A518" s="4" t="s">
        <v>2249</v>
      </c>
      <c r="B518" s="4" t="s">
        <v>2250</v>
      </c>
      <c r="C518" s="4" t="s">
        <v>2251</v>
      </c>
      <c r="D518" s="4"/>
      <c r="E518" s="4" t="s">
        <v>170</v>
      </c>
      <c r="F518" s="4" t="s">
        <v>2252</v>
      </c>
      <c r="G518" s="4" t="s">
        <v>56</v>
      </c>
      <c r="H518" s="4" t="s">
        <v>66</v>
      </c>
      <c r="I518" s="4" t="s">
        <v>402</v>
      </c>
      <c r="J518" s="4" t="s">
        <v>32</v>
      </c>
      <c r="K518" s="4" t="s">
        <v>2253</v>
      </c>
      <c r="L518" s="4" t="str">
        <f aca="false">IF(TRIM(LOWER(E518))=TRIM(LOWER(J518)),"Match","Different")</f>
        <v>Different</v>
      </c>
    </row>
    <row r="519" customFormat="false" ht="15" hidden="false" customHeight="false" outlineLevel="0" collapsed="false">
      <c r="A519" s="4" t="s">
        <v>2254</v>
      </c>
      <c r="B519" s="4" t="s">
        <v>2250</v>
      </c>
      <c r="C519" s="4" t="s">
        <v>2253</v>
      </c>
      <c r="D519" s="4"/>
      <c r="E519" s="4" t="s">
        <v>54</v>
      </c>
      <c r="F519" s="4" t="s">
        <v>2252</v>
      </c>
      <c r="G519" s="4" t="s">
        <v>56</v>
      </c>
      <c r="H519" s="4" t="s">
        <v>66</v>
      </c>
      <c r="I519" s="4" t="s">
        <v>402</v>
      </c>
      <c r="J519" s="4" t="s">
        <v>32</v>
      </c>
      <c r="K519" s="4" t="s">
        <v>2253</v>
      </c>
      <c r="L519" s="4" t="str">
        <f aca="false">IF(TRIM(LOWER(E519))=TRIM(LOWER(J519)),"Match","Different")</f>
        <v>Different</v>
      </c>
    </row>
    <row r="520" customFormat="false" ht="15" hidden="false" customHeight="false" outlineLevel="0" collapsed="false">
      <c r="A520" s="4" t="s">
        <v>2254</v>
      </c>
      <c r="B520" s="4" t="s">
        <v>2250</v>
      </c>
      <c r="C520" s="4" t="s">
        <v>2255</v>
      </c>
      <c r="D520" s="4"/>
      <c r="E520" s="4" t="s">
        <v>341</v>
      </c>
      <c r="F520" s="4" t="s">
        <v>2252</v>
      </c>
      <c r="G520" s="4" t="s">
        <v>56</v>
      </c>
      <c r="H520" s="4" t="s">
        <v>66</v>
      </c>
      <c r="I520" s="4" t="s">
        <v>402</v>
      </c>
      <c r="J520" s="4" t="s">
        <v>32</v>
      </c>
      <c r="K520" s="4" t="s">
        <v>2253</v>
      </c>
      <c r="L520" s="4" t="str">
        <f aca="false">IF(TRIM(LOWER(E520))=TRIM(LOWER(J520)),"Match","Different")</f>
        <v>Different</v>
      </c>
    </row>
    <row r="521" customFormat="false" ht="15" hidden="false" customHeight="false" outlineLevel="0" collapsed="false">
      <c r="A521" s="4" t="s">
        <v>2256</v>
      </c>
      <c r="B521" s="4" t="s">
        <v>2257</v>
      </c>
      <c r="C521" s="4" t="s">
        <v>2258</v>
      </c>
      <c r="D521" s="4"/>
      <c r="E521" s="4" t="s">
        <v>64</v>
      </c>
      <c r="F521" s="4" t="s">
        <v>2259</v>
      </c>
      <c r="G521" s="4" t="s">
        <v>122</v>
      </c>
      <c r="H521" s="4" t="s">
        <v>28</v>
      </c>
      <c r="I521" s="4" t="s">
        <v>123</v>
      </c>
      <c r="J521" s="4" t="s">
        <v>64</v>
      </c>
      <c r="K521" s="4" t="s">
        <v>2258</v>
      </c>
      <c r="L521" s="4" t="str">
        <f aca="false">IF(TRIM(LOWER(E521))=TRIM(LOWER(J521)),"Match","Different")</f>
        <v>Match</v>
      </c>
    </row>
    <row r="522" customFormat="false" ht="15" hidden="false" customHeight="false" outlineLevel="0" collapsed="false">
      <c r="A522" s="4" t="s">
        <v>2260</v>
      </c>
      <c r="B522" s="4" t="s">
        <v>2261</v>
      </c>
      <c r="C522" s="4" t="s">
        <v>2262</v>
      </c>
      <c r="D522" s="4" t="s">
        <v>2263</v>
      </c>
      <c r="E522" s="4" t="s">
        <v>25</v>
      </c>
      <c r="F522" s="4" t="s">
        <v>2264</v>
      </c>
      <c r="G522" s="4" t="s">
        <v>56</v>
      </c>
      <c r="H522" s="4" t="s">
        <v>39</v>
      </c>
      <c r="I522" s="4" t="s">
        <v>99</v>
      </c>
      <c r="J522" s="4" t="s">
        <v>30</v>
      </c>
      <c r="K522" s="4" t="s">
        <v>2262</v>
      </c>
      <c r="L522" s="4" t="str">
        <f aca="false">IF(TRIM(LOWER(E522))=TRIM(LOWER(J522)),"Match","Different")</f>
        <v>Different</v>
      </c>
    </row>
    <row r="523" customFormat="false" ht="15" hidden="false" customHeight="false" outlineLevel="0" collapsed="false">
      <c r="A523" s="4" t="s">
        <v>2265</v>
      </c>
      <c r="B523" s="4" t="s">
        <v>2261</v>
      </c>
      <c r="C523" s="4"/>
      <c r="D523" s="4" t="s">
        <v>2266</v>
      </c>
      <c r="E523" s="4" t="s">
        <v>25</v>
      </c>
      <c r="F523" s="4" t="s">
        <v>2264</v>
      </c>
      <c r="G523" s="4" t="s">
        <v>56</v>
      </c>
      <c r="H523" s="4" t="s">
        <v>39</v>
      </c>
      <c r="I523" s="4" t="s">
        <v>99</v>
      </c>
      <c r="J523" s="4" t="s">
        <v>30</v>
      </c>
      <c r="K523" s="4" t="s">
        <v>2262</v>
      </c>
      <c r="L523" s="4" t="str">
        <f aca="false">IF(TRIM(LOWER(E523))=TRIM(LOWER(J523)),"Match","Different")</f>
        <v>Different</v>
      </c>
    </row>
    <row r="524" customFormat="false" ht="15" hidden="false" customHeight="false" outlineLevel="0" collapsed="false">
      <c r="A524" s="4" t="s">
        <v>2267</v>
      </c>
      <c r="B524" s="4" t="s">
        <v>2268</v>
      </c>
      <c r="C524" s="4" t="s">
        <v>2269</v>
      </c>
      <c r="D524" s="4"/>
      <c r="E524" s="4" t="s">
        <v>45</v>
      </c>
      <c r="F524" s="4" t="s">
        <v>2270</v>
      </c>
      <c r="G524" s="4" t="s">
        <v>1324</v>
      </c>
      <c r="H524" s="4" t="s">
        <v>39</v>
      </c>
      <c r="I524" s="4" t="s">
        <v>99</v>
      </c>
      <c r="J524" s="4" t="s">
        <v>30</v>
      </c>
      <c r="K524" s="4" t="s">
        <v>2269</v>
      </c>
      <c r="L524" s="4" t="str">
        <f aca="false">IF(TRIM(LOWER(E524))=TRIM(LOWER(J524)),"Match","Different")</f>
        <v>Different</v>
      </c>
    </row>
    <row r="525" customFormat="false" ht="15" hidden="false" customHeight="false" outlineLevel="0" collapsed="false">
      <c r="A525" s="4" t="s">
        <v>2271</v>
      </c>
      <c r="B525" s="4" t="s">
        <v>2272</v>
      </c>
      <c r="C525" s="4" t="s">
        <v>2273</v>
      </c>
      <c r="D525" s="4" t="s">
        <v>2274</v>
      </c>
      <c r="E525" s="4" t="s">
        <v>89</v>
      </c>
      <c r="F525" s="4" t="s">
        <v>2275</v>
      </c>
      <c r="G525" s="4" t="s">
        <v>27</v>
      </c>
      <c r="H525" s="4" t="s">
        <v>66</v>
      </c>
      <c r="I525" s="4" t="s">
        <v>1087</v>
      </c>
      <c r="J525" s="4" t="s">
        <v>100</v>
      </c>
      <c r="K525" s="4" t="s">
        <v>2276</v>
      </c>
      <c r="L525" s="4" t="str">
        <f aca="false">IF(TRIM(LOWER(E525))=TRIM(LOWER(J525)),"Match","Different")</f>
        <v>Different</v>
      </c>
    </row>
    <row r="526" customFormat="false" ht="15" hidden="false" customHeight="false" outlineLevel="0" collapsed="false">
      <c r="A526" s="4" t="s">
        <v>2277</v>
      </c>
      <c r="B526" s="4" t="s">
        <v>2278</v>
      </c>
      <c r="C526" s="4" t="s">
        <v>2279</v>
      </c>
      <c r="D526" s="4"/>
      <c r="E526" s="4" t="s">
        <v>89</v>
      </c>
      <c r="F526" s="4" t="s">
        <v>2280</v>
      </c>
      <c r="G526" s="4" t="s">
        <v>82</v>
      </c>
      <c r="H526" s="4" t="s">
        <v>39</v>
      </c>
      <c r="I526" s="4" t="s">
        <v>99</v>
      </c>
      <c r="J526" s="4" t="s">
        <v>30</v>
      </c>
      <c r="K526" s="4" t="s">
        <v>2281</v>
      </c>
      <c r="L526" s="4" t="str">
        <f aca="false">IF(TRIM(LOWER(E526))=TRIM(LOWER(J526)),"Match","Different")</f>
        <v>Different</v>
      </c>
    </row>
    <row r="527" customFormat="false" ht="15" hidden="false" customHeight="false" outlineLevel="0" collapsed="false">
      <c r="A527" s="4" t="s">
        <v>2282</v>
      </c>
      <c r="B527" s="4" t="s">
        <v>2283</v>
      </c>
      <c r="C527" s="4" t="s">
        <v>2284</v>
      </c>
      <c r="D527" s="4"/>
      <c r="E527" s="4" t="s">
        <v>341</v>
      </c>
      <c r="F527" s="4" t="s">
        <v>2285</v>
      </c>
      <c r="G527" s="4" t="s">
        <v>359</v>
      </c>
      <c r="H527" s="4" t="s">
        <v>28</v>
      </c>
      <c r="I527" s="4" t="s">
        <v>123</v>
      </c>
      <c r="J527" s="4" t="s">
        <v>64</v>
      </c>
      <c r="K527" s="4" t="s">
        <v>2284</v>
      </c>
      <c r="L527" s="4" t="str">
        <f aca="false">IF(TRIM(LOWER(E527))=TRIM(LOWER(J527)),"Match","Different")</f>
        <v>Different</v>
      </c>
    </row>
    <row r="528" customFormat="false" ht="15" hidden="false" customHeight="false" outlineLevel="0" collapsed="false">
      <c r="A528" s="4" t="s">
        <v>2286</v>
      </c>
      <c r="B528" s="4" t="s">
        <v>2283</v>
      </c>
      <c r="C528" s="4" t="s">
        <v>2287</v>
      </c>
      <c r="D528" s="4" t="s">
        <v>2288</v>
      </c>
      <c r="E528" s="4" t="s">
        <v>64</v>
      </c>
      <c r="F528" s="4" t="s">
        <v>2285</v>
      </c>
      <c r="G528" s="4" t="s">
        <v>359</v>
      </c>
      <c r="H528" s="4" t="s">
        <v>28</v>
      </c>
      <c r="I528" s="4" t="s">
        <v>123</v>
      </c>
      <c r="J528" s="4" t="s">
        <v>64</v>
      </c>
      <c r="K528" s="4" t="s">
        <v>2284</v>
      </c>
      <c r="L528" s="4" t="str">
        <f aca="false">IF(TRIM(LOWER(E528))=TRIM(LOWER(J528)),"Match","Different")</f>
        <v>Match</v>
      </c>
    </row>
    <row r="529" customFormat="false" ht="15" hidden="false" customHeight="false" outlineLevel="0" collapsed="false">
      <c r="A529" s="4" t="s">
        <v>2289</v>
      </c>
      <c r="B529" s="4" t="s">
        <v>2290</v>
      </c>
      <c r="C529" s="4" t="s">
        <v>2291</v>
      </c>
      <c r="D529" s="4" t="s">
        <v>2292</v>
      </c>
      <c r="E529" s="4" t="s">
        <v>89</v>
      </c>
      <c r="F529" s="4" t="s">
        <v>2293</v>
      </c>
      <c r="G529" s="4" t="s">
        <v>47</v>
      </c>
      <c r="H529" s="4" t="s">
        <v>66</v>
      </c>
      <c r="I529" s="4" t="s">
        <v>2294</v>
      </c>
      <c r="J529" s="4" t="s">
        <v>100</v>
      </c>
      <c r="K529" s="4" t="s">
        <v>2295</v>
      </c>
      <c r="L529" s="4" t="str">
        <f aca="false">IF(TRIM(LOWER(E529))=TRIM(LOWER(J529)),"Match","Different")</f>
        <v>Different</v>
      </c>
    </row>
    <row r="530" customFormat="false" ht="15" hidden="false" customHeight="false" outlineLevel="0" collapsed="false">
      <c r="A530" s="4" t="s">
        <v>2296</v>
      </c>
      <c r="B530" s="4" t="s">
        <v>2297</v>
      </c>
      <c r="C530" s="4" t="s">
        <v>2298</v>
      </c>
      <c r="D530" s="4" t="s">
        <v>2299</v>
      </c>
      <c r="E530" s="4" t="s">
        <v>50</v>
      </c>
      <c r="F530" s="4" t="s">
        <v>2300</v>
      </c>
      <c r="G530" s="4" t="s">
        <v>27</v>
      </c>
      <c r="H530" s="4" t="s">
        <v>66</v>
      </c>
      <c r="I530" s="4" t="s">
        <v>536</v>
      </c>
      <c r="J530" s="4" t="s">
        <v>100</v>
      </c>
      <c r="K530" s="4"/>
      <c r="L530" s="4" t="str">
        <f aca="false">IF(TRIM(LOWER(E530))=TRIM(LOWER(J530)),"Match","Different")</f>
        <v>Different</v>
      </c>
    </row>
    <row r="531" customFormat="false" ht="15" hidden="false" customHeight="false" outlineLevel="0" collapsed="false">
      <c r="A531" s="4" t="s">
        <v>2301</v>
      </c>
      <c r="B531" s="4" t="s">
        <v>2302</v>
      </c>
      <c r="C531" s="4" t="s">
        <v>2303</v>
      </c>
      <c r="D531" s="4" t="s">
        <v>2304</v>
      </c>
      <c r="E531" s="4" t="s">
        <v>64</v>
      </c>
      <c r="F531" s="4" t="s">
        <v>2305</v>
      </c>
      <c r="G531" s="4" t="s">
        <v>56</v>
      </c>
      <c r="H531" s="4" t="s">
        <v>39</v>
      </c>
      <c r="I531" s="4" t="s">
        <v>1188</v>
      </c>
      <c r="J531" s="4" t="s">
        <v>30</v>
      </c>
      <c r="K531" s="4" t="s">
        <v>2303</v>
      </c>
      <c r="L531" s="4" t="str">
        <f aca="false">IF(TRIM(LOWER(E531))=TRIM(LOWER(J531)),"Match","Different")</f>
        <v>Different</v>
      </c>
    </row>
    <row r="532" customFormat="false" ht="15" hidden="false" customHeight="false" outlineLevel="0" collapsed="false">
      <c r="A532" s="4" t="s">
        <v>2306</v>
      </c>
      <c r="B532" s="4" t="s">
        <v>2307</v>
      </c>
      <c r="C532" s="4" t="s">
        <v>2308</v>
      </c>
      <c r="D532" s="4" t="s">
        <v>2309</v>
      </c>
      <c r="E532" s="4" t="s">
        <v>89</v>
      </c>
      <c r="F532" s="4" t="s">
        <v>2310</v>
      </c>
      <c r="G532" s="4" t="s">
        <v>82</v>
      </c>
      <c r="H532" s="4" t="s">
        <v>66</v>
      </c>
      <c r="I532" s="4" t="s">
        <v>226</v>
      </c>
      <c r="J532" s="4" t="s">
        <v>100</v>
      </c>
      <c r="K532" s="4" t="s">
        <v>2311</v>
      </c>
      <c r="L532" s="4" t="str">
        <f aca="false">IF(TRIM(LOWER(E532))=TRIM(LOWER(J532)),"Match","Different")</f>
        <v>Different</v>
      </c>
    </row>
    <row r="533" customFormat="false" ht="15" hidden="false" customHeight="false" outlineLevel="0" collapsed="false">
      <c r="A533" s="4" t="s">
        <v>2312</v>
      </c>
      <c r="B533" s="4" t="s">
        <v>2313</v>
      </c>
      <c r="C533" s="4" t="s">
        <v>2314</v>
      </c>
      <c r="D533" s="4" t="s">
        <v>2315</v>
      </c>
      <c r="E533" s="4" t="s">
        <v>104</v>
      </c>
      <c r="F533" s="4" t="s">
        <v>2316</v>
      </c>
      <c r="G533" s="4" t="s">
        <v>47</v>
      </c>
      <c r="H533" s="4" t="s">
        <v>66</v>
      </c>
      <c r="I533" s="4" t="s">
        <v>568</v>
      </c>
      <c r="J533" s="4" t="s">
        <v>104</v>
      </c>
      <c r="K533" s="4" t="s">
        <v>2317</v>
      </c>
      <c r="L533" s="4" t="str">
        <f aca="false">IF(TRIM(LOWER(E533))=TRIM(LOWER(J533)),"Match","Different")</f>
        <v>Match</v>
      </c>
    </row>
    <row r="534" customFormat="false" ht="15" hidden="false" customHeight="false" outlineLevel="0" collapsed="false">
      <c r="A534" s="4" t="s">
        <v>2318</v>
      </c>
      <c r="B534" s="4" t="s">
        <v>2319</v>
      </c>
      <c r="C534" s="4" t="s">
        <v>2320</v>
      </c>
      <c r="D534" s="4" t="s">
        <v>2321</v>
      </c>
      <c r="E534" s="4" t="s">
        <v>89</v>
      </c>
      <c r="F534" s="4" t="s">
        <v>2322</v>
      </c>
      <c r="G534" s="4" t="s">
        <v>575</v>
      </c>
      <c r="H534" s="4" t="s">
        <v>2323</v>
      </c>
      <c r="I534" s="4" t="s">
        <v>499</v>
      </c>
      <c r="J534" s="4" t="s">
        <v>30</v>
      </c>
      <c r="K534" s="4" t="s">
        <v>2320</v>
      </c>
      <c r="L534" s="4" t="str">
        <f aca="false">IF(TRIM(LOWER(E534))=TRIM(LOWER(J534)),"Match","Different")</f>
        <v>Different</v>
      </c>
    </row>
    <row r="535" customFormat="false" ht="15" hidden="false" customHeight="false" outlineLevel="0" collapsed="false">
      <c r="A535" s="4" t="s">
        <v>2324</v>
      </c>
      <c r="B535" s="4" t="s">
        <v>2325</v>
      </c>
      <c r="C535" s="4"/>
      <c r="D535" s="4"/>
      <c r="E535" s="4" t="s">
        <v>32</v>
      </c>
      <c r="F535" s="4" t="s">
        <v>2326</v>
      </c>
      <c r="G535" s="4" t="s">
        <v>359</v>
      </c>
      <c r="H535" s="4" t="s">
        <v>48</v>
      </c>
      <c r="I535" s="4" t="s">
        <v>194</v>
      </c>
      <c r="J535" s="4" t="s">
        <v>32</v>
      </c>
      <c r="K535" s="4" t="s">
        <v>2327</v>
      </c>
      <c r="L535" s="4" t="str">
        <f aca="false">IF(TRIM(LOWER(E535))=TRIM(LOWER(J535)),"Match","Different")</f>
        <v>Match</v>
      </c>
    </row>
    <row r="536" customFormat="false" ht="15" hidden="false" customHeight="false" outlineLevel="0" collapsed="false">
      <c r="A536" s="4" t="s">
        <v>2324</v>
      </c>
      <c r="B536" s="4" t="s">
        <v>2325</v>
      </c>
      <c r="C536" s="4"/>
      <c r="D536" s="4"/>
      <c r="E536" s="4" t="s">
        <v>32</v>
      </c>
      <c r="F536" s="4" t="s">
        <v>2326</v>
      </c>
      <c r="G536" s="4" t="s">
        <v>359</v>
      </c>
      <c r="H536" s="4" t="s">
        <v>48</v>
      </c>
      <c r="I536" s="4" t="s">
        <v>194</v>
      </c>
      <c r="J536" s="4" t="s">
        <v>32</v>
      </c>
      <c r="K536" s="4" t="s">
        <v>2327</v>
      </c>
      <c r="L536" s="4" t="str">
        <f aca="false">IF(TRIM(LOWER(E536))=TRIM(LOWER(J536)),"Match","Different")</f>
        <v>Match</v>
      </c>
    </row>
    <row r="537" customFormat="false" ht="15" hidden="false" customHeight="false" outlineLevel="0" collapsed="false">
      <c r="A537" s="4" t="s">
        <v>2328</v>
      </c>
      <c r="B537" s="4" t="s">
        <v>2325</v>
      </c>
      <c r="C537" s="4" t="s">
        <v>2329</v>
      </c>
      <c r="D537" s="4" t="s">
        <v>2330</v>
      </c>
      <c r="E537" s="4" t="s">
        <v>25</v>
      </c>
      <c r="F537" s="4" t="s">
        <v>2326</v>
      </c>
      <c r="G537" s="4" t="s">
        <v>359</v>
      </c>
      <c r="H537" s="4" t="s">
        <v>48</v>
      </c>
      <c r="I537" s="4" t="s">
        <v>194</v>
      </c>
      <c r="J537" s="4" t="s">
        <v>32</v>
      </c>
      <c r="K537" s="4" t="s">
        <v>2327</v>
      </c>
      <c r="L537" s="4" t="str">
        <f aca="false">IF(TRIM(LOWER(E537))=TRIM(LOWER(J537)),"Match","Different")</f>
        <v>Different</v>
      </c>
    </row>
    <row r="538" customFormat="false" ht="15" hidden="false" customHeight="false" outlineLevel="0" collapsed="false">
      <c r="A538" s="4" t="s">
        <v>2331</v>
      </c>
      <c r="B538" s="4" t="s">
        <v>2325</v>
      </c>
      <c r="C538" s="4"/>
      <c r="D538" s="4" t="s">
        <v>2332</v>
      </c>
      <c r="E538" s="4" t="s">
        <v>32</v>
      </c>
      <c r="F538" s="4" t="s">
        <v>2326</v>
      </c>
      <c r="G538" s="4" t="s">
        <v>359</v>
      </c>
      <c r="H538" s="4" t="s">
        <v>48</v>
      </c>
      <c r="I538" s="4" t="s">
        <v>194</v>
      </c>
      <c r="J538" s="4" t="s">
        <v>32</v>
      </c>
      <c r="K538" s="4" t="s">
        <v>2327</v>
      </c>
      <c r="L538" s="4" t="str">
        <f aca="false">IF(TRIM(LOWER(E538))=TRIM(LOWER(J538)),"Match","Different")</f>
        <v>Match</v>
      </c>
    </row>
    <row r="539" customFormat="false" ht="15" hidden="false" customHeight="false" outlineLevel="0" collapsed="false">
      <c r="A539" s="4" t="s">
        <v>2333</v>
      </c>
      <c r="B539" s="4" t="s">
        <v>2325</v>
      </c>
      <c r="C539" s="4"/>
      <c r="D539" s="4" t="s">
        <v>2334</v>
      </c>
      <c r="E539" s="4" t="s">
        <v>383</v>
      </c>
      <c r="F539" s="4" t="s">
        <v>2326</v>
      </c>
      <c r="G539" s="4" t="s">
        <v>359</v>
      </c>
      <c r="H539" s="4" t="s">
        <v>48</v>
      </c>
      <c r="I539" s="4" t="s">
        <v>194</v>
      </c>
      <c r="J539" s="4" t="s">
        <v>32</v>
      </c>
      <c r="K539" s="4" t="s">
        <v>2327</v>
      </c>
      <c r="L539" s="4" t="str">
        <f aca="false">IF(TRIM(LOWER(E539))=TRIM(LOWER(J539)),"Match","Different")</f>
        <v>Different</v>
      </c>
    </row>
    <row r="540" customFormat="false" ht="15" hidden="false" customHeight="false" outlineLevel="0" collapsed="false">
      <c r="A540" s="4" t="s">
        <v>2335</v>
      </c>
      <c r="B540" s="4" t="s">
        <v>2325</v>
      </c>
      <c r="C540" s="4"/>
      <c r="D540" s="4"/>
      <c r="E540" s="4" t="s">
        <v>32</v>
      </c>
      <c r="F540" s="4" t="s">
        <v>2326</v>
      </c>
      <c r="G540" s="4" t="s">
        <v>359</v>
      </c>
      <c r="H540" s="4" t="s">
        <v>48</v>
      </c>
      <c r="I540" s="4" t="s">
        <v>194</v>
      </c>
      <c r="J540" s="4" t="s">
        <v>32</v>
      </c>
      <c r="K540" s="4" t="s">
        <v>2327</v>
      </c>
      <c r="L540" s="4" t="str">
        <f aca="false">IF(TRIM(LOWER(E540))=TRIM(LOWER(J540)),"Match","Different")</f>
        <v>Match</v>
      </c>
    </row>
    <row r="541" customFormat="false" ht="15" hidden="false" customHeight="false" outlineLevel="0" collapsed="false">
      <c r="A541" s="4" t="s">
        <v>2336</v>
      </c>
      <c r="B541" s="4" t="s">
        <v>2325</v>
      </c>
      <c r="C541" s="4"/>
      <c r="D541" s="4"/>
      <c r="E541" s="4" t="s">
        <v>32</v>
      </c>
      <c r="F541" s="4" t="s">
        <v>2326</v>
      </c>
      <c r="G541" s="4" t="s">
        <v>359</v>
      </c>
      <c r="H541" s="4" t="s">
        <v>48</v>
      </c>
      <c r="I541" s="4" t="s">
        <v>194</v>
      </c>
      <c r="J541" s="4" t="s">
        <v>32</v>
      </c>
      <c r="K541" s="4" t="s">
        <v>2327</v>
      </c>
      <c r="L541" s="4" t="str">
        <f aca="false">IF(TRIM(LOWER(E541))=TRIM(LOWER(J541)),"Match","Different")</f>
        <v>Match</v>
      </c>
    </row>
    <row r="542" customFormat="false" ht="15" hidden="false" customHeight="false" outlineLevel="0" collapsed="false">
      <c r="A542" s="4" t="s">
        <v>2337</v>
      </c>
      <c r="B542" s="4" t="s">
        <v>2338</v>
      </c>
      <c r="C542" s="4" t="s">
        <v>2339</v>
      </c>
      <c r="D542" s="4"/>
      <c r="E542" s="4" t="s">
        <v>25</v>
      </c>
      <c r="F542" s="4" t="s">
        <v>2340</v>
      </c>
      <c r="G542" s="4" t="s">
        <v>47</v>
      </c>
      <c r="H542" s="4" t="s">
        <v>48</v>
      </c>
      <c r="I542" s="4" t="s">
        <v>1445</v>
      </c>
      <c r="J542" s="4" t="s">
        <v>392</v>
      </c>
      <c r="K542" s="4" t="s">
        <v>2339</v>
      </c>
      <c r="L542" s="4" t="str">
        <f aca="false">IF(TRIM(LOWER(E542))=TRIM(LOWER(J542)),"Match","Different")</f>
        <v>Different</v>
      </c>
    </row>
    <row r="543" customFormat="false" ht="15" hidden="false" customHeight="false" outlineLevel="0" collapsed="false">
      <c r="A543" s="4" t="s">
        <v>2341</v>
      </c>
      <c r="B543" s="4" t="s">
        <v>2342</v>
      </c>
      <c r="C543" s="4" t="s">
        <v>2343</v>
      </c>
      <c r="D543" s="4" t="s">
        <v>2344</v>
      </c>
      <c r="E543" s="4" t="s">
        <v>25</v>
      </c>
      <c r="F543" s="4" t="s">
        <v>2345</v>
      </c>
      <c r="G543" s="4" t="s">
        <v>27</v>
      </c>
      <c r="H543" s="4" t="s">
        <v>39</v>
      </c>
      <c r="I543" s="4" t="s">
        <v>123</v>
      </c>
      <c r="J543" s="4" t="s">
        <v>100</v>
      </c>
      <c r="K543" s="4" t="s">
        <v>2343</v>
      </c>
      <c r="L543" s="4" t="str">
        <f aca="false">IF(TRIM(LOWER(E543))=TRIM(LOWER(J543)),"Match","Different")</f>
        <v>Different</v>
      </c>
    </row>
    <row r="544" customFormat="false" ht="15" hidden="false" customHeight="false" outlineLevel="0" collapsed="false">
      <c r="A544" s="4" t="s">
        <v>1510</v>
      </c>
      <c r="B544" s="4" t="s">
        <v>2346</v>
      </c>
      <c r="C544" s="4"/>
      <c r="D544" s="4"/>
      <c r="E544" s="4" t="s">
        <v>32</v>
      </c>
      <c r="F544" s="4" t="s">
        <v>2347</v>
      </c>
      <c r="G544" s="4" t="s">
        <v>56</v>
      </c>
      <c r="H544" s="4" t="s">
        <v>28</v>
      </c>
      <c r="I544" s="4" t="s">
        <v>123</v>
      </c>
      <c r="J544" s="4" t="s">
        <v>32</v>
      </c>
      <c r="K544" s="4" t="s">
        <v>2348</v>
      </c>
      <c r="L544" s="4" t="str">
        <f aca="false">IF(TRIM(LOWER(E544))=TRIM(LOWER(J544)),"Match","Different")</f>
        <v>Match</v>
      </c>
    </row>
    <row r="545" customFormat="false" ht="15" hidden="false" customHeight="false" outlineLevel="0" collapsed="false">
      <c r="A545" s="4" t="s">
        <v>2349</v>
      </c>
      <c r="B545" s="4" t="s">
        <v>2346</v>
      </c>
      <c r="C545" s="4" t="s">
        <v>2348</v>
      </c>
      <c r="D545" s="4"/>
      <c r="E545" s="4" t="s">
        <v>341</v>
      </c>
      <c r="F545" s="4" t="s">
        <v>2347</v>
      </c>
      <c r="G545" s="4" t="s">
        <v>56</v>
      </c>
      <c r="H545" s="4" t="s">
        <v>28</v>
      </c>
      <c r="I545" s="4" t="s">
        <v>123</v>
      </c>
      <c r="J545" s="4" t="s">
        <v>32</v>
      </c>
      <c r="K545" s="4" t="s">
        <v>2348</v>
      </c>
      <c r="L545" s="4" t="str">
        <f aca="false">IF(TRIM(LOWER(E545))=TRIM(LOWER(J545)),"Match","Different")</f>
        <v>Different</v>
      </c>
    </row>
    <row r="546" customFormat="false" ht="15" hidden="false" customHeight="false" outlineLevel="0" collapsed="false">
      <c r="A546" s="4" t="s">
        <v>2350</v>
      </c>
      <c r="B546" s="4" t="s">
        <v>2346</v>
      </c>
      <c r="C546" s="4" t="s">
        <v>2351</v>
      </c>
      <c r="D546" s="4" t="s">
        <v>2352</v>
      </c>
      <c r="E546" s="4" t="s">
        <v>50</v>
      </c>
      <c r="F546" s="4" t="s">
        <v>2347</v>
      </c>
      <c r="G546" s="4" t="s">
        <v>56</v>
      </c>
      <c r="H546" s="4" t="s">
        <v>28</v>
      </c>
      <c r="I546" s="4" t="s">
        <v>123</v>
      </c>
      <c r="J546" s="4" t="s">
        <v>32</v>
      </c>
      <c r="K546" s="4" t="s">
        <v>2348</v>
      </c>
      <c r="L546" s="4" t="str">
        <f aca="false">IF(TRIM(LOWER(E546))=TRIM(LOWER(J546)),"Match","Different")</f>
        <v>Different</v>
      </c>
    </row>
    <row r="547" customFormat="false" ht="15" hidden="false" customHeight="false" outlineLevel="0" collapsed="false">
      <c r="A547" s="4" t="s">
        <v>2353</v>
      </c>
      <c r="B547" s="4" t="s">
        <v>2354</v>
      </c>
      <c r="C547" s="4" t="s">
        <v>2355</v>
      </c>
      <c r="D547" s="4" t="s">
        <v>2356</v>
      </c>
      <c r="E547" s="4" t="s">
        <v>112</v>
      </c>
      <c r="F547" s="4" t="s">
        <v>2357</v>
      </c>
      <c r="G547" s="4" t="s">
        <v>56</v>
      </c>
      <c r="H547" s="4" t="s">
        <v>1268</v>
      </c>
      <c r="I547" s="4" t="s">
        <v>1295</v>
      </c>
      <c r="J547" s="4" t="s">
        <v>112</v>
      </c>
      <c r="K547" s="4" t="s">
        <v>2358</v>
      </c>
      <c r="L547" s="4" t="str">
        <f aca="false">IF(TRIM(LOWER(E547))=TRIM(LOWER(J547)),"Match","Different")</f>
        <v>Match</v>
      </c>
    </row>
    <row r="548" customFormat="false" ht="15" hidden="false" customHeight="false" outlineLevel="0" collapsed="false">
      <c r="A548" s="4" t="s">
        <v>2359</v>
      </c>
      <c r="B548" s="4" t="s">
        <v>2360</v>
      </c>
      <c r="C548" s="4" t="s">
        <v>2361</v>
      </c>
      <c r="D548" s="4" t="s">
        <v>2362</v>
      </c>
      <c r="E548" s="4" t="s">
        <v>104</v>
      </c>
      <c r="F548" s="4" t="s">
        <v>2363</v>
      </c>
      <c r="G548" s="4" t="s">
        <v>122</v>
      </c>
      <c r="H548" s="4" t="s">
        <v>39</v>
      </c>
      <c r="I548" s="4" t="s">
        <v>83</v>
      </c>
      <c r="J548" s="4" t="s">
        <v>104</v>
      </c>
      <c r="K548" s="4" t="s">
        <v>2364</v>
      </c>
      <c r="L548" s="4" t="str">
        <f aca="false">IF(TRIM(LOWER(E548))=TRIM(LOWER(J548)),"Match","Different")</f>
        <v>Match</v>
      </c>
    </row>
    <row r="549" customFormat="false" ht="15" hidden="false" customHeight="false" outlineLevel="0" collapsed="false">
      <c r="A549" s="4" t="s">
        <v>2365</v>
      </c>
      <c r="B549" s="4" t="s">
        <v>2360</v>
      </c>
      <c r="C549" s="4"/>
      <c r="D549" s="4" t="s">
        <v>2362</v>
      </c>
      <c r="E549" s="4" t="s">
        <v>383</v>
      </c>
      <c r="F549" s="4" t="s">
        <v>2363</v>
      </c>
      <c r="G549" s="4" t="s">
        <v>122</v>
      </c>
      <c r="H549" s="4" t="s">
        <v>39</v>
      </c>
      <c r="I549" s="4" t="s">
        <v>83</v>
      </c>
      <c r="J549" s="4" t="s">
        <v>104</v>
      </c>
      <c r="K549" s="4" t="s">
        <v>2364</v>
      </c>
      <c r="L549" s="4" t="str">
        <f aca="false">IF(TRIM(LOWER(E549))=TRIM(LOWER(J549)),"Match","Different")</f>
        <v>Different</v>
      </c>
    </row>
    <row r="550" customFormat="false" ht="15" hidden="false" customHeight="false" outlineLevel="0" collapsed="false">
      <c r="A550" s="4" t="s">
        <v>2366</v>
      </c>
      <c r="B550" s="4" t="s">
        <v>2367</v>
      </c>
      <c r="C550" s="4" t="s">
        <v>2368</v>
      </c>
      <c r="D550" s="4" t="s">
        <v>2369</v>
      </c>
      <c r="E550" s="4" t="s">
        <v>89</v>
      </c>
      <c r="F550" s="4" t="s">
        <v>2370</v>
      </c>
      <c r="G550" s="4" t="s">
        <v>56</v>
      </c>
      <c r="H550" s="4" t="s">
        <v>48</v>
      </c>
      <c r="I550" s="4" t="s">
        <v>1445</v>
      </c>
      <c r="J550" s="4" t="s">
        <v>92</v>
      </c>
      <c r="K550" s="4" t="s">
        <v>2371</v>
      </c>
      <c r="L550" s="4" t="str">
        <f aca="false">IF(TRIM(LOWER(E550))=TRIM(LOWER(J550)),"Match","Different")</f>
        <v>Different</v>
      </c>
    </row>
    <row r="551" customFormat="false" ht="15" hidden="false" customHeight="false" outlineLevel="0" collapsed="false">
      <c r="A551" s="4" t="s">
        <v>2372</v>
      </c>
      <c r="B551" s="4" t="s">
        <v>2367</v>
      </c>
      <c r="C551" s="4" t="s">
        <v>2371</v>
      </c>
      <c r="D551" s="4" t="s">
        <v>2369</v>
      </c>
      <c r="E551" s="4" t="s">
        <v>89</v>
      </c>
      <c r="F551" s="4" t="s">
        <v>2370</v>
      </c>
      <c r="G551" s="4" t="s">
        <v>56</v>
      </c>
      <c r="H551" s="4" t="s">
        <v>48</v>
      </c>
      <c r="I551" s="4" t="s">
        <v>1445</v>
      </c>
      <c r="J551" s="4" t="s">
        <v>92</v>
      </c>
      <c r="K551" s="4" t="s">
        <v>2371</v>
      </c>
      <c r="L551" s="4" t="str">
        <f aca="false">IF(TRIM(LOWER(E551))=TRIM(LOWER(J551)),"Match","Different")</f>
        <v>Different</v>
      </c>
    </row>
    <row r="552" customFormat="false" ht="15" hidden="false" customHeight="false" outlineLevel="0" collapsed="false">
      <c r="A552" s="4" t="s">
        <v>2373</v>
      </c>
      <c r="B552" s="4" t="s">
        <v>2374</v>
      </c>
      <c r="C552" s="4" t="s">
        <v>2375</v>
      </c>
      <c r="D552" s="4" t="s">
        <v>2376</v>
      </c>
      <c r="E552" s="4" t="s">
        <v>170</v>
      </c>
      <c r="F552" s="4" t="s">
        <v>2377</v>
      </c>
      <c r="G552" s="4" t="s">
        <v>335</v>
      </c>
      <c r="H552" s="4" t="s">
        <v>2378</v>
      </c>
      <c r="I552" s="4" t="s">
        <v>2378</v>
      </c>
      <c r="J552" s="4" t="s">
        <v>174</v>
      </c>
      <c r="K552" s="4"/>
      <c r="L552" s="4" t="str">
        <f aca="false">IF(TRIM(LOWER(E552))=TRIM(LOWER(J552)),"Match","Different")</f>
        <v>Different</v>
      </c>
    </row>
    <row r="553" customFormat="false" ht="15" hidden="false" customHeight="false" outlineLevel="0" collapsed="false">
      <c r="A553" s="4" t="s">
        <v>2379</v>
      </c>
      <c r="B553" s="4" t="s">
        <v>2380</v>
      </c>
      <c r="C553" s="4" t="s">
        <v>2381</v>
      </c>
      <c r="D553" s="4"/>
      <c r="E553" s="4" t="s">
        <v>54</v>
      </c>
      <c r="F553" s="4" t="s">
        <v>2382</v>
      </c>
      <c r="G553" s="4" t="s">
        <v>27</v>
      </c>
      <c r="H553" s="4" t="s">
        <v>1268</v>
      </c>
      <c r="I553" s="4" t="s">
        <v>1269</v>
      </c>
      <c r="J553" s="4" t="s">
        <v>30</v>
      </c>
      <c r="K553" s="4" t="s">
        <v>2381</v>
      </c>
      <c r="L553" s="4" t="str">
        <f aca="false">IF(TRIM(LOWER(E553))=TRIM(LOWER(J553)),"Match","Different")</f>
        <v>Different</v>
      </c>
    </row>
    <row r="554" customFormat="false" ht="15" hidden="false" customHeight="false" outlineLevel="0" collapsed="false">
      <c r="A554" s="4" t="s">
        <v>2383</v>
      </c>
      <c r="B554" s="4" t="s">
        <v>2380</v>
      </c>
      <c r="C554" s="4" t="s">
        <v>2384</v>
      </c>
      <c r="D554" s="4" t="s">
        <v>2385</v>
      </c>
      <c r="E554" s="4" t="s">
        <v>54</v>
      </c>
      <c r="F554" s="4" t="s">
        <v>2382</v>
      </c>
      <c r="G554" s="4" t="s">
        <v>27</v>
      </c>
      <c r="H554" s="4" t="s">
        <v>1268</v>
      </c>
      <c r="I554" s="4" t="s">
        <v>1269</v>
      </c>
      <c r="J554" s="4" t="s">
        <v>30</v>
      </c>
      <c r="K554" s="4" t="s">
        <v>2381</v>
      </c>
      <c r="L554" s="4" t="str">
        <f aca="false">IF(TRIM(LOWER(E554))=TRIM(LOWER(J554)),"Match","Different")</f>
        <v>Different</v>
      </c>
    </row>
    <row r="555" customFormat="false" ht="15" hidden="false" customHeight="false" outlineLevel="0" collapsed="false">
      <c r="A555" s="4" t="s">
        <v>2386</v>
      </c>
      <c r="B555" s="4" t="s">
        <v>2387</v>
      </c>
      <c r="C555" s="4" t="s">
        <v>2388</v>
      </c>
      <c r="D555" s="4"/>
      <c r="E555" s="4" t="s">
        <v>89</v>
      </c>
      <c r="F555" s="4" t="s">
        <v>2389</v>
      </c>
      <c r="G555" s="4" t="s">
        <v>27</v>
      </c>
      <c r="H555" s="4" t="s">
        <v>28</v>
      </c>
      <c r="I555" s="4" t="s">
        <v>123</v>
      </c>
      <c r="J555" s="4" t="s">
        <v>92</v>
      </c>
      <c r="K555" s="4" t="s">
        <v>2390</v>
      </c>
      <c r="L555" s="4" t="str">
        <f aca="false">IF(TRIM(LOWER(E555))=TRIM(LOWER(J555)),"Match","Different")</f>
        <v>Different</v>
      </c>
    </row>
    <row r="556" customFormat="false" ht="15" hidden="false" customHeight="false" outlineLevel="0" collapsed="false">
      <c r="A556" s="4" t="s">
        <v>2391</v>
      </c>
      <c r="B556" s="4" t="s">
        <v>2387</v>
      </c>
      <c r="C556" s="4" t="s">
        <v>2392</v>
      </c>
      <c r="D556" s="4" t="s">
        <v>2393</v>
      </c>
      <c r="E556" s="4" t="s">
        <v>89</v>
      </c>
      <c r="F556" s="4" t="s">
        <v>2389</v>
      </c>
      <c r="G556" s="4" t="s">
        <v>27</v>
      </c>
      <c r="H556" s="4" t="s">
        <v>28</v>
      </c>
      <c r="I556" s="4" t="s">
        <v>123</v>
      </c>
      <c r="J556" s="4" t="s">
        <v>92</v>
      </c>
      <c r="K556" s="4" t="s">
        <v>2390</v>
      </c>
      <c r="L556" s="4" t="str">
        <f aca="false">IF(TRIM(LOWER(E556))=TRIM(LOWER(J556)),"Match","Different")</f>
        <v>Different</v>
      </c>
    </row>
    <row r="557" customFormat="false" ht="15" hidden="false" customHeight="false" outlineLevel="0" collapsed="false">
      <c r="A557" s="4" t="s">
        <v>2394</v>
      </c>
      <c r="B557" s="4" t="s">
        <v>2395</v>
      </c>
      <c r="C557" s="4" t="s">
        <v>2396</v>
      </c>
      <c r="D557" s="4"/>
      <c r="E557" s="4" t="s">
        <v>89</v>
      </c>
      <c r="F557" s="4" t="s">
        <v>2397</v>
      </c>
      <c r="G557" s="4" t="s">
        <v>291</v>
      </c>
      <c r="H557" s="4" t="s">
        <v>39</v>
      </c>
      <c r="I557" s="4" t="s">
        <v>162</v>
      </c>
      <c r="J557" s="4" t="s">
        <v>92</v>
      </c>
      <c r="K557" s="4" t="s">
        <v>2398</v>
      </c>
      <c r="L557" s="4" t="str">
        <f aca="false">IF(TRIM(LOWER(E557))=TRIM(LOWER(J557)),"Match","Different")</f>
        <v>Different</v>
      </c>
    </row>
    <row r="558" customFormat="false" ht="15" hidden="false" customHeight="false" outlineLevel="0" collapsed="false">
      <c r="A558" s="4" t="s">
        <v>2399</v>
      </c>
      <c r="B558" s="4" t="s">
        <v>2395</v>
      </c>
      <c r="C558" s="4"/>
      <c r="D558" s="4" t="s">
        <v>2400</v>
      </c>
      <c r="E558" s="4" t="s">
        <v>383</v>
      </c>
      <c r="F558" s="4" t="s">
        <v>2397</v>
      </c>
      <c r="G558" s="4" t="s">
        <v>291</v>
      </c>
      <c r="H558" s="4" t="s">
        <v>39</v>
      </c>
      <c r="I558" s="4" t="s">
        <v>162</v>
      </c>
      <c r="J558" s="4" t="s">
        <v>92</v>
      </c>
      <c r="K558" s="4" t="s">
        <v>2398</v>
      </c>
      <c r="L558" s="4" t="str">
        <f aca="false">IF(TRIM(LOWER(E558))=TRIM(LOWER(J558)),"Match","Different")</f>
        <v>Different</v>
      </c>
    </row>
    <row r="559" customFormat="false" ht="15" hidden="false" customHeight="false" outlineLevel="0" collapsed="false">
      <c r="A559" s="4" t="s">
        <v>2401</v>
      </c>
      <c r="B559" s="4" t="s">
        <v>2402</v>
      </c>
      <c r="C559" s="4" t="s">
        <v>2403</v>
      </c>
      <c r="D559" s="4" t="s">
        <v>2404</v>
      </c>
      <c r="E559" s="4" t="s">
        <v>25</v>
      </c>
      <c r="F559" s="4" t="s">
        <v>2405</v>
      </c>
      <c r="G559" s="4" t="s">
        <v>38</v>
      </c>
      <c r="H559" s="4" t="s">
        <v>39</v>
      </c>
      <c r="I559" s="4" t="s">
        <v>99</v>
      </c>
      <c r="J559" s="4" t="s">
        <v>32</v>
      </c>
      <c r="K559" s="4" t="s">
        <v>2406</v>
      </c>
      <c r="L559" s="4" t="str">
        <f aca="false">IF(TRIM(LOWER(E559))=TRIM(LOWER(J559)),"Match","Different")</f>
        <v>Different</v>
      </c>
    </row>
    <row r="560" customFormat="false" ht="15" hidden="false" customHeight="false" outlineLevel="0" collapsed="false">
      <c r="A560" s="4" t="s">
        <v>2407</v>
      </c>
      <c r="B560" s="4" t="s">
        <v>2402</v>
      </c>
      <c r="C560" s="4" t="s">
        <v>2408</v>
      </c>
      <c r="D560" s="4" t="s">
        <v>2404</v>
      </c>
      <c r="E560" s="4" t="s">
        <v>25</v>
      </c>
      <c r="F560" s="4" t="s">
        <v>2405</v>
      </c>
      <c r="G560" s="4" t="s">
        <v>38</v>
      </c>
      <c r="H560" s="4" t="s">
        <v>39</v>
      </c>
      <c r="I560" s="4" t="s">
        <v>99</v>
      </c>
      <c r="J560" s="4" t="s">
        <v>32</v>
      </c>
      <c r="K560" s="4" t="s">
        <v>2406</v>
      </c>
      <c r="L560" s="4" t="str">
        <f aca="false">IF(TRIM(LOWER(E560))=TRIM(LOWER(J560)),"Match","Different")</f>
        <v>Different</v>
      </c>
    </row>
    <row r="561" customFormat="false" ht="15" hidden="false" customHeight="false" outlineLevel="0" collapsed="false">
      <c r="A561" s="4" t="s">
        <v>2409</v>
      </c>
      <c r="B561" s="4" t="s">
        <v>2410</v>
      </c>
      <c r="C561" s="4" t="s">
        <v>2411</v>
      </c>
      <c r="D561" s="4" t="s">
        <v>2412</v>
      </c>
      <c r="E561" s="4" t="s">
        <v>170</v>
      </c>
      <c r="F561" s="4" t="s">
        <v>2413</v>
      </c>
      <c r="G561" s="4" t="s">
        <v>575</v>
      </c>
      <c r="H561" s="4" t="s">
        <v>172</v>
      </c>
      <c r="I561" s="4" t="s">
        <v>173</v>
      </c>
      <c r="J561" s="4" t="s">
        <v>174</v>
      </c>
      <c r="K561" s="4" t="s">
        <v>2411</v>
      </c>
      <c r="L561" s="4" t="str">
        <f aca="false">IF(TRIM(LOWER(E561))=TRIM(LOWER(J561)),"Match","Different")</f>
        <v>Different</v>
      </c>
    </row>
    <row r="562" customFormat="false" ht="15" hidden="false" customHeight="false" outlineLevel="0" collapsed="false">
      <c r="A562" s="4" t="s">
        <v>2148</v>
      </c>
      <c r="B562" s="4" t="s">
        <v>2414</v>
      </c>
      <c r="C562" s="4" t="s">
        <v>2415</v>
      </c>
      <c r="D562" s="4"/>
      <c r="E562" s="4" t="s">
        <v>104</v>
      </c>
      <c r="F562" s="4" t="s">
        <v>2416</v>
      </c>
      <c r="G562" s="4" t="s">
        <v>38</v>
      </c>
      <c r="H562" s="4" t="s">
        <v>66</v>
      </c>
      <c r="I562" s="4" t="s">
        <v>91</v>
      </c>
      <c r="J562" s="4" t="s">
        <v>104</v>
      </c>
      <c r="K562" s="4" t="s">
        <v>2417</v>
      </c>
      <c r="L562" s="4" t="str">
        <f aca="false">IF(TRIM(LOWER(E562))=TRIM(LOWER(J562)),"Match","Different")</f>
        <v>Match</v>
      </c>
    </row>
    <row r="563" customFormat="false" ht="15" hidden="false" customHeight="false" outlineLevel="0" collapsed="false">
      <c r="A563" s="4" t="s">
        <v>2418</v>
      </c>
      <c r="B563" s="4" t="s">
        <v>2414</v>
      </c>
      <c r="C563" s="4"/>
      <c r="D563" s="4"/>
      <c r="E563" s="4" t="s">
        <v>383</v>
      </c>
      <c r="F563" s="4" t="s">
        <v>2416</v>
      </c>
      <c r="G563" s="4" t="s">
        <v>38</v>
      </c>
      <c r="H563" s="4" t="s">
        <v>66</v>
      </c>
      <c r="I563" s="4" t="s">
        <v>91</v>
      </c>
      <c r="J563" s="4" t="s">
        <v>104</v>
      </c>
      <c r="K563" s="4" t="s">
        <v>2417</v>
      </c>
      <c r="L563" s="4" t="str">
        <f aca="false">IF(TRIM(LOWER(E563))=TRIM(LOWER(J563)),"Match","Different")</f>
        <v>Different</v>
      </c>
    </row>
    <row r="564" customFormat="false" ht="15" hidden="false" customHeight="false" outlineLevel="0" collapsed="false">
      <c r="A564" s="4" t="s">
        <v>2419</v>
      </c>
      <c r="B564" s="4" t="s">
        <v>2420</v>
      </c>
      <c r="C564" s="4" t="s">
        <v>2421</v>
      </c>
      <c r="D564" s="4" t="s">
        <v>2422</v>
      </c>
      <c r="E564" s="4" t="s">
        <v>170</v>
      </c>
      <c r="F564" s="4" t="s">
        <v>2423</v>
      </c>
      <c r="G564" s="4" t="s">
        <v>359</v>
      </c>
      <c r="H564" s="4" t="s">
        <v>172</v>
      </c>
      <c r="I564" s="4" t="s">
        <v>173</v>
      </c>
      <c r="J564" s="4" t="s">
        <v>174</v>
      </c>
      <c r="K564" s="4" t="s">
        <v>2424</v>
      </c>
      <c r="L564" s="4" t="str">
        <f aca="false">IF(TRIM(LOWER(E564))=TRIM(LOWER(J564)),"Match","Different")</f>
        <v>Different</v>
      </c>
    </row>
    <row r="565" customFormat="false" ht="15" hidden="false" customHeight="false" outlineLevel="0" collapsed="false">
      <c r="A565" s="4" t="s">
        <v>2425</v>
      </c>
      <c r="B565" s="4" t="s">
        <v>2426</v>
      </c>
      <c r="C565" s="4" t="s">
        <v>2427</v>
      </c>
      <c r="D565" s="4" t="s">
        <v>2428</v>
      </c>
      <c r="E565" s="4" t="s">
        <v>89</v>
      </c>
      <c r="F565" s="4" t="s">
        <v>2429</v>
      </c>
      <c r="G565" s="4" t="s">
        <v>38</v>
      </c>
      <c r="H565" s="4" t="s">
        <v>66</v>
      </c>
      <c r="I565" s="4" t="s">
        <v>83</v>
      </c>
      <c r="J565" s="4" t="s">
        <v>92</v>
      </c>
      <c r="K565" s="4" t="s">
        <v>2430</v>
      </c>
      <c r="L565" s="4" t="str">
        <f aca="false">IF(TRIM(LOWER(E565))=TRIM(LOWER(J565)),"Match","Different")</f>
        <v>Different</v>
      </c>
    </row>
    <row r="566" customFormat="false" ht="15" hidden="false" customHeight="false" outlineLevel="0" collapsed="false">
      <c r="A566" s="4" t="s">
        <v>2431</v>
      </c>
      <c r="B566" s="4" t="s">
        <v>2432</v>
      </c>
      <c r="C566" s="4" t="s">
        <v>2433</v>
      </c>
      <c r="D566" s="4" t="s">
        <v>2434</v>
      </c>
      <c r="E566" s="4" t="s">
        <v>89</v>
      </c>
      <c r="F566" s="4" t="s">
        <v>2435</v>
      </c>
      <c r="G566" s="4" t="s">
        <v>128</v>
      </c>
      <c r="H566" s="4" t="s">
        <v>39</v>
      </c>
      <c r="I566" s="4" t="s">
        <v>40</v>
      </c>
      <c r="J566" s="4" t="s">
        <v>100</v>
      </c>
      <c r="K566" s="4" t="s">
        <v>2433</v>
      </c>
      <c r="L566" s="4" t="str">
        <f aca="false">IF(TRIM(LOWER(E566))=TRIM(LOWER(J566)),"Match","Different")</f>
        <v>Different</v>
      </c>
    </row>
    <row r="567" customFormat="false" ht="15" hidden="false" customHeight="false" outlineLevel="0" collapsed="false">
      <c r="A567" s="4" t="s">
        <v>2436</v>
      </c>
      <c r="B567" s="4" t="s">
        <v>2437</v>
      </c>
      <c r="C567" s="4" t="s">
        <v>2438</v>
      </c>
      <c r="D567" s="4" t="s">
        <v>2439</v>
      </c>
      <c r="E567" s="4" t="s">
        <v>89</v>
      </c>
      <c r="F567" s="4" t="s">
        <v>2440</v>
      </c>
      <c r="G567" s="4" t="s">
        <v>38</v>
      </c>
      <c r="H567" s="4" t="s">
        <v>39</v>
      </c>
      <c r="I567" s="4" t="s">
        <v>40</v>
      </c>
      <c r="J567" s="4" t="s">
        <v>92</v>
      </c>
      <c r="K567" s="4" t="s">
        <v>2441</v>
      </c>
      <c r="L567" s="4" t="str">
        <f aca="false">IF(TRIM(LOWER(E567))=TRIM(LOWER(J567)),"Match","Different")</f>
        <v>Different</v>
      </c>
    </row>
    <row r="568" customFormat="false" ht="15" hidden="false" customHeight="false" outlineLevel="0" collapsed="false">
      <c r="A568" s="4" t="s">
        <v>2442</v>
      </c>
      <c r="B568" s="4" t="s">
        <v>2443</v>
      </c>
      <c r="C568" s="4" t="s">
        <v>2444</v>
      </c>
      <c r="D568" s="4" t="s">
        <v>2445</v>
      </c>
      <c r="E568" s="4" t="s">
        <v>45</v>
      </c>
      <c r="F568" s="4" t="s">
        <v>2446</v>
      </c>
      <c r="G568" s="4" t="s">
        <v>575</v>
      </c>
      <c r="H568" s="4" t="s">
        <v>1268</v>
      </c>
      <c r="I568" s="4" t="s">
        <v>701</v>
      </c>
      <c r="J568" s="4" t="s">
        <v>32</v>
      </c>
      <c r="K568" s="4" t="s">
        <v>2444</v>
      </c>
      <c r="L568" s="4" t="str">
        <f aca="false">IF(TRIM(LOWER(E568))=TRIM(LOWER(J568)),"Match","Different")</f>
        <v>Different</v>
      </c>
    </row>
    <row r="569" customFormat="false" ht="15" hidden="false" customHeight="false" outlineLevel="0" collapsed="false">
      <c r="A569" s="4" t="s">
        <v>2447</v>
      </c>
      <c r="B569" s="4" t="s">
        <v>2448</v>
      </c>
      <c r="C569" s="4" t="s">
        <v>2449</v>
      </c>
      <c r="D569" s="4"/>
      <c r="E569" s="4" t="s">
        <v>50</v>
      </c>
      <c r="F569" s="4" t="s">
        <v>2450</v>
      </c>
      <c r="G569" s="4" t="s">
        <v>56</v>
      </c>
      <c r="H569" s="4" t="s">
        <v>114</v>
      </c>
      <c r="I569" s="4" t="s">
        <v>670</v>
      </c>
      <c r="J569" s="4" t="s">
        <v>50</v>
      </c>
      <c r="K569" s="4" t="s">
        <v>2449</v>
      </c>
      <c r="L569" s="4" t="str">
        <f aca="false">IF(TRIM(LOWER(E569))=TRIM(LOWER(J569)),"Match","Different")</f>
        <v>Match</v>
      </c>
    </row>
    <row r="570" customFormat="false" ht="15" hidden="false" customHeight="false" outlineLevel="0" collapsed="false">
      <c r="A570" s="4" t="s">
        <v>2451</v>
      </c>
      <c r="B570" s="4" t="s">
        <v>2452</v>
      </c>
      <c r="C570" s="4" t="s">
        <v>2453</v>
      </c>
      <c r="D570" s="4" t="s">
        <v>2454</v>
      </c>
      <c r="E570" s="4" t="s">
        <v>89</v>
      </c>
      <c r="F570" s="4" t="s">
        <v>2455</v>
      </c>
      <c r="G570" s="4" t="s">
        <v>359</v>
      </c>
      <c r="H570" s="4" t="s">
        <v>66</v>
      </c>
      <c r="I570" s="4" t="s">
        <v>1487</v>
      </c>
      <c r="J570" s="4" t="s">
        <v>30</v>
      </c>
      <c r="K570" s="4" t="s">
        <v>2453</v>
      </c>
      <c r="L570" s="4" t="str">
        <f aca="false">IF(TRIM(LOWER(E570))=TRIM(LOWER(J570)),"Match","Different")</f>
        <v>Different</v>
      </c>
    </row>
    <row r="571" customFormat="false" ht="15" hidden="false" customHeight="false" outlineLevel="0" collapsed="false">
      <c r="A571" s="4" t="s">
        <v>2456</v>
      </c>
      <c r="B571" s="4" t="s">
        <v>2457</v>
      </c>
      <c r="C571" s="4" t="s">
        <v>2458</v>
      </c>
      <c r="D571" s="4" t="s">
        <v>2459</v>
      </c>
      <c r="E571" s="4" t="s">
        <v>170</v>
      </c>
      <c r="F571" s="4" t="s">
        <v>2460</v>
      </c>
      <c r="G571" s="4" t="s">
        <v>359</v>
      </c>
      <c r="H571" s="4" t="s">
        <v>172</v>
      </c>
      <c r="I571" s="4" t="s">
        <v>173</v>
      </c>
      <c r="J571" s="4" t="s">
        <v>174</v>
      </c>
      <c r="K571" s="4" t="s">
        <v>2461</v>
      </c>
      <c r="L571" s="4" t="str">
        <f aca="false">IF(TRIM(LOWER(E571))=TRIM(LOWER(J571)),"Match","Different")</f>
        <v>Different</v>
      </c>
    </row>
    <row r="572" customFormat="false" ht="15" hidden="false" customHeight="false" outlineLevel="0" collapsed="false">
      <c r="A572" s="4" t="s">
        <v>2462</v>
      </c>
      <c r="B572" s="4" t="s">
        <v>2463</v>
      </c>
      <c r="C572" s="4" t="s">
        <v>2464</v>
      </c>
      <c r="D572" s="4"/>
      <c r="E572" s="4" t="s">
        <v>54</v>
      </c>
      <c r="F572" s="4" t="s">
        <v>2465</v>
      </c>
      <c r="G572" s="4" t="s">
        <v>519</v>
      </c>
      <c r="H572" s="4" t="s">
        <v>39</v>
      </c>
      <c r="I572" s="4" t="s">
        <v>402</v>
      </c>
      <c r="J572" s="4" t="s">
        <v>30</v>
      </c>
      <c r="K572" s="4"/>
      <c r="L572" s="4" t="str">
        <f aca="false">IF(TRIM(LOWER(E572))=TRIM(LOWER(J572)),"Match","Different")</f>
        <v>Different</v>
      </c>
    </row>
    <row r="573" customFormat="false" ht="15" hidden="false" customHeight="false" outlineLevel="0" collapsed="false">
      <c r="A573" s="4" t="s">
        <v>2466</v>
      </c>
      <c r="B573" s="4" t="s">
        <v>2467</v>
      </c>
      <c r="C573" s="4"/>
      <c r="D573" s="4" t="s">
        <v>2468</v>
      </c>
      <c r="E573" s="4" t="s">
        <v>89</v>
      </c>
      <c r="F573" s="4" t="s">
        <v>2469</v>
      </c>
      <c r="G573" s="4" t="s">
        <v>359</v>
      </c>
      <c r="H573" s="4" t="s">
        <v>48</v>
      </c>
      <c r="I573" s="4" t="s">
        <v>1980</v>
      </c>
      <c r="J573" s="4" t="s">
        <v>30</v>
      </c>
      <c r="K573" s="4"/>
      <c r="L573" s="4" t="str">
        <f aca="false">IF(TRIM(LOWER(E573))=TRIM(LOWER(J573)),"Match","Different")</f>
        <v>Different</v>
      </c>
    </row>
    <row r="574" customFormat="false" ht="15" hidden="false" customHeight="false" outlineLevel="0" collapsed="false">
      <c r="A574" s="4" t="s">
        <v>2470</v>
      </c>
      <c r="B574" s="4" t="s">
        <v>2471</v>
      </c>
      <c r="C574" s="4" t="s">
        <v>2472</v>
      </c>
      <c r="D574" s="4" t="s">
        <v>2473</v>
      </c>
      <c r="E574" s="4" t="s">
        <v>104</v>
      </c>
      <c r="F574" s="4" t="s">
        <v>2474</v>
      </c>
      <c r="G574" s="4" t="s">
        <v>38</v>
      </c>
      <c r="H574" s="4" t="s">
        <v>39</v>
      </c>
      <c r="I574" s="4" t="s">
        <v>67</v>
      </c>
      <c r="J574" s="4" t="s">
        <v>104</v>
      </c>
      <c r="K574" s="4" t="s">
        <v>2475</v>
      </c>
      <c r="L574" s="4" t="str">
        <f aca="false">IF(TRIM(LOWER(E574))=TRIM(LOWER(J574)),"Match","Different")</f>
        <v>Match</v>
      </c>
    </row>
    <row r="575" customFormat="false" ht="15" hidden="false" customHeight="false" outlineLevel="0" collapsed="false">
      <c r="A575" s="4" t="s">
        <v>2476</v>
      </c>
      <c r="B575" s="4" t="s">
        <v>2477</v>
      </c>
      <c r="C575" s="4"/>
      <c r="D575" s="4" t="s">
        <v>2478</v>
      </c>
      <c r="E575" s="4" t="s">
        <v>54</v>
      </c>
      <c r="F575" s="4" t="s">
        <v>2479</v>
      </c>
      <c r="G575" s="4" t="s">
        <v>575</v>
      </c>
      <c r="H575" s="4" t="s">
        <v>172</v>
      </c>
      <c r="I575" s="4" t="s">
        <v>1099</v>
      </c>
      <c r="J575" s="4" t="s">
        <v>58</v>
      </c>
      <c r="K575" s="4" t="s">
        <v>2480</v>
      </c>
      <c r="L575" s="4" t="str">
        <f aca="false">IF(TRIM(LOWER(E575))=TRIM(LOWER(J575)),"Match","Different")</f>
        <v>Different</v>
      </c>
    </row>
    <row r="576" customFormat="false" ht="15" hidden="false" customHeight="false" outlineLevel="0" collapsed="false">
      <c r="A576" s="4" t="s">
        <v>2481</v>
      </c>
      <c r="B576" s="4" t="s">
        <v>2482</v>
      </c>
      <c r="C576" s="4" t="s">
        <v>2483</v>
      </c>
      <c r="D576" s="4" t="s">
        <v>2484</v>
      </c>
      <c r="E576" s="4" t="s">
        <v>89</v>
      </c>
      <c r="F576" s="4" t="s">
        <v>2485</v>
      </c>
      <c r="G576" s="4" t="s">
        <v>82</v>
      </c>
      <c r="H576" s="4" t="s">
        <v>66</v>
      </c>
      <c r="I576" s="4" t="s">
        <v>226</v>
      </c>
      <c r="J576" s="4" t="s">
        <v>100</v>
      </c>
      <c r="K576" s="4" t="s">
        <v>2486</v>
      </c>
      <c r="L576" s="4" t="str">
        <f aca="false">IF(TRIM(LOWER(E576))=TRIM(LOWER(J576)),"Match","Different")</f>
        <v>Different</v>
      </c>
    </row>
    <row r="577" customFormat="false" ht="15" hidden="false" customHeight="false" outlineLevel="0" collapsed="false">
      <c r="A577" s="4" t="s">
        <v>2487</v>
      </c>
      <c r="B577" s="4" t="s">
        <v>2488</v>
      </c>
      <c r="C577" s="4" t="s">
        <v>2489</v>
      </c>
      <c r="D577" s="4" t="s">
        <v>2490</v>
      </c>
      <c r="E577" s="4" t="s">
        <v>25</v>
      </c>
      <c r="F577" s="4" t="s">
        <v>2491</v>
      </c>
      <c r="G577" s="4" t="s">
        <v>56</v>
      </c>
      <c r="H577" s="4" t="s">
        <v>39</v>
      </c>
      <c r="I577" s="4" t="s">
        <v>297</v>
      </c>
      <c r="J577" s="4" t="s">
        <v>50</v>
      </c>
      <c r="K577" s="4" t="s">
        <v>2492</v>
      </c>
      <c r="L577" s="4" t="str">
        <f aca="false">IF(TRIM(LOWER(E577))=TRIM(LOWER(J577)),"Match","Different")</f>
        <v>Different</v>
      </c>
    </row>
    <row r="578" customFormat="false" ht="15" hidden="false" customHeight="false" outlineLevel="0" collapsed="false">
      <c r="A578" s="4" t="s">
        <v>2493</v>
      </c>
      <c r="B578" s="4" t="s">
        <v>2494</v>
      </c>
      <c r="C578" s="4" t="s">
        <v>2495</v>
      </c>
      <c r="D578" s="4"/>
      <c r="E578" s="4" t="s">
        <v>54</v>
      </c>
      <c r="F578" s="4" t="s">
        <v>2496</v>
      </c>
      <c r="G578" s="4" t="s">
        <v>38</v>
      </c>
      <c r="H578" s="4" t="s">
        <v>66</v>
      </c>
      <c r="I578" s="4" t="s">
        <v>83</v>
      </c>
      <c r="J578" s="4" t="s">
        <v>58</v>
      </c>
      <c r="K578" s="4" t="s">
        <v>1858</v>
      </c>
      <c r="L578" s="4" t="str">
        <f aca="false">IF(TRIM(LOWER(E578))=TRIM(LOWER(J578)),"Match","Different")</f>
        <v>Different</v>
      </c>
    </row>
    <row r="579" customFormat="false" ht="15" hidden="false" customHeight="false" outlineLevel="0" collapsed="false">
      <c r="A579" s="4" t="s">
        <v>2497</v>
      </c>
      <c r="B579" s="4" t="s">
        <v>2498</v>
      </c>
      <c r="C579" s="4" t="s">
        <v>2499</v>
      </c>
      <c r="D579" s="4" t="s">
        <v>2500</v>
      </c>
      <c r="E579" s="4" t="s">
        <v>89</v>
      </c>
      <c r="F579" s="4" t="s">
        <v>2501</v>
      </c>
      <c r="G579" s="4" t="s">
        <v>359</v>
      </c>
      <c r="H579" s="4" t="s">
        <v>39</v>
      </c>
      <c r="I579" s="4" t="s">
        <v>39</v>
      </c>
      <c r="J579" s="4" t="s">
        <v>30</v>
      </c>
      <c r="K579" s="4"/>
      <c r="L579" s="4" t="str">
        <f aca="false">IF(TRIM(LOWER(E579))=TRIM(LOWER(J579)),"Match","Different")</f>
        <v>Different</v>
      </c>
    </row>
    <row r="580" customFormat="false" ht="15" hidden="false" customHeight="false" outlineLevel="0" collapsed="false">
      <c r="A580" s="4" t="s">
        <v>2502</v>
      </c>
      <c r="B580" s="4" t="s">
        <v>2498</v>
      </c>
      <c r="C580" s="4"/>
      <c r="D580" s="4" t="s">
        <v>2503</v>
      </c>
      <c r="E580" s="4" t="s">
        <v>89</v>
      </c>
      <c r="F580" s="4" t="s">
        <v>2501</v>
      </c>
      <c r="G580" s="4" t="s">
        <v>359</v>
      </c>
      <c r="H580" s="4" t="s">
        <v>39</v>
      </c>
      <c r="I580" s="4" t="s">
        <v>39</v>
      </c>
      <c r="J580" s="4" t="s">
        <v>30</v>
      </c>
      <c r="K580" s="4"/>
      <c r="L580" s="4" t="str">
        <f aca="false">IF(TRIM(LOWER(E580))=TRIM(LOWER(J580)),"Match","Different")</f>
        <v>Different</v>
      </c>
    </row>
    <row r="581" customFormat="false" ht="15" hidden="false" customHeight="false" outlineLevel="0" collapsed="false">
      <c r="A581" s="4" t="s">
        <v>2504</v>
      </c>
      <c r="B581" s="4" t="s">
        <v>2505</v>
      </c>
      <c r="C581" s="4"/>
      <c r="D581" s="4" t="s">
        <v>2506</v>
      </c>
      <c r="E581" s="4" t="s">
        <v>89</v>
      </c>
      <c r="F581" s="4" t="s">
        <v>2507</v>
      </c>
      <c r="G581" s="4" t="s">
        <v>575</v>
      </c>
      <c r="H581" s="4" t="s">
        <v>28</v>
      </c>
      <c r="I581" s="4" t="s">
        <v>297</v>
      </c>
      <c r="J581" s="4" t="s">
        <v>92</v>
      </c>
      <c r="K581" s="4" t="s">
        <v>2508</v>
      </c>
      <c r="L581" s="4" t="str">
        <f aca="false">IF(TRIM(LOWER(E581))=TRIM(LOWER(J581)),"Match","Different")</f>
        <v>Different</v>
      </c>
    </row>
    <row r="582" customFormat="false" ht="15" hidden="false" customHeight="false" outlineLevel="0" collapsed="false">
      <c r="A582" s="4" t="s">
        <v>2509</v>
      </c>
      <c r="B582" s="4" t="s">
        <v>2510</v>
      </c>
      <c r="C582" s="4" t="s">
        <v>2511</v>
      </c>
      <c r="D582" s="4"/>
      <c r="E582" s="4" t="s">
        <v>25</v>
      </c>
      <c r="F582" s="4" t="s">
        <v>2512</v>
      </c>
      <c r="G582" s="4" t="s">
        <v>98</v>
      </c>
      <c r="H582" s="4" t="s">
        <v>39</v>
      </c>
      <c r="I582" s="4" t="s">
        <v>91</v>
      </c>
      <c r="J582" s="4" t="s">
        <v>50</v>
      </c>
      <c r="K582" s="4" t="s">
        <v>2513</v>
      </c>
      <c r="L582" s="4" t="str">
        <f aca="false">IF(TRIM(LOWER(E582))=TRIM(LOWER(J582)),"Match","Different")</f>
        <v>Different</v>
      </c>
    </row>
    <row r="583" customFormat="false" ht="15" hidden="false" customHeight="false" outlineLevel="0" collapsed="false">
      <c r="A583" s="4" t="s">
        <v>2514</v>
      </c>
      <c r="B583" s="4" t="s">
        <v>2510</v>
      </c>
      <c r="C583" s="4" t="s">
        <v>2515</v>
      </c>
      <c r="D583" s="4" t="s">
        <v>2516</v>
      </c>
      <c r="E583" s="4" t="s">
        <v>25</v>
      </c>
      <c r="F583" s="4" t="s">
        <v>2512</v>
      </c>
      <c r="G583" s="4" t="s">
        <v>98</v>
      </c>
      <c r="H583" s="4" t="s">
        <v>39</v>
      </c>
      <c r="I583" s="4" t="s">
        <v>91</v>
      </c>
      <c r="J583" s="4" t="s">
        <v>50</v>
      </c>
      <c r="K583" s="4" t="s">
        <v>2513</v>
      </c>
      <c r="L583" s="4" t="str">
        <f aca="false">IF(TRIM(LOWER(E583))=TRIM(LOWER(J583)),"Match","Different")</f>
        <v>Different</v>
      </c>
    </row>
    <row r="584" customFormat="false" ht="15" hidden="false" customHeight="false" outlineLevel="0" collapsed="false">
      <c r="A584" s="4" t="s">
        <v>2517</v>
      </c>
      <c r="B584" s="4" t="s">
        <v>2518</v>
      </c>
      <c r="C584" s="4" t="s">
        <v>2519</v>
      </c>
      <c r="D584" s="4" t="s">
        <v>2520</v>
      </c>
      <c r="E584" s="4" t="s">
        <v>89</v>
      </c>
      <c r="F584" s="4" t="s">
        <v>2521</v>
      </c>
      <c r="G584" s="4" t="s">
        <v>82</v>
      </c>
      <c r="H584" s="4" t="s">
        <v>66</v>
      </c>
      <c r="I584" s="4" t="s">
        <v>1980</v>
      </c>
      <c r="J584" s="4" t="s">
        <v>100</v>
      </c>
      <c r="K584" s="4" t="s">
        <v>2519</v>
      </c>
      <c r="L584" s="4" t="str">
        <f aca="false">IF(TRIM(LOWER(E584))=TRIM(LOWER(J584)),"Match","Different")</f>
        <v>Different</v>
      </c>
    </row>
    <row r="585" customFormat="false" ht="15" hidden="false" customHeight="false" outlineLevel="0" collapsed="false">
      <c r="A585" s="4" t="s">
        <v>2522</v>
      </c>
      <c r="B585" s="4" t="s">
        <v>2523</v>
      </c>
      <c r="C585" s="4" t="s">
        <v>2524</v>
      </c>
      <c r="D585" s="4" t="s">
        <v>2525</v>
      </c>
      <c r="E585" s="4" t="s">
        <v>104</v>
      </c>
      <c r="F585" s="4" t="s">
        <v>2526</v>
      </c>
      <c r="G585" s="4" t="s">
        <v>82</v>
      </c>
      <c r="H585" s="4" t="s">
        <v>66</v>
      </c>
      <c r="I585" s="4" t="s">
        <v>536</v>
      </c>
      <c r="J585" s="4" t="s">
        <v>104</v>
      </c>
      <c r="K585" s="4" t="s">
        <v>2527</v>
      </c>
      <c r="L585" s="4" t="str">
        <f aca="false">IF(TRIM(LOWER(E585))=TRIM(LOWER(J585)),"Match","Different")</f>
        <v>Match</v>
      </c>
    </row>
    <row r="586" customFormat="false" ht="15" hidden="false" customHeight="false" outlineLevel="0" collapsed="false">
      <c r="A586" s="4" t="s">
        <v>2528</v>
      </c>
      <c r="B586" s="4" t="s">
        <v>2529</v>
      </c>
      <c r="C586" s="4" t="s">
        <v>2530</v>
      </c>
      <c r="D586" s="4"/>
      <c r="E586" s="4" t="s">
        <v>341</v>
      </c>
      <c r="F586" s="4" t="s">
        <v>2531</v>
      </c>
      <c r="G586" s="4" t="s">
        <v>56</v>
      </c>
      <c r="H586" s="4" t="s">
        <v>39</v>
      </c>
      <c r="I586" s="4" t="s">
        <v>83</v>
      </c>
      <c r="J586" s="4" t="s">
        <v>100</v>
      </c>
      <c r="K586" s="4" t="s">
        <v>2532</v>
      </c>
      <c r="L586" s="4" t="str">
        <f aca="false">IF(TRIM(LOWER(E586))=TRIM(LOWER(J586)),"Match","Different")</f>
        <v>Different</v>
      </c>
    </row>
    <row r="587" customFormat="false" ht="15" hidden="false" customHeight="false" outlineLevel="0" collapsed="false">
      <c r="A587" s="4" t="s">
        <v>2533</v>
      </c>
      <c r="B587" s="4" t="s">
        <v>2534</v>
      </c>
      <c r="C587" s="4" t="s">
        <v>2535</v>
      </c>
      <c r="D587" s="4" t="s">
        <v>2536</v>
      </c>
      <c r="E587" s="4" t="s">
        <v>89</v>
      </c>
      <c r="F587" s="4" t="s">
        <v>2537</v>
      </c>
      <c r="G587" s="4" t="s">
        <v>47</v>
      </c>
      <c r="H587" s="4" t="s">
        <v>39</v>
      </c>
      <c r="I587" s="4" t="s">
        <v>83</v>
      </c>
      <c r="J587" s="4" t="s">
        <v>92</v>
      </c>
      <c r="K587" s="4" t="s">
        <v>2538</v>
      </c>
      <c r="L587" s="4" t="str">
        <f aca="false">IF(TRIM(LOWER(E587))=TRIM(LOWER(J587)),"Match","Different")</f>
        <v>Different</v>
      </c>
    </row>
    <row r="588" customFormat="false" ht="15" hidden="false" customHeight="false" outlineLevel="0" collapsed="false">
      <c r="A588" s="4" t="s">
        <v>2539</v>
      </c>
      <c r="B588" s="4" t="s">
        <v>2540</v>
      </c>
      <c r="C588" s="4" t="s">
        <v>2541</v>
      </c>
      <c r="D588" s="4"/>
      <c r="E588" s="4" t="s">
        <v>341</v>
      </c>
      <c r="F588" s="4" t="s">
        <v>2542</v>
      </c>
      <c r="G588" s="4" t="s">
        <v>56</v>
      </c>
      <c r="H588" s="4" t="s">
        <v>28</v>
      </c>
      <c r="I588" s="4" t="s">
        <v>123</v>
      </c>
      <c r="J588" s="4" t="s">
        <v>32</v>
      </c>
      <c r="K588" s="4" t="s">
        <v>2541</v>
      </c>
      <c r="L588" s="4" t="str">
        <f aca="false">IF(TRIM(LOWER(E588))=TRIM(LOWER(J588)),"Match","Different")</f>
        <v>Different</v>
      </c>
    </row>
    <row r="589" customFormat="false" ht="15" hidden="false" customHeight="false" outlineLevel="0" collapsed="false">
      <c r="A589" s="4" t="s">
        <v>2540</v>
      </c>
      <c r="B589" s="4" t="s">
        <v>2540</v>
      </c>
      <c r="C589" s="4"/>
      <c r="D589" s="4"/>
      <c r="E589" s="4" t="s">
        <v>32</v>
      </c>
      <c r="F589" s="4" t="s">
        <v>2542</v>
      </c>
      <c r="G589" s="4" t="s">
        <v>56</v>
      </c>
      <c r="H589" s="4" t="s">
        <v>28</v>
      </c>
      <c r="I589" s="4" t="s">
        <v>123</v>
      </c>
      <c r="J589" s="4" t="s">
        <v>32</v>
      </c>
      <c r="K589" s="4" t="s">
        <v>2541</v>
      </c>
      <c r="L589" s="4" t="str">
        <f aca="false">IF(TRIM(LOWER(E589))=TRIM(LOWER(J589)),"Match","Different")</f>
        <v>Match</v>
      </c>
    </row>
    <row r="590" customFormat="false" ht="15" hidden="false" customHeight="false" outlineLevel="0" collapsed="false">
      <c r="A590" s="4" t="s">
        <v>2543</v>
      </c>
      <c r="B590" s="4" t="s">
        <v>2544</v>
      </c>
      <c r="C590" s="4" t="s">
        <v>2545</v>
      </c>
      <c r="D590" s="4"/>
      <c r="E590" s="4" t="s">
        <v>64</v>
      </c>
      <c r="F590" s="4" t="s">
        <v>2546</v>
      </c>
      <c r="G590" s="4" t="s">
        <v>47</v>
      </c>
      <c r="H590" s="4" t="s">
        <v>39</v>
      </c>
      <c r="I590" s="4" t="s">
        <v>402</v>
      </c>
      <c r="J590" s="4" t="s">
        <v>64</v>
      </c>
      <c r="K590" s="4" t="s">
        <v>2545</v>
      </c>
      <c r="L590" s="4" t="str">
        <f aca="false">IF(TRIM(LOWER(E590))=TRIM(LOWER(J590)),"Match","Different")</f>
        <v>Match</v>
      </c>
    </row>
    <row r="591" customFormat="false" ht="15" hidden="false" customHeight="false" outlineLevel="0" collapsed="false">
      <c r="A591" s="4" t="s">
        <v>2547</v>
      </c>
      <c r="B591" s="4" t="s">
        <v>2548</v>
      </c>
      <c r="C591" s="4" t="s">
        <v>2549</v>
      </c>
      <c r="D591" s="4" t="s">
        <v>2550</v>
      </c>
      <c r="E591" s="4" t="s">
        <v>64</v>
      </c>
      <c r="F591" s="4" t="s">
        <v>2551</v>
      </c>
      <c r="G591" s="4" t="s">
        <v>128</v>
      </c>
      <c r="H591" s="4" t="s">
        <v>66</v>
      </c>
      <c r="I591" s="4" t="s">
        <v>2552</v>
      </c>
      <c r="J591" s="4" t="s">
        <v>64</v>
      </c>
      <c r="K591" s="4" t="s">
        <v>2553</v>
      </c>
      <c r="L591" s="4" t="str">
        <f aca="false">IF(TRIM(LOWER(E591))=TRIM(LOWER(J591)),"Match","Different")</f>
        <v>Match</v>
      </c>
    </row>
    <row r="592" customFormat="false" ht="15" hidden="false" customHeight="false" outlineLevel="0" collapsed="false">
      <c r="A592" s="4" t="s">
        <v>2554</v>
      </c>
      <c r="B592" s="4" t="s">
        <v>2555</v>
      </c>
      <c r="C592" s="4" t="s">
        <v>2556</v>
      </c>
      <c r="D592" s="4" t="s">
        <v>2557</v>
      </c>
      <c r="E592" s="4" t="s">
        <v>50</v>
      </c>
      <c r="F592" s="4" t="s">
        <v>2558</v>
      </c>
      <c r="G592" s="4" t="s">
        <v>82</v>
      </c>
      <c r="H592" s="4" t="s">
        <v>66</v>
      </c>
      <c r="I592" s="4" t="s">
        <v>2225</v>
      </c>
      <c r="J592" s="4" t="s">
        <v>32</v>
      </c>
      <c r="K592" s="4" t="s">
        <v>2559</v>
      </c>
      <c r="L592" s="4" t="str">
        <f aca="false">IF(TRIM(LOWER(E592))=TRIM(LOWER(J592)),"Match","Different")</f>
        <v>Different</v>
      </c>
    </row>
    <row r="593" customFormat="false" ht="15" hidden="false" customHeight="false" outlineLevel="0" collapsed="false">
      <c r="A593" s="4" t="s">
        <v>2560</v>
      </c>
      <c r="B593" s="4" t="s">
        <v>2555</v>
      </c>
      <c r="C593" s="4" t="s">
        <v>2559</v>
      </c>
      <c r="D593" s="4"/>
      <c r="E593" s="4" t="s">
        <v>50</v>
      </c>
      <c r="F593" s="4" t="s">
        <v>2558</v>
      </c>
      <c r="G593" s="4" t="s">
        <v>82</v>
      </c>
      <c r="H593" s="4" t="s">
        <v>66</v>
      </c>
      <c r="I593" s="4" t="s">
        <v>2225</v>
      </c>
      <c r="J593" s="4" t="s">
        <v>32</v>
      </c>
      <c r="K593" s="4" t="s">
        <v>2559</v>
      </c>
      <c r="L593" s="4" t="str">
        <f aca="false">IF(TRIM(LOWER(E593))=TRIM(LOWER(J593)),"Match","Different")</f>
        <v>Different</v>
      </c>
    </row>
    <row r="594" customFormat="false" ht="15" hidden="false" customHeight="false" outlineLevel="0" collapsed="false">
      <c r="A594" s="4" t="s">
        <v>2561</v>
      </c>
      <c r="B594" s="4" t="s">
        <v>2562</v>
      </c>
      <c r="C594" s="4" t="s">
        <v>2563</v>
      </c>
      <c r="D594" s="4" t="s">
        <v>2564</v>
      </c>
      <c r="E594" s="4" t="s">
        <v>64</v>
      </c>
      <c r="F594" s="4" t="s">
        <v>2565</v>
      </c>
      <c r="G594" s="4" t="s">
        <v>47</v>
      </c>
      <c r="H594" s="4" t="s">
        <v>114</v>
      </c>
      <c r="I594" s="4" t="s">
        <v>670</v>
      </c>
      <c r="J594" s="4" t="s">
        <v>64</v>
      </c>
      <c r="K594" s="4" t="s">
        <v>2563</v>
      </c>
      <c r="L594" s="4" t="str">
        <f aca="false">IF(TRIM(LOWER(E594))=TRIM(LOWER(J594)),"Match","Different")</f>
        <v>Match</v>
      </c>
    </row>
    <row r="595" customFormat="false" ht="15" hidden="false" customHeight="false" outlineLevel="0" collapsed="false">
      <c r="A595" s="4" t="s">
        <v>2566</v>
      </c>
      <c r="B595" s="4" t="s">
        <v>2567</v>
      </c>
      <c r="C595" s="4" t="s">
        <v>2568</v>
      </c>
      <c r="D595" s="4"/>
      <c r="E595" s="4" t="s">
        <v>25</v>
      </c>
      <c r="F595" s="4" t="s">
        <v>2569</v>
      </c>
      <c r="G595" s="4" t="s">
        <v>161</v>
      </c>
      <c r="H595" s="4" t="s">
        <v>66</v>
      </c>
      <c r="I595" s="4" t="s">
        <v>262</v>
      </c>
      <c r="J595" s="4" t="s">
        <v>50</v>
      </c>
      <c r="K595" s="4" t="s">
        <v>2568</v>
      </c>
      <c r="L595" s="4" t="str">
        <f aca="false">IF(TRIM(LOWER(E595))=TRIM(LOWER(J595)),"Match","Different")</f>
        <v>Different</v>
      </c>
    </row>
    <row r="596" customFormat="false" ht="15" hidden="false" customHeight="false" outlineLevel="0" collapsed="false">
      <c r="A596" s="4" t="s">
        <v>2570</v>
      </c>
      <c r="B596" s="4" t="s">
        <v>2567</v>
      </c>
      <c r="C596" s="4" t="s">
        <v>2571</v>
      </c>
      <c r="D596" s="4" t="s">
        <v>2572</v>
      </c>
      <c r="E596" s="4" t="s">
        <v>25</v>
      </c>
      <c r="F596" s="4" t="s">
        <v>2569</v>
      </c>
      <c r="G596" s="4" t="s">
        <v>161</v>
      </c>
      <c r="H596" s="4" t="s">
        <v>66</v>
      </c>
      <c r="I596" s="4" t="s">
        <v>262</v>
      </c>
      <c r="J596" s="4" t="s">
        <v>50</v>
      </c>
      <c r="K596" s="4" t="s">
        <v>2568</v>
      </c>
      <c r="L596" s="4" t="str">
        <f aca="false">IF(TRIM(LOWER(E596))=TRIM(LOWER(J596)),"Match","Different")</f>
        <v>Different</v>
      </c>
    </row>
    <row r="597" customFormat="false" ht="15" hidden="false" customHeight="false" outlineLevel="0" collapsed="false">
      <c r="A597" s="4" t="s">
        <v>2573</v>
      </c>
      <c r="B597" s="4" t="s">
        <v>2567</v>
      </c>
      <c r="C597" s="4" t="s">
        <v>2574</v>
      </c>
      <c r="D597" s="4" t="s">
        <v>2575</v>
      </c>
      <c r="E597" s="4" t="s">
        <v>25</v>
      </c>
      <c r="F597" s="4" t="s">
        <v>2569</v>
      </c>
      <c r="G597" s="4" t="s">
        <v>161</v>
      </c>
      <c r="H597" s="4" t="s">
        <v>66</v>
      </c>
      <c r="I597" s="4" t="s">
        <v>262</v>
      </c>
      <c r="J597" s="4" t="s">
        <v>50</v>
      </c>
      <c r="K597" s="4" t="s">
        <v>2568</v>
      </c>
      <c r="L597" s="4" t="str">
        <f aca="false">IF(TRIM(LOWER(E597))=TRIM(LOWER(J597)),"Match","Different")</f>
        <v>Different</v>
      </c>
    </row>
    <row r="598" customFormat="false" ht="15" hidden="false" customHeight="false" outlineLevel="0" collapsed="false">
      <c r="A598" s="4" t="s">
        <v>2576</v>
      </c>
      <c r="B598" s="4" t="s">
        <v>2577</v>
      </c>
      <c r="C598" s="4" t="s">
        <v>2578</v>
      </c>
      <c r="D598" s="4"/>
      <c r="E598" s="4" t="s">
        <v>54</v>
      </c>
      <c r="F598" s="4" t="s">
        <v>2579</v>
      </c>
      <c r="G598" s="4" t="s">
        <v>122</v>
      </c>
      <c r="H598" s="4" t="s">
        <v>39</v>
      </c>
      <c r="I598" s="4" t="s">
        <v>821</v>
      </c>
      <c r="J598" s="4" t="s">
        <v>30</v>
      </c>
      <c r="K598" s="4" t="s">
        <v>2580</v>
      </c>
      <c r="L598" s="4" t="str">
        <f aca="false">IF(TRIM(LOWER(E598))=TRIM(LOWER(J598)),"Match","Different")</f>
        <v>Different</v>
      </c>
    </row>
    <row r="599" customFormat="false" ht="15" hidden="false" customHeight="false" outlineLevel="0" collapsed="false">
      <c r="A599" s="4" t="s">
        <v>2581</v>
      </c>
      <c r="B599" s="4" t="s">
        <v>2582</v>
      </c>
      <c r="C599" s="4" t="s">
        <v>2583</v>
      </c>
      <c r="D599" s="4"/>
      <c r="E599" s="4" t="s">
        <v>54</v>
      </c>
      <c r="F599" s="4" t="s">
        <v>2584</v>
      </c>
      <c r="G599" s="4" t="s">
        <v>122</v>
      </c>
      <c r="H599" s="4" t="s">
        <v>39</v>
      </c>
      <c r="I599" s="4" t="s">
        <v>129</v>
      </c>
      <c r="J599" s="4" t="s">
        <v>30</v>
      </c>
      <c r="K599" s="4" t="s">
        <v>2583</v>
      </c>
      <c r="L599" s="4" t="str">
        <f aca="false">IF(TRIM(LOWER(E599))=TRIM(LOWER(J599)),"Match","Different")</f>
        <v>Different</v>
      </c>
    </row>
    <row r="600" customFormat="false" ht="15" hidden="false" customHeight="false" outlineLevel="0" collapsed="false">
      <c r="A600" s="4" t="s">
        <v>2585</v>
      </c>
      <c r="B600" s="4" t="s">
        <v>2586</v>
      </c>
      <c r="C600" s="4" t="s">
        <v>2587</v>
      </c>
      <c r="D600" s="4"/>
      <c r="E600" s="4" t="s">
        <v>54</v>
      </c>
      <c r="F600" s="4" t="s">
        <v>2588</v>
      </c>
      <c r="G600" s="4" t="s">
        <v>82</v>
      </c>
      <c r="H600" s="4" t="s">
        <v>66</v>
      </c>
      <c r="I600" s="4" t="s">
        <v>91</v>
      </c>
      <c r="J600" s="4" t="s">
        <v>30</v>
      </c>
      <c r="K600" s="4" t="s">
        <v>2587</v>
      </c>
      <c r="L600" s="4" t="str">
        <f aca="false">IF(TRIM(LOWER(E600))=TRIM(LOWER(J600)),"Match","Different")</f>
        <v>Different</v>
      </c>
    </row>
    <row r="601" customFormat="false" ht="15" hidden="false" customHeight="false" outlineLevel="0" collapsed="false">
      <c r="A601" s="4" t="s">
        <v>2589</v>
      </c>
      <c r="B601" s="4" t="s">
        <v>2590</v>
      </c>
      <c r="C601" s="4" t="s">
        <v>2591</v>
      </c>
      <c r="D601" s="4" t="s">
        <v>2592</v>
      </c>
      <c r="E601" s="4" t="s">
        <v>25</v>
      </c>
      <c r="F601" s="4" t="s">
        <v>2593</v>
      </c>
      <c r="G601" s="4" t="s">
        <v>136</v>
      </c>
      <c r="H601" s="4" t="s">
        <v>66</v>
      </c>
      <c r="I601" s="4" t="s">
        <v>297</v>
      </c>
      <c r="J601" s="4" t="s">
        <v>50</v>
      </c>
      <c r="K601" s="4" t="s">
        <v>2591</v>
      </c>
      <c r="L601" s="4" t="str">
        <f aca="false">IF(TRIM(LOWER(E601))=TRIM(LOWER(J601)),"Match","Different")</f>
        <v>Different</v>
      </c>
    </row>
    <row r="602" customFormat="false" ht="15" hidden="false" customHeight="false" outlineLevel="0" collapsed="false">
      <c r="A602" s="4" t="s">
        <v>2594</v>
      </c>
      <c r="B602" s="4" t="s">
        <v>2595</v>
      </c>
      <c r="C602" s="4" t="s">
        <v>2596</v>
      </c>
      <c r="D602" s="4" t="s">
        <v>2597</v>
      </c>
      <c r="E602" s="4" t="s">
        <v>89</v>
      </c>
      <c r="F602" s="4" t="s">
        <v>2598</v>
      </c>
      <c r="G602" s="4" t="s">
        <v>56</v>
      </c>
      <c r="H602" s="4" t="s">
        <v>39</v>
      </c>
      <c r="I602" s="4" t="s">
        <v>39</v>
      </c>
      <c r="J602" s="4" t="s">
        <v>92</v>
      </c>
      <c r="K602" s="4" t="s">
        <v>2596</v>
      </c>
      <c r="L602" s="4" t="str">
        <f aca="false">IF(TRIM(LOWER(E602))=TRIM(LOWER(J602)),"Match","Different")</f>
        <v>Different</v>
      </c>
    </row>
    <row r="603" customFormat="false" ht="15" hidden="false" customHeight="false" outlineLevel="0" collapsed="false">
      <c r="A603" s="4" t="s">
        <v>2599</v>
      </c>
      <c r="B603" s="4" t="s">
        <v>2595</v>
      </c>
      <c r="C603" s="4" t="s">
        <v>2600</v>
      </c>
      <c r="D603" s="4"/>
      <c r="E603" s="4" t="s">
        <v>89</v>
      </c>
      <c r="F603" s="4" t="s">
        <v>2598</v>
      </c>
      <c r="G603" s="4" t="s">
        <v>56</v>
      </c>
      <c r="H603" s="4" t="s">
        <v>39</v>
      </c>
      <c r="I603" s="4" t="s">
        <v>39</v>
      </c>
      <c r="J603" s="4" t="s">
        <v>92</v>
      </c>
      <c r="K603" s="4" t="s">
        <v>2596</v>
      </c>
      <c r="L603" s="4" t="str">
        <f aca="false">IF(TRIM(LOWER(E603))=TRIM(LOWER(J603)),"Match","Different")</f>
        <v>Different</v>
      </c>
    </row>
    <row r="604" customFormat="false" ht="15" hidden="false" customHeight="false" outlineLevel="0" collapsed="false">
      <c r="A604" s="4" t="s">
        <v>2601</v>
      </c>
      <c r="B604" s="4" t="s">
        <v>2602</v>
      </c>
      <c r="C604" s="4" t="s">
        <v>403</v>
      </c>
      <c r="D604" s="4" t="s">
        <v>2603</v>
      </c>
      <c r="E604" s="4" t="s">
        <v>89</v>
      </c>
      <c r="F604" s="4" t="s">
        <v>2604</v>
      </c>
      <c r="G604" s="4" t="s">
        <v>56</v>
      </c>
      <c r="H604" s="4" t="s">
        <v>39</v>
      </c>
      <c r="I604" s="4" t="s">
        <v>40</v>
      </c>
      <c r="J604" s="4" t="s">
        <v>92</v>
      </c>
      <c r="K604" s="4" t="s">
        <v>2605</v>
      </c>
      <c r="L604" s="4" t="str">
        <f aca="false">IF(TRIM(LOWER(E604))=TRIM(LOWER(J604)),"Match","Different")</f>
        <v>Different</v>
      </c>
    </row>
    <row r="605" customFormat="false" ht="15" hidden="false" customHeight="false" outlineLevel="0" collapsed="false">
      <c r="A605" s="4" t="s">
        <v>2606</v>
      </c>
      <c r="B605" s="4" t="s">
        <v>2607</v>
      </c>
      <c r="C605" s="4" t="s">
        <v>2608</v>
      </c>
      <c r="D605" s="4"/>
      <c r="E605" s="4" t="s">
        <v>54</v>
      </c>
      <c r="F605" s="4" t="s">
        <v>2609</v>
      </c>
      <c r="G605" s="4" t="s">
        <v>27</v>
      </c>
      <c r="H605" s="4" t="s">
        <v>39</v>
      </c>
      <c r="I605" s="4" t="s">
        <v>40</v>
      </c>
      <c r="J605" s="4" t="s">
        <v>100</v>
      </c>
      <c r="K605" s="4" t="s">
        <v>2610</v>
      </c>
      <c r="L605" s="4" t="str">
        <f aca="false">IF(TRIM(LOWER(E605))=TRIM(LOWER(J605)),"Match","Different")</f>
        <v>Different</v>
      </c>
    </row>
    <row r="606" customFormat="false" ht="15" hidden="false" customHeight="false" outlineLevel="0" collapsed="false">
      <c r="A606" s="4" t="s">
        <v>2611</v>
      </c>
      <c r="B606" s="4" t="s">
        <v>2612</v>
      </c>
      <c r="C606" s="4" t="s">
        <v>2613</v>
      </c>
      <c r="D606" s="4"/>
      <c r="E606" s="4" t="s">
        <v>341</v>
      </c>
      <c r="F606" s="4" t="s">
        <v>2614</v>
      </c>
      <c r="G606" s="4" t="s">
        <v>56</v>
      </c>
      <c r="H606" s="4" t="s">
        <v>39</v>
      </c>
      <c r="I606" s="4" t="s">
        <v>821</v>
      </c>
      <c r="J606" s="4" t="s">
        <v>32</v>
      </c>
      <c r="K606" s="4" t="s">
        <v>2613</v>
      </c>
      <c r="L606" s="4" t="str">
        <f aca="false">IF(TRIM(LOWER(E606))=TRIM(LOWER(J606)),"Match","Different")</f>
        <v>Different</v>
      </c>
    </row>
    <row r="607" customFormat="false" ht="15" hidden="false" customHeight="false" outlineLevel="0" collapsed="false">
      <c r="A607" s="4" t="s">
        <v>2615</v>
      </c>
      <c r="B607" s="4" t="s">
        <v>2616</v>
      </c>
      <c r="C607" s="4" t="s">
        <v>2617</v>
      </c>
      <c r="D607" s="4"/>
      <c r="E607" s="4" t="s">
        <v>54</v>
      </c>
      <c r="F607" s="4" t="s">
        <v>2618</v>
      </c>
      <c r="G607" s="4" t="s">
        <v>1319</v>
      </c>
      <c r="H607" s="4" t="s">
        <v>66</v>
      </c>
      <c r="I607" s="4" t="s">
        <v>942</v>
      </c>
      <c r="J607" s="4" t="s">
        <v>32</v>
      </c>
      <c r="K607" s="4" t="s">
        <v>2619</v>
      </c>
      <c r="L607" s="4" t="str">
        <f aca="false">IF(TRIM(LOWER(E607))=TRIM(LOWER(J607)),"Match","Different")</f>
        <v>Different</v>
      </c>
    </row>
    <row r="608" customFormat="false" ht="15" hidden="false" customHeight="false" outlineLevel="0" collapsed="false">
      <c r="A608" s="4" t="s">
        <v>2620</v>
      </c>
      <c r="B608" s="4" t="s">
        <v>2621</v>
      </c>
      <c r="C608" s="4" t="s">
        <v>2622</v>
      </c>
      <c r="D608" s="4"/>
      <c r="E608" s="4" t="s">
        <v>341</v>
      </c>
      <c r="F608" s="4" t="s">
        <v>2623</v>
      </c>
      <c r="G608" s="4" t="s">
        <v>56</v>
      </c>
      <c r="H608" s="4" t="s">
        <v>114</v>
      </c>
      <c r="I608" s="4" t="s">
        <v>2624</v>
      </c>
      <c r="J608" s="4" t="s">
        <v>112</v>
      </c>
      <c r="K608" s="4" t="s">
        <v>2622</v>
      </c>
      <c r="L608" s="4" t="str">
        <f aca="false">IF(TRIM(LOWER(E608))=TRIM(LOWER(J608)),"Match","Different")</f>
        <v>Different</v>
      </c>
    </row>
    <row r="609" customFormat="false" ht="15" hidden="false" customHeight="false" outlineLevel="0" collapsed="false">
      <c r="A609" s="4" t="s">
        <v>2625</v>
      </c>
      <c r="B609" s="4" t="s">
        <v>2621</v>
      </c>
      <c r="C609" s="4" t="s">
        <v>2626</v>
      </c>
      <c r="D609" s="4"/>
      <c r="E609" s="4" t="s">
        <v>54</v>
      </c>
      <c r="F609" s="4" t="s">
        <v>2623</v>
      </c>
      <c r="G609" s="4" t="s">
        <v>56</v>
      </c>
      <c r="H609" s="4" t="s">
        <v>114</v>
      </c>
      <c r="I609" s="4" t="s">
        <v>2624</v>
      </c>
      <c r="J609" s="4" t="s">
        <v>112</v>
      </c>
      <c r="K609" s="4" t="s">
        <v>2622</v>
      </c>
      <c r="L609" s="4" t="str">
        <f aca="false">IF(TRIM(LOWER(E609))=TRIM(LOWER(J609)),"Match","Different")</f>
        <v>Different</v>
      </c>
    </row>
    <row r="610" customFormat="false" ht="15" hidden="false" customHeight="false" outlineLevel="0" collapsed="false">
      <c r="A610" s="4" t="s">
        <v>2627</v>
      </c>
      <c r="B610" s="4" t="s">
        <v>2621</v>
      </c>
      <c r="C610" s="4" t="s">
        <v>2628</v>
      </c>
      <c r="D610" s="4"/>
      <c r="E610" s="4" t="s">
        <v>54</v>
      </c>
      <c r="F610" s="4" t="s">
        <v>2623</v>
      </c>
      <c r="G610" s="4" t="s">
        <v>56</v>
      </c>
      <c r="H610" s="4" t="s">
        <v>114</v>
      </c>
      <c r="I610" s="4" t="s">
        <v>2624</v>
      </c>
      <c r="J610" s="4" t="s">
        <v>112</v>
      </c>
      <c r="K610" s="4" t="s">
        <v>2622</v>
      </c>
      <c r="L610" s="4" t="str">
        <f aca="false">IF(TRIM(LOWER(E610))=TRIM(LOWER(J610)),"Match","Different")</f>
        <v>Different</v>
      </c>
    </row>
    <row r="611" customFormat="false" ht="15" hidden="false" customHeight="false" outlineLevel="0" collapsed="false">
      <c r="A611" s="4" t="s">
        <v>2629</v>
      </c>
      <c r="B611" s="4" t="s">
        <v>2630</v>
      </c>
      <c r="C611" s="4" t="s">
        <v>2631</v>
      </c>
      <c r="D611" s="4" t="s">
        <v>2632</v>
      </c>
      <c r="E611" s="4" t="s">
        <v>54</v>
      </c>
      <c r="F611" s="4" t="s">
        <v>2633</v>
      </c>
      <c r="G611" s="4" t="s">
        <v>56</v>
      </c>
      <c r="H611" s="4" t="s">
        <v>114</v>
      </c>
      <c r="I611" s="4" t="s">
        <v>2624</v>
      </c>
      <c r="J611" s="4" t="s">
        <v>112</v>
      </c>
      <c r="K611" s="4" t="s">
        <v>2634</v>
      </c>
      <c r="L611" s="4" t="str">
        <f aca="false">IF(TRIM(LOWER(E611))=TRIM(LOWER(J611)),"Match","Different")</f>
        <v>Different</v>
      </c>
    </row>
    <row r="612" customFormat="false" ht="15" hidden="false" customHeight="false" outlineLevel="0" collapsed="false">
      <c r="A612" s="4" t="s">
        <v>2620</v>
      </c>
      <c r="B612" s="4" t="s">
        <v>2630</v>
      </c>
      <c r="C612" s="4" t="s">
        <v>2634</v>
      </c>
      <c r="D612" s="4"/>
      <c r="E612" s="4" t="s">
        <v>341</v>
      </c>
      <c r="F612" s="4" t="s">
        <v>2633</v>
      </c>
      <c r="G612" s="4" t="s">
        <v>56</v>
      </c>
      <c r="H612" s="4" t="s">
        <v>114</v>
      </c>
      <c r="I612" s="4" t="s">
        <v>2624</v>
      </c>
      <c r="J612" s="4" t="s">
        <v>112</v>
      </c>
      <c r="K612" s="4" t="s">
        <v>2634</v>
      </c>
      <c r="L612" s="4" t="str">
        <f aca="false">IF(TRIM(LOWER(E612))=TRIM(LOWER(J612)),"Match","Different")</f>
        <v>Different</v>
      </c>
    </row>
    <row r="613" customFormat="false" ht="15" hidden="false" customHeight="false" outlineLevel="0" collapsed="false">
      <c r="A613" s="4" t="s">
        <v>2635</v>
      </c>
      <c r="B613" s="4" t="s">
        <v>2636</v>
      </c>
      <c r="C613" s="4" t="s">
        <v>2637</v>
      </c>
      <c r="D613" s="4"/>
      <c r="E613" s="4" t="s">
        <v>341</v>
      </c>
      <c r="F613" s="4" t="s">
        <v>2638</v>
      </c>
      <c r="G613" s="4" t="s">
        <v>359</v>
      </c>
      <c r="H613" s="4" t="s">
        <v>1268</v>
      </c>
      <c r="I613" s="4" t="s">
        <v>670</v>
      </c>
      <c r="J613" s="4" t="s">
        <v>112</v>
      </c>
      <c r="K613" s="4" t="s">
        <v>2637</v>
      </c>
      <c r="L613" s="4" t="str">
        <f aca="false">IF(TRIM(LOWER(E613))=TRIM(LOWER(J613)),"Match","Different")</f>
        <v>Different</v>
      </c>
    </row>
    <row r="614" customFormat="false" ht="15" hidden="false" customHeight="false" outlineLevel="0" collapsed="false">
      <c r="A614" s="4" t="s">
        <v>2639</v>
      </c>
      <c r="B614" s="4" t="s">
        <v>2640</v>
      </c>
      <c r="C614" s="4" t="s">
        <v>2641</v>
      </c>
      <c r="D614" s="4"/>
      <c r="E614" s="4" t="s">
        <v>50</v>
      </c>
      <c r="F614" s="4" t="s">
        <v>2642</v>
      </c>
      <c r="G614" s="4" t="s">
        <v>56</v>
      </c>
      <c r="H614" s="4" t="s">
        <v>28</v>
      </c>
      <c r="I614" s="4" t="s">
        <v>123</v>
      </c>
      <c r="J614" s="4" t="s">
        <v>50</v>
      </c>
      <c r="K614" s="4" t="s">
        <v>2643</v>
      </c>
      <c r="L614" s="4" t="str">
        <f aca="false">IF(TRIM(LOWER(E614))=TRIM(LOWER(J614)),"Match","Different")</f>
        <v>Match</v>
      </c>
    </row>
    <row r="615" customFormat="false" ht="15" hidden="false" customHeight="false" outlineLevel="0" collapsed="false">
      <c r="A615" s="4" t="s">
        <v>2644</v>
      </c>
      <c r="B615" s="4" t="s">
        <v>2640</v>
      </c>
      <c r="C615" s="4" t="s">
        <v>2645</v>
      </c>
      <c r="D615" s="4"/>
      <c r="E615" s="4" t="s">
        <v>50</v>
      </c>
      <c r="F615" s="4" t="s">
        <v>2642</v>
      </c>
      <c r="G615" s="4" t="s">
        <v>56</v>
      </c>
      <c r="H615" s="4" t="s">
        <v>28</v>
      </c>
      <c r="I615" s="4" t="s">
        <v>123</v>
      </c>
      <c r="J615" s="4" t="s">
        <v>50</v>
      </c>
      <c r="K615" s="4" t="s">
        <v>2643</v>
      </c>
      <c r="L615" s="4" t="str">
        <f aca="false">IF(TRIM(LOWER(E615))=TRIM(LOWER(J615)),"Match","Different")</f>
        <v>Match</v>
      </c>
    </row>
    <row r="616" customFormat="false" ht="15" hidden="false" customHeight="false" outlineLevel="0" collapsed="false">
      <c r="A616" s="4" t="s">
        <v>2646</v>
      </c>
      <c r="B616" s="4" t="s">
        <v>2647</v>
      </c>
      <c r="C616" s="4" t="s">
        <v>2648</v>
      </c>
      <c r="D616" s="4" t="s">
        <v>2649</v>
      </c>
      <c r="E616" s="4" t="s">
        <v>104</v>
      </c>
      <c r="F616" s="4" t="s">
        <v>2650</v>
      </c>
      <c r="G616" s="4" t="s">
        <v>38</v>
      </c>
      <c r="H616" s="4" t="s">
        <v>39</v>
      </c>
      <c r="I616" s="4" t="s">
        <v>99</v>
      </c>
      <c r="J616" s="4" t="s">
        <v>104</v>
      </c>
      <c r="K616" s="4" t="s">
        <v>1331</v>
      </c>
      <c r="L616" s="4" t="str">
        <f aca="false">IF(TRIM(LOWER(E616))=TRIM(LOWER(J616)),"Match","Different")</f>
        <v>Match</v>
      </c>
    </row>
    <row r="617" customFormat="false" ht="15" hidden="false" customHeight="false" outlineLevel="0" collapsed="false">
      <c r="A617" s="4" t="s">
        <v>2651</v>
      </c>
      <c r="B617" s="4" t="s">
        <v>2647</v>
      </c>
      <c r="C617" s="4"/>
      <c r="D617" s="4"/>
      <c r="E617" s="4" t="s">
        <v>383</v>
      </c>
      <c r="F617" s="4" t="s">
        <v>2650</v>
      </c>
      <c r="G617" s="4" t="s">
        <v>38</v>
      </c>
      <c r="H617" s="4" t="s">
        <v>39</v>
      </c>
      <c r="I617" s="4" t="s">
        <v>99</v>
      </c>
      <c r="J617" s="4" t="s">
        <v>104</v>
      </c>
      <c r="K617" s="4" t="s">
        <v>1331</v>
      </c>
      <c r="L617" s="4" t="str">
        <f aca="false">IF(TRIM(LOWER(E617))=TRIM(LOWER(J617)),"Match","Different")</f>
        <v>Different</v>
      </c>
    </row>
    <row r="618" customFormat="false" ht="15" hidden="false" customHeight="false" outlineLevel="0" collapsed="false">
      <c r="A618" s="4" t="s">
        <v>2652</v>
      </c>
      <c r="B618" s="4" t="s">
        <v>2653</v>
      </c>
      <c r="C618" s="4" t="s">
        <v>2654</v>
      </c>
      <c r="D618" s="4" t="s">
        <v>2655</v>
      </c>
      <c r="E618" s="4" t="s">
        <v>104</v>
      </c>
      <c r="F618" s="4" t="s">
        <v>2656</v>
      </c>
      <c r="G618" s="4" t="s">
        <v>128</v>
      </c>
      <c r="H618" s="4" t="s">
        <v>39</v>
      </c>
      <c r="I618" s="4" t="s">
        <v>297</v>
      </c>
      <c r="J618" s="4" t="s">
        <v>104</v>
      </c>
      <c r="K618" s="4" t="s">
        <v>2657</v>
      </c>
      <c r="L618" s="4" t="str">
        <f aca="false">IF(TRIM(LOWER(E618))=TRIM(LOWER(J618)),"Match","Different")</f>
        <v>Match</v>
      </c>
    </row>
    <row r="619" customFormat="false" ht="15" hidden="false" customHeight="false" outlineLevel="0" collapsed="false">
      <c r="A619" s="4" t="s">
        <v>2658</v>
      </c>
      <c r="B619" s="4" t="s">
        <v>2659</v>
      </c>
      <c r="C619" s="4"/>
      <c r="D619" s="4" t="s">
        <v>2660</v>
      </c>
      <c r="E619" s="4" t="s">
        <v>170</v>
      </c>
      <c r="F619" s="4" t="s">
        <v>2661</v>
      </c>
      <c r="G619" s="4" t="s">
        <v>38</v>
      </c>
      <c r="H619" s="4" t="s">
        <v>172</v>
      </c>
      <c r="I619" s="4" t="s">
        <v>173</v>
      </c>
      <c r="J619" s="4" t="s">
        <v>174</v>
      </c>
      <c r="K619" s="4" t="s">
        <v>2662</v>
      </c>
      <c r="L619" s="4" t="str">
        <f aca="false">IF(TRIM(LOWER(E619))=TRIM(LOWER(J619)),"Match","Different")</f>
        <v>Different</v>
      </c>
    </row>
    <row r="620" customFormat="false" ht="15" hidden="false" customHeight="false" outlineLevel="0" collapsed="false">
      <c r="A620" s="4" t="s">
        <v>2663</v>
      </c>
      <c r="B620" s="4" t="s">
        <v>2659</v>
      </c>
      <c r="C620" s="4" t="s">
        <v>2664</v>
      </c>
      <c r="D620" s="4" t="s">
        <v>2660</v>
      </c>
      <c r="E620" s="4" t="s">
        <v>170</v>
      </c>
      <c r="F620" s="4" t="s">
        <v>2661</v>
      </c>
      <c r="G620" s="4" t="s">
        <v>38</v>
      </c>
      <c r="H620" s="4" t="s">
        <v>172</v>
      </c>
      <c r="I620" s="4" t="s">
        <v>173</v>
      </c>
      <c r="J620" s="4" t="s">
        <v>174</v>
      </c>
      <c r="K620" s="4" t="s">
        <v>2662</v>
      </c>
      <c r="L620" s="4" t="str">
        <f aca="false">IF(TRIM(LOWER(E620))=TRIM(LOWER(J620)),"Match","Different")</f>
        <v>Different</v>
      </c>
    </row>
    <row r="621" customFormat="false" ht="15" hidden="false" customHeight="false" outlineLevel="0" collapsed="false">
      <c r="A621" s="4" t="s">
        <v>2665</v>
      </c>
      <c r="B621" s="4" t="s">
        <v>2659</v>
      </c>
      <c r="C621" s="4" t="s">
        <v>2666</v>
      </c>
      <c r="D621" s="4" t="s">
        <v>2667</v>
      </c>
      <c r="E621" s="4" t="s">
        <v>170</v>
      </c>
      <c r="F621" s="4" t="s">
        <v>2661</v>
      </c>
      <c r="G621" s="4" t="s">
        <v>38</v>
      </c>
      <c r="H621" s="4" t="s">
        <v>172</v>
      </c>
      <c r="I621" s="4" t="s">
        <v>173</v>
      </c>
      <c r="J621" s="4" t="s">
        <v>174</v>
      </c>
      <c r="K621" s="4" t="s">
        <v>2662</v>
      </c>
      <c r="L621" s="4" t="str">
        <f aca="false">IF(TRIM(LOWER(E621))=TRIM(LOWER(J621)),"Match","Different")</f>
        <v>Different</v>
      </c>
    </row>
    <row r="622" customFormat="false" ht="15" hidden="false" customHeight="false" outlineLevel="0" collapsed="false">
      <c r="A622" s="4" t="s">
        <v>2668</v>
      </c>
      <c r="B622" s="4" t="s">
        <v>2669</v>
      </c>
      <c r="C622" s="4" t="s">
        <v>2670</v>
      </c>
      <c r="D622" s="4"/>
      <c r="E622" s="4" t="s">
        <v>341</v>
      </c>
      <c r="F622" s="4" t="s">
        <v>2671</v>
      </c>
      <c r="G622" s="4" t="s">
        <v>56</v>
      </c>
      <c r="H622" s="4" t="s">
        <v>39</v>
      </c>
      <c r="I622" s="4" t="s">
        <v>67</v>
      </c>
      <c r="J622" s="4" t="s">
        <v>30</v>
      </c>
      <c r="K622" s="4" t="s">
        <v>2670</v>
      </c>
      <c r="L622" s="4" t="str">
        <f aca="false">IF(TRIM(LOWER(E622))=TRIM(LOWER(J622)),"Match","Different")</f>
        <v>Different</v>
      </c>
    </row>
    <row r="623" customFormat="false" ht="15" hidden="false" customHeight="false" outlineLevel="0" collapsed="false">
      <c r="A623" s="4" t="s">
        <v>2672</v>
      </c>
      <c r="B623" s="4" t="s">
        <v>2669</v>
      </c>
      <c r="C623" s="4" t="s">
        <v>2673</v>
      </c>
      <c r="D623" s="4" t="s">
        <v>2674</v>
      </c>
      <c r="E623" s="4" t="s">
        <v>64</v>
      </c>
      <c r="F623" s="4" t="s">
        <v>2671</v>
      </c>
      <c r="G623" s="4" t="s">
        <v>56</v>
      </c>
      <c r="H623" s="4" t="s">
        <v>39</v>
      </c>
      <c r="I623" s="4" t="s">
        <v>67</v>
      </c>
      <c r="J623" s="4" t="s">
        <v>30</v>
      </c>
      <c r="K623" s="4" t="s">
        <v>2670</v>
      </c>
      <c r="L623" s="4" t="str">
        <f aca="false">IF(TRIM(LOWER(E623))=TRIM(LOWER(J623)),"Match","Different")</f>
        <v>Different</v>
      </c>
    </row>
    <row r="624" customFormat="false" ht="15" hidden="false" customHeight="false" outlineLevel="0" collapsed="false">
      <c r="A624" s="4" t="s">
        <v>2675</v>
      </c>
      <c r="B624" s="4" t="s">
        <v>2676</v>
      </c>
      <c r="C624" s="4" t="s">
        <v>2677</v>
      </c>
      <c r="D624" s="4" t="s">
        <v>2678</v>
      </c>
      <c r="E624" s="4" t="s">
        <v>25</v>
      </c>
      <c r="F624" s="4" t="s">
        <v>2679</v>
      </c>
      <c r="G624" s="4" t="s">
        <v>82</v>
      </c>
      <c r="H624" s="4" t="s">
        <v>66</v>
      </c>
      <c r="I624" s="4" t="s">
        <v>297</v>
      </c>
      <c r="J624" s="4" t="s">
        <v>32</v>
      </c>
      <c r="K624" s="4" t="s">
        <v>2680</v>
      </c>
      <c r="L624" s="4" t="str">
        <f aca="false">IF(TRIM(LOWER(E624))=TRIM(LOWER(J624)),"Match","Different")</f>
        <v>Different</v>
      </c>
    </row>
    <row r="625" customFormat="false" ht="15" hidden="false" customHeight="false" outlineLevel="0" collapsed="false">
      <c r="A625" s="4" t="s">
        <v>2681</v>
      </c>
      <c r="B625" s="4" t="s">
        <v>2682</v>
      </c>
      <c r="C625" s="4" t="s">
        <v>2683</v>
      </c>
      <c r="D625" s="4"/>
      <c r="E625" s="4" t="s">
        <v>89</v>
      </c>
      <c r="F625" s="4" t="s">
        <v>2684</v>
      </c>
      <c r="G625" s="4" t="s">
        <v>136</v>
      </c>
      <c r="H625" s="4" t="s">
        <v>39</v>
      </c>
      <c r="I625" s="4" t="s">
        <v>881</v>
      </c>
      <c r="J625" s="4" t="s">
        <v>30</v>
      </c>
      <c r="K625" s="4" t="s">
        <v>2683</v>
      </c>
      <c r="L625" s="4" t="str">
        <f aca="false">IF(TRIM(LOWER(E625))=TRIM(LOWER(J625)),"Match","Different")</f>
        <v>Different</v>
      </c>
    </row>
    <row r="626" customFormat="false" ht="15" hidden="false" customHeight="false" outlineLevel="0" collapsed="false">
      <c r="A626" s="4" t="s">
        <v>2685</v>
      </c>
      <c r="B626" s="4" t="s">
        <v>2686</v>
      </c>
      <c r="C626" s="4" t="s">
        <v>2687</v>
      </c>
      <c r="D626" s="4" t="s">
        <v>2688</v>
      </c>
      <c r="E626" s="4" t="s">
        <v>25</v>
      </c>
      <c r="F626" s="4" t="s">
        <v>2689</v>
      </c>
      <c r="G626" s="4" t="s">
        <v>56</v>
      </c>
      <c r="H626" s="4" t="s">
        <v>66</v>
      </c>
      <c r="I626" s="4" t="s">
        <v>91</v>
      </c>
      <c r="J626" s="4" t="s">
        <v>50</v>
      </c>
      <c r="K626" s="4" t="s">
        <v>2690</v>
      </c>
      <c r="L626" s="4" t="str">
        <f aca="false">IF(TRIM(LOWER(E626))=TRIM(LOWER(J626)),"Match","Different")</f>
        <v>Different</v>
      </c>
    </row>
    <row r="627" customFormat="false" ht="15" hidden="false" customHeight="false" outlineLevel="0" collapsed="false">
      <c r="A627" s="4" t="s">
        <v>2691</v>
      </c>
      <c r="B627" s="4" t="s">
        <v>2692</v>
      </c>
      <c r="C627" s="4" t="s">
        <v>2693</v>
      </c>
      <c r="D627" s="4" t="s">
        <v>2694</v>
      </c>
      <c r="E627" s="4" t="s">
        <v>25</v>
      </c>
      <c r="F627" s="4" t="s">
        <v>2695</v>
      </c>
      <c r="G627" s="4" t="s">
        <v>122</v>
      </c>
      <c r="H627" s="4" t="s">
        <v>28</v>
      </c>
      <c r="I627" s="4" t="s">
        <v>123</v>
      </c>
      <c r="J627" s="4" t="s">
        <v>50</v>
      </c>
      <c r="K627" s="4" t="s">
        <v>2696</v>
      </c>
      <c r="L627" s="4" t="str">
        <f aca="false">IF(TRIM(LOWER(E627))=TRIM(LOWER(J627)),"Match","Different")</f>
        <v>Different</v>
      </c>
    </row>
    <row r="628" customFormat="false" ht="15" hidden="false" customHeight="false" outlineLevel="0" collapsed="false">
      <c r="A628" s="4" t="s">
        <v>2697</v>
      </c>
      <c r="B628" s="4" t="s">
        <v>2692</v>
      </c>
      <c r="C628" s="4" t="s">
        <v>2698</v>
      </c>
      <c r="D628" s="4"/>
      <c r="E628" s="4" t="s">
        <v>25</v>
      </c>
      <c r="F628" s="4" t="s">
        <v>2695</v>
      </c>
      <c r="G628" s="4" t="s">
        <v>122</v>
      </c>
      <c r="H628" s="4" t="s">
        <v>28</v>
      </c>
      <c r="I628" s="4" t="s">
        <v>123</v>
      </c>
      <c r="J628" s="4" t="s">
        <v>50</v>
      </c>
      <c r="K628" s="4" t="s">
        <v>2696</v>
      </c>
      <c r="L628" s="4" t="str">
        <f aca="false">IF(TRIM(LOWER(E628))=TRIM(LOWER(J628)),"Match","Different")</f>
        <v>Different</v>
      </c>
    </row>
    <row r="629" customFormat="false" ht="15" hidden="false" customHeight="false" outlineLevel="0" collapsed="false">
      <c r="A629" s="4" t="s">
        <v>2699</v>
      </c>
      <c r="B629" s="4" t="s">
        <v>2700</v>
      </c>
      <c r="C629" s="4" t="s">
        <v>2701</v>
      </c>
      <c r="D629" s="4" t="s">
        <v>2702</v>
      </c>
      <c r="E629" s="4" t="s">
        <v>104</v>
      </c>
      <c r="F629" s="4" t="s">
        <v>2703</v>
      </c>
      <c r="G629" s="4" t="s">
        <v>122</v>
      </c>
      <c r="H629" s="4" t="s">
        <v>66</v>
      </c>
      <c r="I629" s="4" t="s">
        <v>1105</v>
      </c>
      <c r="J629" s="4" t="s">
        <v>104</v>
      </c>
      <c r="K629" s="4" t="s">
        <v>2704</v>
      </c>
      <c r="L629" s="4" t="str">
        <f aca="false">IF(TRIM(LOWER(E629))=TRIM(LOWER(J629)),"Match","Different")</f>
        <v>Match</v>
      </c>
    </row>
    <row r="630" customFormat="false" ht="15" hidden="false" customHeight="false" outlineLevel="0" collapsed="false">
      <c r="A630" s="4" t="s">
        <v>2705</v>
      </c>
      <c r="B630" s="4" t="s">
        <v>2706</v>
      </c>
      <c r="C630" s="4" t="s">
        <v>2707</v>
      </c>
      <c r="D630" s="4" t="s">
        <v>2708</v>
      </c>
      <c r="E630" s="4" t="s">
        <v>89</v>
      </c>
      <c r="F630" s="4" t="s">
        <v>2709</v>
      </c>
      <c r="G630" s="4" t="s">
        <v>47</v>
      </c>
      <c r="H630" s="4" t="s">
        <v>28</v>
      </c>
      <c r="I630" s="4" t="s">
        <v>123</v>
      </c>
      <c r="J630" s="4" t="s">
        <v>92</v>
      </c>
      <c r="K630" s="4" t="s">
        <v>2710</v>
      </c>
      <c r="L630" s="4" t="str">
        <f aca="false">IF(TRIM(LOWER(E630))=TRIM(LOWER(J630)),"Match","Different")</f>
        <v>Different</v>
      </c>
    </row>
    <row r="631" customFormat="false" ht="15" hidden="false" customHeight="false" outlineLevel="0" collapsed="false">
      <c r="A631" s="4" t="s">
        <v>1201</v>
      </c>
      <c r="B631" s="4" t="s">
        <v>2706</v>
      </c>
      <c r="C631" s="4"/>
      <c r="D631" s="4" t="s">
        <v>2708</v>
      </c>
      <c r="E631" s="4" t="s">
        <v>383</v>
      </c>
      <c r="F631" s="4" t="s">
        <v>2709</v>
      </c>
      <c r="G631" s="4" t="s">
        <v>47</v>
      </c>
      <c r="H631" s="4" t="s">
        <v>28</v>
      </c>
      <c r="I631" s="4" t="s">
        <v>123</v>
      </c>
      <c r="J631" s="4" t="s">
        <v>92</v>
      </c>
      <c r="K631" s="4" t="s">
        <v>2710</v>
      </c>
      <c r="L631" s="4" t="str">
        <f aca="false">IF(TRIM(LOWER(E631))=TRIM(LOWER(J631)),"Match","Different")</f>
        <v>Different</v>
      </c>
    </row>
    <row r="632" customFormat="false" ht="15" hidden="false" customHeight="false" outlineLevel="0" collapsed="false">
      <c r="A632" s="4" t="s">
        <v>2711</v>
      </c>
      <c r="B632" s="4" t="s">
        <v>2712</v>
      </c>
      <c r="C632" s="4" t="s">
        <v>2713</v>
      </c>
      <c r="D632" s="4" t="s">
        <v>2714</v>
      </c>
      <c r="E632" s="4" t="s">
        <v>64</v>
      </c>
      <c r="F632" s="4" t="s">
        <v>2715</v>
      </c>
      <c r="G632" s="4" t="s">
        <v>128</v>
      </c>
      <c r="H632" s="4" t="s">
        <v>39</v>
      </c>
      <c r="I632" s="4" t="s">
        <v>226</v>
      </c>
      <c r="J632" s="4" t="s">
        <v>30</v>
      </c>
      <c r="K632" s="4" t="s">
        <v>2716</v>
      </c>
      <c r="L632" s="4" t="str">
        <f aca="false">IF(TRIM(LOWER(E632))=TRIM(LOWER(J632)),"Match","Different")</f>
        <v>Different</v>
      </c>
    </row>
    <row r="633" customFormat="false" ht="15" hidden="false" customHeight="false" outlineLevel="0" collapsed="false">
      <c r="A633" s="4" t="s">
        <v>2717</v>
      </c>
      <c r="B633" s="4" t="s">
        <v>2712</v>
      </c>
      <c r="C633" s="4" t="s">
        <v>2718</v>
      </c>
      <c r="D633" s="4" t="s">
        <v>2719</v>
      </c>
      <c r="E633" s="4" t="s">
        <v>64</v>
      </c>
      <c r="F633" s="4" t="s">
        <v>2715</v>
      </c>
      <c r="G633" s="4" t="s">
        <v>128</v>
      </c>
      <c r="H633" s="4" t="s">
        <v>39</v>
      </c>
      <c r="I633" s="4" t="s">
        <v>226</v>
      </c>
      <c r="J633" s="4" t="s">
        <v>30</v>
      </c>
      <c r="K633" s="4" t="s">
        <v>2716</v>
      </c>
      <c r="L633" s="4" t="str">
        <f aca="false">IF(TRIM(LOWER(E633))=TRIM(LOWER(J633)),"Match","Different")</f>
        <v>Different</v>
      </c>
    </row>
    <row r="634" customFormat="false" ht="15" hidden="false" customHeight="false" outlineLevel="0" collapsed="false">
      <c r="A634" s="4" t="s">
        <v>2720</v>
      </c>
      <c r="B634" s="4" t="s">
        <v>2712</v>
      </c>
      <c r="C634" s="4" t="s">
        <v>2721</v>
      </c>
      <c r="D634" s="4"/>
      <c r="E634" s="4" t="s">
        <v>64</v>
      </c>
      <c r="F634" s="4" t="s">
        <v>2715</v>
      </c>
      <c r="G634" s="4" t="s">
        <v>128</v>
      </c>
      <c r="H634" s="4" t="s">
        <v>39</v>
      </c>
      <c r="I634" s="4" t="s">
        <v>226</v>
      </c>
      <c r="J634" s="4" t="s">
        <v>30</v>
      </c>
      <c r="K634" s="4" t="s">
        <v>2716</v>
      </c>
      <c r="L634" s="4" t="str">
        <f aca="false">IF(TRIM(LOWER(E634))=TRIM(LOWER(J634)),"Match","Different")</f>
        <v>Different</v>
      </c>
    </row>
    <row r="635" customFormat="false" ht="15" hidden="false" customHeight="false" outlineLevel="0" collapsed="false">
      <c r="A635" s="4" t="s">
        <v>2722</v>
      </c>
      <c r="B635" s="4" t="s">
        <v>2723</v>
      </c>
      <c r="C635" s="4" t="s">
        <v>2724</v>
      </c>
      <c r="D635" s="4" t="s">
        <v>2725</v>
      </c>
      <c r="E635" s="4" t="s">
        <v>170</v>
      </c>
      <c r="F635" s="4" t="s">
        <v>2726</v>
      </c>
      <c r="G635" s="4" t="s">
        <v>128</v>
      </c>
      <c r="H635" s="4" t="s">
        <v>172</v>
      </c>
      <c r="I635" s="4" t="s">
        <v>173</v>
      </c>
      <c r="J635" s="4" t="s">
        <v>174</v>
      </c>
      <c r="K635" s="4" t="s">
        <v>2727</v>
      </c>
      <c r="L635" s="4" t="str">
        <f aca="false">IF(TRIM(LOWER(E635))=TRIM(LOWER(J635)),"Match","Different")</f>
        <v>Different</v>
      </c>
    </row>
    <row r="636" customFormat="false" ht="15" hidden="false" customHeight="false" outlineLevel="0" collapsed="false">
      <c r="A636" s="4" t="s">
        <v>2728</v>
      </c>
      <c r="B636" s="4" t="s">
        <v>2723</v>
      </c>
      <c r="C636" s="4" t="s">
        <v>2729</v>
      </c>
      <c r="D636" s="4" t="s">
        <v>2725</v>
      </c>
      <c r="E636" s="4" t="s">
        <v>170</v>
      </c>
      <c r="F636" s="4" t="s">
        <v>2726</v>
      </c>
      <c r="G636" s="4" t="s">
        <v>128</v>
      </c>
      <c r="H636" s="4" t="s">
        <v>172</v>
      </c>
      <c r="I636" s="4" t="s">
        <v>173</v>
      </c>
      <c r="J636" s="4" t="s">
        <v>174</v>
      </c>
      <c r="K636" s="4" t="s">
        <v>2727</v>
      </c>
      <c r="L636" s="4" t="str">
        <f aca="false">IF(TRIM(LOWER(E636))=TRIM(LOWER(J636)),"Match","Different")</f>
        <v>Different</v>
      </c>
    </row>
    <row r="637" customFormat="false" ht="15" hidden="false" customHeight="false" outlineLevel="0" collapsed="false">
      <c r="A637" s="4" t="s">
        <v>2730</v>
      </c>
      <c r="B637" s="4" t="s">
        <v>2731</v>
      </c>
      <c r="C637" s="4" t="s">
        <v>2732</v>
      </c>
      <c r="D637" s="4" t="s">
        <v>1363</v>
      </c>
      <c r="E637" s="4" t="s">
        <v>50</v>
      </c>
      <c r="F637" s="4" t="s">
        <v>2733</v>
      </c>
      <c r="G637" s="4" t="s">
        <v>27</v>
      </c>
      <c r="H637" s="4" t="s">
        <v>66</v>
      </c>
      <c r="I637" s="4" t="s">
        <v>2734</v>
      </c>
      <c r="J637" s="4" t="s">
        <v>30</v>
      </c>
      <c r="K637" s="4" t="s">
        <v>2735</v>
      </c>
      <c r="L637" s="4" t="str">
        <f aca="false">IF(TRIM(LOWER(E637))=TRIM(LOWER(J637)),"Match","Different")</f>
        <v>Different</v>
      </c>
    </row>
    <row r="638" customFormat="false" ht="15" hidden="false" customHeight="false" outlineLevel="0" collapsed="false">
      <c r="A638" s="4" t="s">
        <v>2736</v>
      </c>
      <c r="B638" s="4" t="s">
        <v>2731</v>
      </c>
      <c r="C638" s="4" t="s">
        <v>2737</v>
      </c>
      <c r="D638" s="4"/>
      <c r="E638" s="4" t="s">
        <v>50</v>
      </c>
      <c r="F638" s="4" t="s">
        <v>2733</v>
      </c>
      <c r="G638" s="4" t="s">
        <v>27</v>
      </c>
      <c r="H638" s="4" t="s">
        <v>66</v>
      </c>
      <c r="I638" s="4" t="s">
        <v>2734</v>
      </c>
      <c r="J638" s="4" t="s">
        <v>30</v>
      </c>
      <c r="K638" s="4" t="s">
        <v>2735</v>
      </c>
      <c r="L638" s="4" t="str">
        <f aca="false">IF(TRIM(LOWER(E638))=TRIM(LOWER(J638)),"Match","Different")</f>
        <v>Different</v>
      </c>
    </row>
    <row r="639" customFormat="false" ht="15" hidden="false" customHeight="false" outlineLevel="0" collapsed="false">
      <c r="A639" s="4" t="s">
        <v>2738</v>
      </c>
      <c r="B639" s="4" t="s">
        <v>2739</v>
      </c>
      <c r="C639" s="4" t="s">
        <v>2740</v>
      </c>
      <c r="D639" s="4"/>
      <c r="E639" s="4" t="s">
        <v>89</v>
      </c>
      <c r="F639" s="4" t="s">
        <v>2741</v>
      </c>
      <c r="G639" s="4" t="s">
        <v>82</v>
      </c>
      <c r="H639" s="4" t="s">
        <v>66</v>
      </c>
      <c r="I639" s="4" t="s">
        <v>297</v>
      </c>
      <c r="J639" s="4" t="s">
        <v>30</v>
      </c>
      <c r="K639" s="4" t="s">
        <v>2740</v>
      </c>
      <c r="L639" s="4" t="str">
        <f aca="false">IF(TRIM(LOWER(E639))=TRIM(LOWER(J639)),"Match","Different")</f>
        <v>Different</v>
      </c>
    </row>
    <row r="640" customFormat="false" ht="15" hidden="false" customHeight="false" outlineLevel="0" collapsed="false">
      <c r="A640" s="4" t="s">
        <v>2742</v>
      </c>
      <c r="B640" s="4" t="s">
        <v>2739</v>
      </c>
      <c r="C640" s="4"/>
      <c r="D640" s="4" t="s">
        <v>2743</v>
      </c>
      <c r="E640" s="4" t="s">
        <v>383</v>
      </c>
      <c r="F640" s="4" t="s">
        <v>2741</v>
      </c>
      <c r="G640" s="4" t="s">
        <v>82</v>
      </c>
      <c r="H640" s="4" t="s">
        <v>66</v>
      </c>
      <c r="I640" s="4" t="s">
        <v>297</v>
      </c>
      <c r="J640" s="4" t="s">
        <v>30</v>
      </c>
      <c r="K640" s="4" t="s">
        <v>2740</v>
      </c>
      <c r="L640" s="4" t="str">
        <f aca="false">IF(TRIM(LOWER(E640))=TRIM(LOWER(J640)),"Match","Different")</f>
        <v>Different</v>
      </c>
    </row>
    <row r="641" customFormat="false" ht="15" hidden="false" customHeight="false" outlineLevel="0" collapsed="false">
      <c r="A641" s="4" t="s">
        <v>2744</v>
      </c>
      <c r="B641" s="4" t="s">
        <v>2739</v>
      </c>
      <c r="C641" s="4" t="s">
        <v>2745</v>
      </c>
      <c r="D641" s="4" t="s">
        <v>2746</v>
      </c>
      <c r="E641" s="4" t="s">
        <v>89</v>
      </c>
      <c r="F641" s="4" t="s">
        <v>2741</v>
      </c>
      <c r="G641" s="4" t="s">
        <v>82</v>
      </c>
      <c r="H641" s="4" t="s">
        <v>66</v>
      </c>
      <c r="I641" s="4" t="s">
        <v>297</v>
      </c>
      <c r="J641" s="4" t="s">
        <v>30</v>
      </c>
      <c r="K641" s="4" t="s">
        <v>2740</v>
      </c>
      <c r="L641" s="4" t="str">
        <f aca="false">IF(TRIM(LOWER(E641))=TRIM(LOWER(J641)),"Match","Different")</f>
        <v>Different</v>
      </c>
    </row>
    <row r="642" customFormat="false" ht="15" hidden="false" customHeight="false" outlineLevel="0" collapsed="false">
      <c r="A642" s="4" t="s">
        <v>2747</v>
      </c>
      <c r="B642" s="4" t="s">
        <v>2748</v>
      </c>
      <c r="C642" s="4"/>
      <c r="D642" s="4" t="s">
        <v>2749</v>
      </c>
      <c r="E642" s="4" t="s">
        <v>32</v>
      </c>
      <c r="F642" s="4" t="s">
        <v>2750</v>
      </c>
      <c r="G642" s="4" t="s">
        <v>38</v>
      </c>
      <c r="H642" s="4" t="s">
        <v>66</v>
      </c>
      <c r="I642" s="4" t="s">
        <v>99</v>
      </c>
      <c r="J642" s="4" t="s">
        <v>32</v>
      </c>
      <c r="K642" s="4" t="s">
        <v>2751</v>
      </c>
      <c r="L642" s="4" t="str">
        <f aca="false">IF(TRIM(LOWER(E642))=TRIM(LOWER(J642)),"Match","Different")</f>
        <v>Match</v>
      </c>
    </row>
    <row r="643" customFormat="false" ht="15" hidden="false" customHeight="false" outlineLevel="0" collapsed="false">
      <c r="A643" s="4" t="s">
        <v>2752</v>
      </c>
      <c r="B643" s="4" t="s">
        <v>2753</v>
      </c>
      <c r="C643" s="4" t="s">
        <v>2754</v>
      </c>
      <c r="D643" s="4" t="s">
        <v>2755</v>
      </c>
      <c r="E643" s="4" t="s">
        <v>89</v>
      </c>
      <c r="F643" s="4" t="s">
        <v>2756</v>
      </c>
      <c r="G643" s="4" t="s">
        <v>56</v>
      </c>
      <c r="H643" s="4" t="s">
        <v>39</v>
      </c>
      <c r="I643" s="4" t="s">
        <v>732</v>
      </c>
      <c r="J643" s="4" t="s">
        <v>92</v>
      </c>
      <c r="K643" s="4" t="s">
        <v>2757</v>
      </c>
      <c r="L643" s="4" t="str">
        <f aca="false">IF(TRIM(LOWER(E643))=TRIM(LOWER(J643)),"Match","Different")</f>
        <v>Different</v>
      </c>
    </row>
    <row r="644" customFormat="false" ht="15" hidden="false" customHeight="false" outlineLevel="0" collapsed="false">
      <c r="A644" s="4" t="s">
        <v>2758</v>
      </c>
      <c r="B644" s="4" t="s">
        <v>2753</v>
      </c>
      <c r="C644" s="4"/>
      <c r="D644" s="4"/>
      <c r="E644" s="4" t="s">
        <v>383</v>
      </c>
      <c r="F644" s="4" t="s">
        <v>2756</v>
      </c>
      <c r="G644" s="4" t="s">
        <v>56</v>
      </c>
      <c r="H644" s="4" t="s">
        <v>39</v>
      </c>
      <c r="I644" s="4" t="s">
        <v>732</v>
      </c>
      <c r="J644" s="4" t="s">
        <v>92</v>
      </c>
      <c r="K644" s="4" t="s">
        <v>2757</v>
      </c>
      <c r="L644" s="4" t="str">
        <f aca="false">IF(TRIM(LOWER(E644))=TRIM(LOWER(J644)),"Match","Different")</f>
        <v>Different</v>
      </c>
    </row>
    <row r="645" customFormat="false" ht="15" hidden="false" customHeight="false" outlineLevel="0" collapsed="false">
      <c r="A645" s="4" t="s">
        <v>2759</v>
      </c>
      <c r="B645" s="4" t="s">
        <v>2760</v>
      </c>
      <c r="C645" s="4" t="s">
        <v>2761</v>
      </c>
      <c r="D645" s="4" t="s">
        <v>2762</v>
      </c>
      <c r="E645" s="4" t="s">
        <v>25</v>
      </c>
      <c r="F645" s="4" t="s">
        <v>2763</v>
      </c>
      <c r="G645" s="4" t="s">
        <v>82</v>
      </c>
      <c r="H645" s="4" t="s">
        <v>39</v>
      </c>
      <c r="I645" s="4" t="s">
        <v>507</v>
      </c>
      <c r="J645" s="4" t="s">
        <v>58</v>
      </c>
      <c r="K645" s="4"/>
      <c r="L645" s="4" t="str">
        <f aca="false">IF(TRIM(LOWER(E645))=TRIM(LOWER(J645)),"Match","Different")</f>
        <v>Different</v>
      </c>
    </row>
    <row r="646" customFormat="false" ht="15" hidden="false" customHeight="false" outlineLevel="0" collapsed="false">
      <c r="A646" s="4" t="s">
        <v>2764</v>
      </c>
      <c r="B646" s="4" t="s">
        <v>2765</v>
      </c>
      <c r="C646" s="4" t="s">
        <v>2766</v>
      </c>
      <c r="D646" s="4" t="s">
        <v>2767</v>
      </c>
      <c r="E646" s="4" t="s">
        <v>25</v>
      </c>
      <c r="F646" s="4" t="s">
        <v>2768</v>
      </c>
      <c r="G646" s="4" t="s">
        <v>56</v>
      </c>
      <c r="H646" s="4" t="s">
        <v>39</v>
      </c>
      <c r="I646" s="4" t="s">
        <v>2769</v>
      </c>
      <c r="J646" s="4" t="s">
        <v>392</v>
      </c>
      <c r="K646" s="4" t="s">
        <v>2770</v>
      </c>
      <c r="L646" s="4" t="str">
        <f aca="false">IF(TRIM(LOWER(E646))=TRIM(LOWER(J646)),"Match","Different")</f>
        <v>Different</v>
      </c>
    </row>
    <row r="647" customFormat="false" ht="15" hidden="false" customHeight="false" outlineLevel="0" collapsed="false">
      <c r="A647" s="4" t="s">
        <v>2771</v>
      </c>
      <c r="B647" s="4" t="s">
        <v>2765</v>
      </c>
      <c r="C647" s="4" t="s">
        <v>2770</v>
      </c>
      <c r="D647" s="4" t="s">
        <v>2772</v>
      </c>
      <c r="E647" s="4" t="s">
        <v>25</v>
      </c>
      <c r="F647" s="4" t="s">
        <v>2768</v>
      </c>
      <c r="G647" s="4" t="s">
        <v>56</v>
      </c>
      <c r="H647" s="4" t="s">
        <v>39</v>
      </c>
      <c r="I647" s="4" t="s">
        <v>2769</v>
      </c>
      <c r="J647" s="4" t="s">
        <v>392</v>
      </c>
      <c r="K647" s="4" t="s">
        <v>2770</v>
      </c>
      <c r="L647" s="4" t="str">
        <f aca="false">IF(TRIM(LOWER(E647))=TRIM(LOWER(J647)),"Match","Different")</f>
        <v>Different</v>
      </c>
    </row>
    <row r="648" customFormat="false" ht="15" hidden="false" customHeight="false" outlineLevel="0" collapsed="false">
      <c r="A648" s="4" t="s">
        <v>2773</v>
      </c>
      <c r="B648" s="4" t="s">
        <v>2774</v>
      </c>
      <c r="C648" s="4" t="s">
        <v>2775</v>
      </c>
      <c r="D648" s="4"/>
      <c r="E648" s="4" t="s">
        <v>54</v>
      </c>
      <c r="F648" s="4" t="s">
        <v>2776</v>
      </c>
      <c r="G648" s="4" t="s">
        <v>136</v>
      </c>
      <c r="H648" s="4" t="s">
        <v>66</v>
      </c>
      <c r="I648" s="4" t="s">
        <v>173</v>
      </c>
      <c r="J648" s="4" t="s">
        <v>30</v>
      </c>
      <c r="K648" s="4" t="s">
        <v>2775</v>
      </c>
      <c r="L648" s="4" t="str">
        <f aca="false">IF(TRIM(LOWER(E648))=TRIM(LOWER(J648)),"Match","Different")</f>
        <v>Different</v>
      </c>
    </row>
    <row r="649" customFormat="false" ht="15" hidden="false" customHeight="false" outlineLevel="0" collapsed="false">
      <c r="A649" s="4" t="s">
        <v>2777</v>
      </c>
      <c r="B649" s="4" t="s">
        <v>2778</v>
      </c>
      <c r="C649" s="4" t="s">
        <v>2779</v>
      </c>
      <c r="D649" s="4" t="s">
        <v>2780</v>
      </c>
      <c r="E649" s="4" t="s">
        <v>170</v>
      </c>
      <c r="F649" s="4" t="s">
        <v>2781</v>
      </c>
      <c r="G649" s="4" t="s">
        <v>47</v>
      </c>
      <c r="H649" s="4" t="s">
        <v>172</v>
      </c>
      <c r="I649" s="4" t="s">
        <v>173</v>
      </c>
      <c r="J649" s="4" t="s">
        <v>174</v>
      </c>
      <c r="K649" s="4" t="s">
        <v>2779</v>
      </c>
      <c r="L649" s="4" t="str">
        <f aca="false">IF(TRIM(LOWER(E649))=TRIM(LOWER(J649)),"Match","Different")</f>
        <v>Different</v>
      </c>
    </row>
    <row r="650" customFormat="false" ht="15" hidden="false" customHeight="false" outlineLevel="0" collapsed="false">
      <c r="A650" s="4" t="s">
        <v>2782</v>
      </c>
      <c r="B650" s="4" t="s">
        <v>2778</v>
      </c>
      <c r="C650" s="4" t="s">
        <v>2783</v>
      </c>
      <c r="D650" s="4" t="s">
        <v>2784</v>
      </c>
      <c r="E650" s="4" t="s">
        <v>170</v>
      </c>
      <c r="F650" s="4" t="s">
        <v>2781</v>
      </c>
      <c r="G650" s="4" t="s">
        <v>47</v>
      </c>
      <c r="H650" s="4" t="s">
        <v>172</v>
      </c>
      <c r="I650" s="4" t="s">
        <v>173</v>
      </c>
      <c r="J650" s="4" t="s">
        <v>174</v>
      </c>
      <c r="K650" s="4" t="s">
        <v>2779</v>
      </c>
      <c r="L650" s="4" t="str">
        <f aca="false">IF(TRIM(LOWER(E650))=TRIM(LOWER(J650)),"Match","Different")</f>
        <v>Different</v>
      </c>
    </row>
    <row r="651" customFormat="false" ht="15" hidden="false" customHeight="false" outlineLevel="0" collapsed="false">
      <c r="A651" s="4" t="s">
        <v>2785</v>
      </c>
      <c r="B651" s="4" t="s">
        <v>2778</v>
      </c>
      <c r="C651" s="4" t="s">
        <v>2786</v>
      </c>
      <c r="D651" s="4" t="s">
        <v>2787</v>
      </c>
      <c r="E651" s="4" t="s">
        <v>170</v>
      </c>
      <c r="F651" s="4" t="s">
        <v>2781</v>
      </c>
      <c r="G651" s="4" t="s">
        <v>47</v>
      </c>
      <c r="H651" s="4" t="s">
        <v>172</v>
      </c>
      <c r="I651" s="4" t="s">
        <v>173</v>
      </c>
      <c r="J651" s="4" t="s">
        <v>174</v>
      </c>
      <c r="K651" s="4" t="s">
        <v>2779</v>
      </c>
      <c r="L651" s="4" t="str">
        <f aca="false">IF(TRIM(LOWER(E651))=TRIM(LOWER(J651)),"Match","Different")</f>
        <v>Different</v>
      </c>
    </row>
    <row r="652" customFormat="false" ht="15" hidden="false" customHeight="false" outlineLevel="0" collapsed="false">
      <c r="A652" s="4" t="s">
        <v>2788</v>
      </c>
      <c r="B652" s="4" t="s">
        <v>2789</v>
      </c>
      <c r="C652" s="4"/>
      <c r="D652" s="4"/>
      <c r="E652" s="4" t="s">
        <v>32</v>
      </c>
      <c r="F652" s="4" t="s">
        <v>2790</v>
      </c>
      <c r="G652" s="4" t="s">
        <v>359</v>
      </c>
      <c r="H652" s="4" t="s">
        <v>39</v>
      </c>
      <c r="I652" s="4" t="s">
        <v>40</v>
      </c>
      <c r="J652" s="4" t="s">
        <v>32</v>
      </c>
      <c r="K652" s="4" t="s">
        <v>2791</v>
      </c>
      <c r="L652" s="4" t="str">
        <f aca="false">IF(TRIM(LOWER(E652))=TRIM(LOWER(J652)),"Match","Different")</f>
        <v>Match</v>
      </c>
    </row>
    <row r="653" customFormat="false" ht="15" hidden="false" customHeight="false" outlineLevel="0" collapsed="false">
      <c r="A653" s="4" t="s">
        <v>2792</v>
      </c>
      <c r="B653" s="4" t="s">
        <v>2789</v>
      </c>
      <c r="C653" s="4" t="s">
        <v>2791</v>
      </c>
      <c r="D653" s="4"/>
      <c r="E653" s="4" t="s">
        <v>341</v>
      </c>
      <c r="F653" s="4" t="s">
        <v>2790</v>
      </c>
      <c r="G653" s="4" t="s">
        <v>359</v>
      </c>
      <c r="H653" s="4" t="s">
        <v>39</v>
      </c>
      <c r="I653" s="4" t="s">
        <v>40</v>
      </c>
      <c r="J653" s="4" t="s">
        <v>32</v>
      </c>
      <c r="K653" s="4" t="s">
        <v>2791</v>
      </c>
      <c r="L653" s="4" t="str">
        <f aca="false">IF(TRIM(LOWER(E653))=TRIM(LOWER(J653)),"Match","Different")</f>
        <v>Different</v>
      </c>
    </row>
    <row r="654" customFormat="false" ht="15" hidden="false" customHeight="false" outlineLevel="0" collapsed="false">
      <c r="A654" s="4" t="s">
        <v>2793</v>
      </c>
      <c r="B654" s="4" t="s">
        <v>2789</v>
      </c>
      <c r="C654" s="4" t="s">
        <v>2794</v>
      </c>
      <c r="D654" s="4"/>
      <c r="E654" s="4" t="s">
        <v>54</v>
      </c>
      <c r="F654" s="4" t="s">
        <v>2790</v>
      </c>
      <c r="G654" s="4" t="s">
        <v>359</v>
      </c>
      <c r="H654" s="4" t="s">
        <v>39</v>
      </c>
      <c r="I654" s="4" t="s">
        <v>40</v>
      </c>
      <c r="J654" s="4" t="s">
        <v>32</v>
      </c>
      <c r="K654" s="4" t="s">
        <v>2791</v>
      </c>
      <c r="L654" s="4" t="str">
        <f aca="false">IF(TRIM(LOWER(E654))=TRIM(LOWER(J654)),"Match","Different")</f>
        <v>Different</v>
      </c>
    </row>
    <row r="655" customFormat="false" ht="15" hidden="false" customHeight="false" outlineLevel="0" collapsed="false">
      <c r="A655" s="4" t="s">
        <v>2795</v>
      </c>
      <c r="B655" s="4" t="s">
        <v>2796</v>
      </c>
      <c r="C655" s="4" t="s">
        <v>2797</v>
      </c>
      <c r="D655" s="4" t="s">
        <v>2798</v>
      </c>
      <c r="E655" s="4" t="s">
        <v>170</v>
      </c>
      <c r="F655" s="4" t="s">
        <v>2799</v>
      </c>
      <c r="G655" s="4" t="s">
        <v>136</v>
      </c>
      <c r="H655" s="4" t="s">
        <v>2378</v>
      </c>
      <c r="I655" s="4" t="s">
        <v>2378</v>
      </c>
      <c r="J655" s="4" t="s">
        <v>174</v>
      </c>
      <c r="K655" s="4" t="s">
        <v>2800</v>
      </c>
      <c r="L655" s="4" t="str">
        <f aca="false">IF(TRIM(LOWER(E655))=TRIM(LOWER(J655)),"Match","Different")</f>
        <v>Different</v>
      </c>
    </row>
    <row r="656" customFormat="false" ht="15" hidden="false" customHeight="false" outlineLevel="0" collapsed="false">
      <c r="A656" s="4" t="s">
        <v>2801</v>
      </c>
      <c r="B656" s="4" t="s">
        <v>2796</v>
      </c>
      <c r="C656" s="4"/>
      <c r="D656" s="4" t="s">
        <v>2798</v>
      </c>
      <c r="E656" s="4" t="s">
        <v>170</v>
      </c>
      <c r="F656" s="4" t="s">
        <v>2799</v>
      </c>
      <c r="G656" s="4" t="s">
        <v>136</v>
      </c>
      <c r="H656" s="4" t="s">
        <v>2378</v>
      </c>
      <c r="I656" s="4" t="s">
        <v>2378</v>
      </c>
      <c r="J656" s="4" t="s">
        <v>174</v>
      </c>
      <c r="K656" s="4" t="s">
        <v>2800</v>
      </c>
      <c r="L656" s="4" t="str">
        <f aca="false">IF(TRIM(LOWER(E656))=TRIM(LOWER(J656)),"Match","Different")</f>
        <v>Different</v>
      </c>
    </row>
    <row r="657" customFormat="false" ht="15" hidden="false" customHeight="false" outlineLevel="0" collapsed="false">
      <c r="A657" s="4" t="s">
        <v>2802</v>
      </c>
      <c r="B657" s="4" t="s">
        <v>2803</v>
      </c>
      <c r="C657" s="4" t="s">
        <v>2804</v>
      </c>
      <c r="D657" s="4" t="s">
        <v>2805</v>
      </c>
      <c r="E657" s="4" t="s">
        <v>89</v>
      </c>
      <c r="F657" s="4" t="s">
        <v>2806</v>
      </c>
      <c r="G657" s="4" t="s">
        <v>56</v>
      </c>
      <c r="H657" s="4" t="s">
        <v>66</v>
      </c>
      <c r="I657" s="4" t="s">
        <v>297</v>
      </c>
      <c r="J657" s="4" t="s">
        <v>30</v>
      </c>
      <c r="K657" s="4" t="s">
        <v>2807</v>
      </c>
      <c r="L657" s="4" t="str">
        <f aca="false">IF(TRIM(LOWER(E657))=TRIM(LOWER(J657)),"Match","Different")</f>
        <v>Different</v>
      </c>
    </row>
    <row r="658" customFormat="false" ht="15" hidden="false" customHeight="false" outlineLevel="0" collapsed="false">
      <c r="A658" s="4" t="s">
        <v>783</v>
      </c>
      <c r="B658" s="4" t="s">
        <v>2808</v>
      </c>
      <c r="C658" s="4"/>
      <c r="D658" s="4" t="s">
        <v>2809</v>
      </c>
      <c r="E658" s="4" t="s">
        <v>383</v>
      </c>
      <c r="F658" s="4" t="s">
        <v>2810</v>
      </c>
      <c r="G658" s="4" t="s">
        <v>122</v>
      </c>
      <c r="H658" s="4" t="s">
        <v>39</v>
      </c>
      <c r="I658" s="4" t="s">
        <v>536</v>
      </c>
      <c r="J658" s="4" t="s">
        <v>50</v>
      </c>
      <c r="K658" s="4" t="s">
        <v>2811</v>
      </c>
      <c r="L658" s="4" t="str">
        <f aca="false">IF(TRIM(LOWER(E658))=TRIM(LOWER(J658)),"Match","Different")</f>
        <v>Different</v>
      </c>
    </row>
    <row r="659" customFormat="false" ht="15" hidden="false" customHeight="false" outlineLevel="0" collapsed="false">
      <c r="A659" s="4" t="s">
        <v>2812</v>
      </c>
      <c r="B659" s="4" t="s">
        <v>2808</v>
      </c>
      <c r="C659" s="4" t="s">
        <v>2813</v>
      </c>
      <c r="D659" s="4" t="s">
        <v>2814</v>
      </c>
      <c r="E659" s="4" t="s">
        <v>50</v>
      </c>
      <c r="F659" s="4" t="s">
        <v>2810</v>
      </c>
      <c r="G659" s="4" t="s">
        <v>122</v>
      </c>
      <c r="H659" s="4" t="s">
        <v>39</v>
      </c>
      <c r="I659" s="4" t="s">
        <v>536</v>
      </c>
      <c r="J659" s="4" t="s">
        <v>50</v>
      </c>
      <c r="K659" s="4" t="s">
        <v>2811</v>
      </c>
      <c r="L659" s="4" t="str">
        <f aca="false">IF(TRIM(LOWER(E659))=TRIM(LOWER(J659)),"Match","Different")</f>
        <v>Match</v>
      </c>
    </row>
    <row r="660" customFormat="false" ht="15" hidden="false" customHeight="false" outlineLevel="0" collapsed="false">
      <c r="A660" s="4" t="s">
        <v>2815</v>
      </c>
      <c r="B660" s="4" t="s">
        <v>2808</v>
      </c>
      <c r="C660" s="4" t="s">
        <v>2811</v>
      </c>
      <c r="D660" s="4" t="s">
        <v>2816</v>
      </c>
      <c r="E660" s="4" t="s">
        <v>50</v>
      </c>
      <c r="F660" s="4" t="s">
        <v>2810</v>
      </c>
      <c r="G660" s="4" t="s">
        <v>122</v>
      </c>
      <c r="H660" s="4" t="s">
        <v>39</v>
      </c>
      <c r="I660" s="4" t="s">
        <v>536</v>
      </c>
      <c r="J660" s="4" t="s">
        <v>50</v>
      </c>
      <c r="K660" s="4" t="s">
        <v>2811</v>
      </c>
      <c r="L660" s="4" t="str">
        <f aca="false">IF(TRIM(LOWER(E660))=TRIM(LOWER(J660)),"Match","Different")</f>
        <v>Match</v>
      </c>
    </row>
    <row r="661" customFormat="false" ht="15" hidden="false" customHeight="false" outlineLevel="0" collapsed="false">
      <c r="A661" s="4" t="s">
        <v>2817</v>
      </c>
      <c r="B661" s="4" t="s">
        <v>2818</v>
      </c>
      <c r="C661" s="4" t="s">
        <v>2819</v>
      </c>
      <c r="D661" s="4" t="s">
        <v>2820</v>
      </c>
      <c r="E661" s="4" t="s">
        <v>25</v>
      </c>
      <c r="F661" s="4" t="s">
        <v>2821</v>
      </c>
      <c r="G661" s="4" t="s">
        <v>56</v>
      </c>
      <c r="H661" s="4" t="s">
        <v>39</v>
      </c>
      <c r="I661" s="4" t="s">
        <v>226</v>
      </c>
      <c r="J661" s="4" t="s">
        <v>392</v>
      </c>
      <c r="K661" s="4" t="s">
        <v>2819</v>
      </c>
      <c r="L661" s="4" t="str">
        <f aca="false">IF(TRIM(LOWER(E661))=TRIM(LOWER(J661)),"Match","Different")</f>
        <v>Different</v>
      </c>
    </row>
    <row r="662" customFormat="false" ht="15" hidden="false" customHeight="false" outlineLevel="0" collapsed="false">
      <c r="A662" s="4" t="s">
        <v>2817</v>
      </c>
      <c r="B662" s="4" t="s">
        <v>2818</v>
      </c>
      <c r="C662" s="4"/>
      <c r="D662" s="4" t="s">
        <v>2822</v>
      </c>
      <c r="E662" s="4" t="s">
        <v>25</v>
      </c>
      <c r="F662" s="4" t="s">
        <v>2821</v>
      </c>
      <c r="G662" s="4" t="s">
        <v>56</v>
      </c>
      <c r="H662" s="4" t="s">
        <v>39</v>
      </c>
      <c r="I662" s="4" t="s">
        <v>226</v>
      </c>
      <c r="J662" s="4" t="s">
        <v>392</v>
      </c>
      <c r="K662" s="4" t="s">
        <v>2819</v>
      </c>
      <c r="L662" s="4" t="str">
        <f aca="false">IF(TRIM(LOWER(E662))=TRIM(LOWER(J662)),"Match","Different")</f>
        <v>Different</v>
      </c>
    </row>
    <row r="663" customFormat="false" ht="15" hidden="false" customHeight="false" outlineLevel="0" collapsed="false">
      <c r="A663" s="4" t="s">
        <v>2823</v>
      </c>
      <c r="B663" s="4" t="s">
        <v>2818</v>
      </c>
      <c r="C663" s="4" t="s">
        <v>2824</v>
      </c>
      <c r="D663" s="4" t="s">
        <v>2825</v>
      </c>
      <c r="E663" s="4" t="s">
        <v>25</v>
      </c>
      <c r="F663" s="4" t="s">
        <v>2821</v>
      </c>
      <c r="G663" s="4" t="s">
        <v>56</v>
      </c>
      <c r="H663" s="4" t="s">
        <v>39</v>
      </c>
      <c r="I663" s="4" t="s">
        <v>226</v>
      </c>
      <c r="J663" s="4" t="s">
        <v>392</v>
      </c>
      <c r="K663" s="4" t="s">
        <v>2819</v>
      </c>
      <c r="L663" s="4" t="str">
        <f aca="false">IF(TRIM(LOWER(E663))=TRIM(LOWER(J663)),"Match","Different")</f>
        <v>Different</v>
      </c>
    </row>
    <row r="664" customFormat="false" ht="15" hidden="false" customHeight="false" outlineLevel="0" collapsed="false">
      <c r="A664" s="4" t="s">
        <v>2826</v>
      </c>
      <c r="B664" s="4" t="s">
        <v>2818</v>
      </c>
      <c r="C664" s="4" t="s">
        <v>2827</v>
      </c>
      <c r="D664" s="4" t="s">
        <v>2828</v>
      </c>
      <c r="E664" s="4" t="s">
        <v>25</v>
      </c>
      <c r="F664" s="4" t="s">
        <v>2821</v>
      </c>
      <c r="G664" s="4" t="s">
        <v>56</v>
      </c>
      <c r="H664" s="4" t="s">
        <v>39</v>
      </c>
      <c r="I664" s="4" t="s">
        <v>226</v>
      </c>
      <c r="J664" s="4" t="s">
        <v>392</v>
      </c>
      <c r="K664" s="4" t="s">
        <v>2819</v>
      </c>
      <c r="L664" s="4" t="str">
        <f aca="false">IF(TRIM(LOWER(E664))=TRIM(LOWER(J664)),"Match","Different")</f>
        <v>Different</v>
      </c>
    </row>
    <row r="665" customFormat="false" ht="15" hidden="false" customHeight="false" outlineLevel="0" collapsed="false">
      <c r="A665" s="4" t="s">
        <v>2829</v>
      </c>
      <c r="B665" s="4" t="s">
        <v>2830</v>
      </c>
      <c r="C665" s="4" t="s">
        <v>2831</v>
      </c>
      <c r="D665" s="4" t="s">
        <v>2832</v>
      </c>
      <c r="E665" s="4" t="s">
        <v>89</v>
      </c>
      <c r="F665" s="4" t="s">
        <v>2833</v>
      </c>
      <c r="G665" s="4" t="s">
        <v>27</v>
      </c>
      <c r="H665" s="4" t="s">
        <v>39</v>
      </c>
      <c r="I665" s="4" t="s">
        <v>99</v>
      </c>
      <c r="J665" s="4" t="s">
        <v>30</v>
      </c>
      <c r="K665" s="4" t="s">
        <v>2831</v>
      </c>
      <c r="L665" s="4" t="str">
        <f aca="false">IF(TRIM(LOWER(E665))=TRIM(LOWER(J665)),"Match","Different")</f>
        <v>Different</v>
      </c>
    </row>
    <row r="666" customFormat="false" ht="15" hidden="false" customHeight="false" outlineLevel="0" collapsed="false">
      <c r="A666" s="4" t="s">
        <v>2834</v>
      </c>
      <c r="B666" s="4" t="s">
        <v>2835</v>
      </c>
      <c r="C666" s="4"/>
      <c r="D666" s="4" t="s">
        <v>2836</v>
      </c>
      <c r="E666" s="4" t="s">
        <v>32</v>
      </c>
      <c r="F666" s="4" t="s">
        <v>2837</v>
      </c>
      <c r="G666" s="4" t="s">
        <v>47</v>
      </c>
      <c r="H666" s="4" t="s">
        <v>66</v>
      </c>
      <c r="I666" s="4" t="s">
        <v>536</v>
      </c>
      <c r="J666" s="4" t="s">
        <v>32</v>
      </c>
      <c r="K666" s="4" t="s">
        <v>2838</v>
      </c>
      <c r="L666" s="4" t="str">
        <f aca="false">IF(TRIM(LOWER(E666))=TRIM(LOWER(J666)),"Match","Different")</f>
        <v>Match</v>
      </c>
    </row>
    <row r="667" customFormat="false" ht="15" hidden="false" customHeight="false" outlineLevel="0" collapsed="false">
      <c r="A667" s="4" t="s">
        <v>2839</v>
      </c>
      <c r="B667" s="4" t="s">
        <v>2835</v>
      </c>
      <c r="C667" s="4" t="s">
        <v>2840</v>
      </c>
      <c r="D667" s="4" t="s">
        <v>2841</v>
      </c>
      <c r="E667" s="4" t="s">
        <v>64</v>
      </c>
      <c r="F667" s="4" t="s">
        <v>2837</v>
      </c>
      <c r="G667" s="4" t="s">
        <v>47</v>
      </c>
      <c r="H667" s="4" t="s">
        <v>66</v>
      </c>
      <c r="I667" s="4" t="s">
        <v>536</v>
      </c>
      <c r="J667" s="4" t="s">
        <v>32</v>
      </c>
      <c r="K667" s="4" t="s">
        <v>2838</v>
      </c>
      <c r="L667" s="4" t="str">
        <f aca="false">IF(TRIM(LOWER(E667))=TRIM(LOWER(J667)),"Match","Different")</f>
        <v>Different</v>
      </c>
    </row>
    <row r="668" customFormat="false" ht="15" hidden="false" customHeight="false" outlineLevel="0" collapsed="false">
      <c r="A668" s="4" t="s">
        <v>2842</v>
      </c>
      <c r="B668" s="4" t="s">
        <v>2835</v>
      </c>
      <c r="C668" s="4" t="s">
        <v>2843</v>
      </c>
      <c r="D668" s="4" t="s">
        <v>2844</v>
      </c>
      <c r="E668" s="4" t="s">
        <v>64</v>
      </c>
      <c r="F668" s="4" t="s">
        <v>2837</v>
      </c>
      <c r="G668" s="4" t="s">
        <v>47</v>
      </c>
      <c r="H668" s="4" t="s">
        <v>66</v>
      </c>
      <c r="I668" s="4" t="s">
        <v>536</v>
      </c>
      <c r="J668" s="4" t="s">
        <v>32</v>
      </c>
      <c r="K668" s="4" t="s">
        <v>2838</v>
      </c>
      <c r="L668" s="4" t="str">
        <f aca="false">IF(TRIM(LOWER(E668))=TRIM(LOWER(J668)),"Match","Different")</f>
        <v>Different</v>
      </c>
    </row>
    <row r="669" customFormat="false" ht="15" hidden="false" customHeight="false" outlineLevel="0" collapsed="false">
      <c r="A669" s="4" t="s">
        <v>2845</v>
      </c>
      <c r="B669" s="4" t="s">
        <v>2846</v>
      </c>
      <c r="C669" s="4" t="s">
        <v>2847</v>
      </c>
      <c r="D669" s="4"/>
      <c r="E669" s="4" t="s">
        <v>64</v>
      </c>
      <c r="F669" s="4" t="s">
        <v>2848</v>
      </c>
      <c r="G669" s="4" t="s">
        <v>122</v>
      </c>
      <c r="H669" s="4" t="s">
        <v>66</v>
      </c>
      <c r="I669" s="4" t="s">
        <v>297</v>
      </c>
      <c r="J669" s="4" t="s">
        <v>64</v>
      </c>
      <c r="K669" s="4" t="s">
        <v>2847</v>
      </c>
      <c r="L669" s="4" t="str">
        <f aca="false">IF(TRIM(LOWER(E669))=TRIM(LOWER(J669)),"Match","Different")</f>
        <v>Match</v>
      </c>
    </row>
    <row r="670" customFormat="false" ht="15" hidden="false" customHeight="false" outlineLevel="0" collapsed="false">
      <c r="A670" s="4" t="s">
        <v>2849</v>
      </c>
      <c r="B670" s="4" t="s">
        <v>2850</v>
      </c>
      <c r="C670" s="4" t="s">
        <v>2851</v>
      </c>
      <c r="D670" s="4"/>
      <c r="E670" s="4" t="s">
        <v>54</v>
      </c>
      <c r="F670" s="4" t="s">
        <v>2852</v>
      </c>
      <c r="G670" s="4" t="s">
        <v>27</v>
      </c>
      <c r="H670" s="4" t="s">
        <v>39</v>
      </c>
      <c r="I670" s="4" t="s">
        <v>99</v>
      </c>
      <c r="J670" s="4" t="s">
        <v>100</v>
      </c>
      <c r="K670" s="4" t="s">
        <v>2853</v>
      </c>
      <c r="L670" s="4" t="str">
        <f aca="false">IF(TRIM(LOWER(E670))=TRIM(LOWER(J670)),"Match","Different")</f>
        <v>Different</v>
      </c>
    </row>
    <row r="671" customFormat="false" ht="15" hidden="false" customHeight="false" outlineLevel="0" collapsed="false">
      <c r="A671" s="4" t="s">
        <v>2854</v>
      </c>
      <c r="B671" s="4" t="s">
        <v>2855</v>
      </c>
      <c r="C671" s="4" t="s">
        <v>2856</v>
      </c>
      <c r="D671" s="4"/>
      <c r="E671" s="4" t="s">
        <v>89</v>
      </c>
      <c r="F671" s="4" t="s">
        <v>2857</v>
      </c>
      <c r="G671" s="4" t="s">
        <v>161</v>
      </c>
      <c r="H671" s="4" t="s">
        <v>39</v>
      </c>
      <c r="I671" s="4" t="s">
        <v>162</v>
      </c>
      <c r="J671" s="4" t="s">
        <v>92</v>
      </c>
      <c r="K671" s="4" t="s">
        <v>2858</v>
      </c>
      <c r="L671" s="4" t="str">
        <f aca="false">IF(TRIM(LOWER(E671))=TRIM(LOWER(J671)),"Match","Different")</f>
        <v>Different</v>
      </c>
    </row>
    <row r="672" customFormat="false" ht="15" hidden="false" customHeight="false" outlineLevel="0" collapsed="false">
      <c r="A672" s="4" t="s">
        <v>2859</v>
      </c>
      <c r="B672" s="4" t="s">
        <v>2860</v>
      </c>
      <c r="C672" s="4" t="s">
        <v>2861</v>
      </c>
      <c r="D672" s="4" t="s">
        <v>2862</v>
      </c>
      <c r="E672" s="4" t="s">
        <v>89</v>
      </c>
      <c r="F672" s="4" t="s">
        <v>2863</v>
      </c>
      <c r="G672" s="4" t="s">
        <v>136</v>
      </c>
      <c r="H672" s="4" t="s">
        <v>39</v>
      </c>
      <c r="I672" s="4" t="s">
        <v>129</v>
      </c>
      <c r="J672" s="4" t="s">
        <v>92</v>
      </c>
      <c r="K672" s="4" t="s">
        <v>2861</v>
      </c>
      <c r="L672" s="4" t="str">
        <f aca="false">IF(TRIM(LOWER(E672))=TRIM(LOWER(J672)),"Match","Different")</f>
        <v>Different</v>
      </c>
    </row>
    <row r="673" customFormat="false" ht="15" hidden="false" customHeight="false" outlineLevel="0" collapsed="false">
      <c r="A673" s="4" t="s">
        <v>2864</v>
      </c>
      <c r="B673" s="4" t="s">
        <v>2865</v>
      </c>
      <c r="C673" s="4" t="s">
        <v>2866</v>
      </c>
      <c r="D673" s="4" t="s">
        <v>2867</v>
      </c>
      <c r="E673" s="4" t="s">
        <v>50</v>
      </c>
      <c r="F673" s="4" t="s">
        <v>2868</v>
      </c>
      <c r="G673" s="4" t="s">
        <v>136</v>
      </c>
      <c r="H673" s="4" t="s">
        <v>114</v>
      </c>
      <c r="I673" s="4" t="s">
        <v>670</v>
      </c>
      <c r="J673" s="4" t="s">
        <v>100</v>
      </c>
      <c r="K673" s="4" t="s">
        <v>2869</v>
      </c>
      <c r="L673" s="4" t="str">
        <f aca="false">IF(TRIM(LOWER(E673))=TRIM(LOWER(J673)),"Match","Different")</f>
        <v>Different</v>
      </c>
    </row>
    <row r="674" customFormat="false" ht="15" hidden="false" customHeight="false" outlineLevel="0" collapsed="false">
      <c r="A674" s="4" t="s">
        <v>2870</v>
      </c>
      <c r="B674" s="4" t="s">
        <v>2871</v>
      </c>
      <c r="C674" s="4" t="s">
        <v>2872</v>
      </c>
      <c r="D674" s="4" t="s">
        <v>2873</v>
      </c>
      <c r="E674" s="4" t="s">
        <v>170</v>
      </c>
      <c r="F674" s="4" t="s">
        <v>2874</v>
      </c>
      <c r="G674" s="4" t="s">
        <v>56</v>
      </c>
      <c r="H674" s="4" t="s">
        <v>172</v>
      </c>
      <c r="I674" s="4" t="s">
        <v>861</v>
      </c>
      <c r="J674" s="4" t="s">
        <v>174</v>
      </c>
      <c r="K674" s="4" t="s">
        <v>2875</v>
      </c>
      <c r="L674" s="4" t="str">
        <f aca="false">IF(TRIM(LOWER(E674))=TRIM(LOWER(J674)),"Match","Different")</f>
        <v>Different</v>
      </c>
    </row>
    <row r="675" customFormat="false" ht="15" hidden="false" customHeight="false" outlineLevel="0" collapsed="false">
      <c r="A675" s="4" t="s">
        <v>2876</v>
      </c>
      <c r="B675" s="4" t="s">
        <v>2877</v>
      </c>
      <c r="C675" s="4" t="s">
        <v>2878</v>
      </c>
      <c r="D675" s="4" t="s">
        <v>2879</v>
      </c>
      <c r="E675" s="4" t="s">
        <v>25</v>
      </c>
      <c r="F675" s="4" t="s">
        <v>2880</v>
      </c>
      <c r="G675" s="4" t="s">
        <v>56</v>
      </c>
      <c r="H675" s="4" t="s">
        <v>66</v>
      </c>
      <c r="I675" s="4" t="s">
        <v>91</v>
      </c>
      <c r="J675" s="4" t="s">
        <v>392</v>
      </c>
      <c r="K675" s="4" t="s">
        <v>2881</v>
      </c>
      <c r="L675" s="4" t="str">
        <f aca="false">IF(TRIM(LOWER(E675))=TRIM(LOWER(J675)),"Match","Different")</f>
        <v>Different</v>
      </c>
    </row>
    <row r="676" customFormat="false" ht="15" hidden="false" customHeight="false" outlineLevel="0" collapsed="false">
      <c r="A676" s="4" t="s">
        <v>2882</v>
      </c>
      <c r="B676" s="4" t="s">
        <v>2877</v>
      </c>
      <c r="C676" s="4" t="s">
        <v>2883</v>
      </c>
      <c r="D676" s="4" t="s">
        <v>2879</v>
      </c>
      <c r="E676" s="4" t="s">
        <v>25</v>
      </c>
      <c r="F676" s="4" t="s">
        <v>2880</v>
      </c>
      <c r="G676" s="4" t="s">
        <v>56</v>
      </c>
      <c r="H676" s="4" t="s">
        <v>66</v>
      </c>
      <c r="I676" s="4" t="s">
        <v>91</v>
      </c>
      <c r="J676" s="4" t="s">
        <v>392</v>
      </c>
      <c r="K676" s="4" t="s">
        <v>2881</v>
      </c>
      <c r="L676" s="4" t="str">
        <f aca="false">IF(TRIM(LOWER(E676))=TRIM(LOWER(J676)),"Match","Different")</f>
        <v>Different</v>
      </c>
    </row>
    <row r="677" customFormat="false" ht="15" hidden="false" customHeight="false" outlineLevel="0" collapsed="false">
      <c r="A677" s="4" t="s">
        <v>2884</v>
      </c>
      <c r="B677" s="4" t="s">
        <v>2877</v>
      </c>
      <c r="C677" s="4" t="s">
        <v>2885</v>
      </c>
      <c r="D677" s="4" t="s">
        <v>2886</v>
      </c>
      <c r="E677" s="4" t="s">
        <v>25</v>
      </c>
      <c r="F677" s="4" t="s">
        <v>2880</v>
      </c>
      <c r="G677" s="4" t="s">
        <v>56</v>
      </c>
      <c r="H677" s="4" t="s">
        <v>66</v>
      </c>
      <c r="I677" s="4" t="s">
        <v>91</v>
      </c>
      <c r="J677" s="4" t="s">
        <v>392</v>
      </c>
      <c r="K677" s="4" t="s">
        <v>2881</v>
      </c>
      <c r="L677" s="4" t="str">
        <f aca="false">IF(TRIM(LOWER(E677))=TRIM(LOWER(J677)),"Match","Different")</f>
        <v>Different</v>
      </c>
    </row>
    <row r="678" customFormat="false" ht="15" hidden="false" customHeight="false" outlineLevel="0" collapsed="false">
      <c r="A678" s="4" t="s">
        <v>2887</v>
      </c>
      <c r="B678" s="4" t="s">
        <v>2877</v>
      </c>
      <c r="C678" s="4" t="s">
        <v>2888</v>
      </c>
      <c r="D678" s="4" t="s">
        <v>2889</v>
      </c>
      <c r="E678" s="4" t="s">
        <v>25</v>
      </c>
      <c r="F678" s="4" t="s">
        <v>2880</v>
      </c>
      <c r="G678" s="4" t="s">
        <v>56</v>
      </c>
      <c r="H678" s="4" t="s">
        <v>66</v>
      </c>
      <c r="I678" s="4" t="s">
        <v>91</v>
      </c>
      <c r="J678" s="4" t="s">
        <v>392</v>
      </c>
      <c r="K678" s="4" t="s">
        <v>2881</v>
      </c>
      <c r="L678" s="4" t="str">
        <f aca="false">IF(TRIM(LOWER(E678))=TRIM(LOWER(J678)),"Match","Different")</f>
        <v>Different</v>
      </c>
    </row>
    <row r="679" customFormat="false" ht="15" hidden="false" customHeight="false" outlineLevel="0" collapsed="false">
      <c r="A679" s="4" t="s">
        <v>2890</v>
      </c>
      <c r="B679" s="4" t="s">
        <v>2877</v>
      </c>
      <c r="C679" s="4" t="s">
        <v>2891</v>
      </c>
      <c r="D679" s="4"/>
      <c r="E679" s="4" t="s">
        <v>341</v>
      </c>
      <c r="F679" s="4" t="s">
        <v>2880</v>
      </c>
      <c r="G679" s="4" t="s">
        <v>56</v>
      </c>
      <c r="H679" s="4" t="s">
        <v>66</v>
      </c>
      <c r="I679" s="4" t="s">
        <v>91</v>
      </c>
      <c r="J679" s="4" t="s">
        <v>392</v>
      </c>
      <c r="K679" s="4" t="s">
        <v>2881</v>
      </c>
      <c r="L679" s="4" t="str">
        <f aca="false">IF(TRIM(LOWER(E679))=TRIM(LOWER(J679)),"Match","Different")</f>
        <v>Different</v>
      </c>
    </row>
    <row r="680" customFormat="false" ht="15" hidden="false" customHeight="false" outlineLevel="0" collapsed="false">
      <c r="A680" s="4" t="s">
        <v>2892</v>
      </c>
      <c r="B680" s="4" t="s">
        <v>2877</v>
      </c>
      <c r="C680" s="4" t="s">
        <v>2893</v>
      </c>
      <c r="D680" s="4" t="s">
        <v>2894</v>
      </c>
      <c r="E680" s="4" t="s">
        <v>25</v>
      </c>
      <c r="F680" s="4" t="s">
        <v>2880</v>
      </c>
      <c r="G680" s="4" t="s">
        <v>56</v>
      </c>
      <c r="H680" s="4" t="s">
        <v>66</v>
      </c>
      <c r="I680" s="4" t="s">
        <v>91</v>
      </c>
      <c r="J680" s="4" t="s">
        <v>392</v>
      </c>
      <c r="K680" s="4" t="s">
        <v>2881</v>
      </c>
      <c r="L680" s="4" t="str">
        <f aca="false">IF(TRIM(LOWER(E680))=TRIM(LOWER(J680)),"Match","Different")</f>
        <v>Different</v>
      </c>
    </row>
    <row r="681" customFormat="false" ht="15" hidden="false" customHeight="false" outlineLevel="0" collapsed="false">
      <c r="A681" s="4" t="s">
        <v>2895</v>
      </c>
      <c r="B681" s="4" t="s">
        <v>2877</v>
      </c>
      <c r="C681" s="4"/>
      <c r="D681" s="4" t="s">
        <v>2896</v>
      </c>
      <c r="E681" s="4" t="s">
        <v>383</v>
      </c>
      <c r="F681" s="4" t="s">
        <v>2880</v>
      </c>
      <c r="G681" s="4" t="s">
        <v>56</v>
      </c>
      <c r="H681" s="4" t="s">
        <v>66</v>
      </c>
      <c r="I681" s="4" t="s">
        <v>91</v>
      </c>
      <c r="J681" s="4" t="s">
        <v>392</v>
      </c>
      <c r="K681" s="4" t="s">
        <v>2881</v>
      </c>
      <c r="L681" s="4" t="str">
        <f aca="false">IF(TRIM(LOWER(E681))=TRIM(LOWER(J681)),"Match","Different")</f>
        <v>Different</v>
      </c>
    </row>
    <row r="682" customFormat="false" ht="15" hidden="false" customHeight="false" outlineLevel="0" collapsed="false">
      <c r="A682" s="4" t="s">
        <v>2897</v>
      </c>
      <c r="B682" s="4" t="s">
        <v>2898</v>
      </c>
      <c r="C682" s="4" t="s">
        <v>2899</v>
      </c>
      <c r="D682" s="4"/>
      <c r="E682" s="4" t="s">
        <v>341</v>
      </c>
      <c r="F682" s="4" t="s">
        <v>2900</v>
      </c>
      <c r="G682" s="4" t="s">
        <v>56</v>
      </c>
      <c r="H682" s="4" t="s">
        <v>39</v>
      </c>
      <c r="I682" s="4" t="s">
        <v>129</v>
      </c>
      <c r="J682" s="4" t="s">
        <v>32</v>
      </c>
      <c r="K682" s="4" t="s">
        <v>2901</v>
      </c>
      <c r="L682" s="4" t="str">
        <f aca="false">IF(TRIM(LOWER(E682))=TRIM(LOWER(J682)),"Match","Different")</f>
        <v>Different</v>
      </c>
    </row>
    <row r="683" customFormat="false" ht="15" hidden="false" customHeight="false" outlineLevel="0" collapsed="false">
      <c r="A683" s="4" t="s">
        <v>2902</v>
      </c>
      <c r="B683" s="4" t="s">
        <v>2898</v>
      </c>
      <c r="C683" s="4" t="s">
        <v>2903</v>
      </c>
      <c r="D683" s="4"/>
      <c r="E683" s="4" t="s">
        <v>54</v>
      </c>
      <c r="F683" s="4" t="s">
        <v>2900</v>
      </c>
      <c r="G683" s="4" t="s">
        <v>56</v>
      </c>
      <c r="H683" s="4" t="s">
        <v>39</v>
      </c>
      <c r="I683" s="4" t="s">
        <v>129</v>
      </c>
      <c r="J683" s="4" t="s">
        <v>32</v>
      </c>
      <c r="K683" s="4" t="s">
        <v>2901</v>
      </c>
      <c r="L683" s="4" t="str">
        <f aca="false">IF(TRIM(LOWER(E683))=TRIM(LOWER(J683)),"Match","Different")</f>
        <v>Different</v>
      </c>
    </row>
    <row r="684" customFormat="false" ht="15" hidden="false" customHeight="false" outlineLevel="0" collapsed="false">
      <c r="A684" s="4" t="s">
        <v>2904</v>
      </c>
      <c r="B684" s="4" t="s">
        <v>2905</v>
      </c>
      <c r="C684" s="4" t="s">
        <v>2906</v>
      </c>
      <c r="D684" s="4"/>
      <c r="E684" s="4" t="s">
        <v>54</v>
      </c>
      <c r="F684" s="4" t="s">
        <v>2907</v>
      </c>
      <c r="G684" s="4" t="s">
        <v>128</v>
      </c>
      <c r="H684" s="4" t="s">
        <v>66</v>
      </c>
      <c r="I684" s="4" t="s">
        <v>931</v>
      </c>
      <c r="J684" s="4" t="s">
        <v>30</v>
      </c>
      <c r="K684" s="4" t="s">
        <v>2908</v>
      </c>
      <c r="L684" s="4" t="str">
        <f aca="false">IF(TRIM(LOWER(E684))=TRIM(LOWER(J684)),"Match","Different")</f>
        <v>Different</v>
      </c>
    </row>
    <row r="685" customFormat="false" ht="15" hidden="false" customHeight="false" outlineLevel="0" collapsed="false">
      <c r="A685" s="4" t="s">
        <v>2909</v>
      </c>
      <c r="B685" s="4" t="s">
        <v>2910</v>
      </c>
      <c r="C685" s="4" t="s">
        <v>2911</v>
      </c>
      <c r="D685" s="4" t="s">
        <v>2912</v>
      </c>
      <c r="E685" s="4" t="s">
        <v>89</v>
      </c>
      <c r="F685" s="4" t="s">
        <v>2913</v>
      </c>
      <c r="G685" s="4" t="s">
        <v>47</v>
      </c>
      <c r="H685" s="4" t="s">
        <v>39</v>
      </c>
      <c r="I685" s="4" t="s">
        <v>226</v>
      </c>
      <c r="J685" s="4" t="s">
        <v>100</v>
      </c>
      <c r="K685" s="4" t="s">
        <v>2914</v>
      </c>
      <c r="L685" s="4" t="str">
        <f aca="false">IF(TRIM(LOWER(E685))=TRIM(LOWER(J685)),"Match","Different")</f>
        <v>Different</v>
      </c>
    </row>
    <row r="686" customFormat="false" ht="15" hidden="false" customHeight="false" outlineLevel="0" collapsed="false">
      <c r="A686" s="4" t="s">
        <v>2915</v>
      </c>
      <c r="B686" s="4" t="s">
        <v>2916</v>
      </c>
      <c r="C686" s="4" t="s">
        <v>2917</v>
      </c>
      <c r="D686" s="4" t="s">
        <v>2918</v>
      </c>
      <c r="E686" s="4" t="s">
        <v>54</v>
      </c>
      <c r="F686" s="4" t="s">
        <v>2919</v>
      </c>
      <c r="G686" s="4" t="s">
        <v>359</v>
      </c>
      <c r="H686" s="4" t="s">
        <v>39</v>
      </c>
      <c r="I686" s="4" t="s">
        <v>297</v>
      </c>
      <c r="J686" s="4" t="s">
        <v>30</v>
      </c>
      <c r="K686" s="4" t="s">
        <v>2920</v>
      </c>
      <c r="L686" s="4" t="str">
        <f aca="false">IF(TRIM(LOWER(E686))=TRIM(LOWER(J686)),"Match","Different")</f>
        <v>Different</v>
      </c>
    </row>
    <row r="687" customFormat="false" ht="15" hidden="false" customHeight="false" outlineLevel="0" collapsed="false">
      <c r="A687" s="4" t="s">
        <v>2921</v>
      </c>
      <c r="B687" s="4" t="s">
        <v>2922</v>
      </c>
      <c r="C687" s="4" t="s">
        <v>2923</v>
      </c>
      <c r="D687" s="4" t="s">
        <v>2924</v>
      </c>
      <c r="E687" s="4" t="s">
        <v>89</v>
      </c>
      <c r="F687" s="4" t="s">
        <v>2925</v>
      </c>
      <c r="G687" s="4" t="s">
        <v>82</v>
      </c>
      <c r="H687" s="4" t="s">
        <v>66</v>
      </c>
      <c r="I687" s="4" t="s">
        <v>91</v>
      </c>
      <c r="J687" s="4" t="s">
        <v>92</v>
      </c>
      <c r="K687" s="4" t="s">
        <v>2926</v>
      </c>
      <c r="L687" s="4" t="str">
        <f aca="false">IF(TRIM(LOWER(E687))=TRIM(LOWER(J687)),"Match","Different")</f>
        <v>Different</v>
      </c>
    </row>
    <row r="688" customFormat="false" ht="15" hidden="false" customHeight="false" outlineLevel="0" collapsed="false">
      <c r="A688" s="4" t="s">
        <v>2927</v>
      </c>
      <c r="B688" s="4" t="s">
        <v>2928</v>
      </c>
      <c r="C688" s="4" t="s">
        <v>2929</v>
      </c>
      <c r="D688" s="4"/>
      <c r="E688" s="4" t="s">
        <v>104</v>
      </c>
      <c r="F688" s="4" t="s">
        <v>2930</v>
      </c>
      <c r="G688" s="4" t="s">
        <v>27</v>
      </c>
      <c r="H688" s="4" t="s">
        <v>39</v>
      </c>
      <c r="I688" s="4" t="s">
        <v>99</v>
      </c>
      <c r="J688" s="4" t="s">
        <v>104</v>
      </c>
      <c r="K688" s="4" t="s">
        <v>2931</v>
      </c>
      <c r="L688" s="4" t="str">
        <f aca="false">IF(TRIM(LOWER(E688))=TRIM(LOWER(J688)),"Match","Different")</f>
        <v>Match</v>
      </c>
    </row>
    <row r="689" customFormat="false" ht="15" hidden="false" customHeight="false" outlineLevel="0" collapsed="false">
      <c r="A689" s="4" t="s">
        <v>2932</v>
      </c>
      <c r="B689" s="4" t="s">
        <v>2928</v>
      </c>
      <c r="C689" s="4" t="s">
        <v>2933</v>
      </c>
      <c r="D689" s="4" t="s">
        <v>2934</v>
      </c>
      <c r="E689" s="4" t="s">
        <v>104</v>
      </c>
      <c r="F689" s="4" t="s">
        <v>2930</v>
      </c>
      <c r="G689" s="4" t="s">
        <v>27</v>
      </c>
      <c r="H689" s="4" t="s">
        <v>39</v>
      </c>
      <c r="I689" s="4" t="s">
        <v>99</v>
      </c>
      <c r="J689" s="4" t="s">
        <v>104</v>
      </c>
      <c r="K689" s="4" t="s">
        <v>2931</v>
      </c>
      <c r="L689" s="4" t="str">
        <f aca="false">IF(TRIM(LOWER(E689))=TRIM(LOWER(J689)),"Match","Different")</f>
        <v>Match</v>
      </c>
    </row>
    <row r="690" customFormat="false" ht="15" hidden="false" customHeight="false" outlineLevel="0" collapsed="false">
      <c r="A690" s="4" t="s">
        <v>2935</v>
      </c>
      <c r="B690" s="4" t="s">
        <v>2936</v>
      </c>
      <c r="C690" s="4" t="s">
        <v>2937</v>
      </c>
      <c r="D690" s="4" t="s">
        <v>2938</v>
      </c>
      <c r="E690" s="4" t="s">
        <v>64</v>
      </c>
      <c r="F690" s="4" t="s">
        <v>2939</v>
      </c>
      <c r="G690" s="4" t="s">
        <v>56</v>
      </c>
      <c r="H690" s="4" t="s">
        <v>39</v>
      </c>
      <c r="I690" s="4" t="s">
        <v>99</v>
      </c>
      <c r="J690" s="4" t="s">
        <v>30</v>
      </c>
      <c r="K690" s="4" t="s">
        <v>2940</v>
      </c>
      <c r="L690" s="4" t="str">
        <f aca="false">IF(TRIM(LOWER(E690))=TRIM(LOWER(J690)),"Match","Different")</f>
        <v>Different</v>
      </c>
    </row>
    <row r="691" customFormat="false" ht="15" hidden="false" customHeight="false" outlineLevel="0" collapsed="false">
      <c r="A691" s="4" t="s">
        <v>2935</v>
      </c>
      <c r="B691" s="4" t="s">
        <v>2936</v>
      </c>
      <c r="C691" s="4" t="s">
        <v>2941</v>
      </c>
      <c r="D691" s="4"/>
      <c r="E691" s="4" t="s">
        <v>341</v>
      </c>
      <c r="F691" s="4" t="s">
        <v>2939</v>
      </c>
      <c r="G691" s="4" t="s">
        <v>56</v>
      </c>
      <c r="H691" s="4" t="s">
        <v>39</v>
      </c>
      <c r="I691" s="4" t="s">
        <v>99</v>
      </c>
      <c r="J691" s="4" t="s">
        <v>30</v>
      </c>
      <c r="K691" s="4" t="s">
        <v>2940</v>
      </c>
      <c r="L691" s="4" t="str">
        <f aca="false">IF(TRIM(LOWER(E691))=TRIM(LOWER(J691)),"Match","Different")</f>
        <v>Different</v>
      </c>
    </row>
    <row r="692" customFormat="false" ht="15" hidden="false" customHeight="false" outlineLevel="0" collapsed="false">
      <c r="A692" s="4" t="s">
        <v>2942</v>
      </c>
      <c r="B692" s="4" t="s">
        <v>2943</v>
      </c>
      <c r="C692" s="4" t="s">
        <v>2944</v>
      </c>
      <c r="D692" s="4" t="s">
        <v>2945</v>
      </c>
      <c r="E692" s="4" t="s">
        <v>64</v>
      </c>
      <c r="F692" s="4" t="s">
        <v>2946</v>
      </c>
      <c r="G692" s="4" t="s">
        <v>56</v>
      </c>
      <c r="H692" s="4" t="s">
        <v>39</v>
      </c>
      <c r="I692" s="4" t="s">
        <v>99</v>
      </c>
      <c r="J692" s="4" t="s">
        <v>30</v>
      </c>
      <c r="K692" s="4" t="s">
        <v>2947</v>
      </c>
      <c r="L692" s="4" t="str">
        <f aca="false">IF(TRIM(LOWER(E692))=TRIM(LOWER(J692)),"Match","Different")</f>
        <v>Different</v>
      </c>
    </row>
    <row r="693" customFormat="false" ht="15" hidden="false" customHeight="false" outlineLevel="0" collapsed="false">
      <c r="A693" s="4" t="s">
        <v>2948</v>
      </c>
      <c r="B693" s="4" t="s">
        <v>2943</v>
      </c>
      <c r="C693" s="4" t="s">
        <v>2949</v>
      </c>
      <c r="D693" s="4" t="s">
        <v>2945</v>
      </c>
      <c r="E693" s="4" t="s">
        <v>64</v>
      </c>
      <c r="F693" s="4" t="s">
        <v>2946</v>
      </c>
      <c r="G693" s="4" t="s">
        <v>56</v>
      </c>
      <c r="H693" s="4" t="s">
        <v>39</v>
      </c>
      <c r="I693" s="4" t="s">
        <v>99</v>
      </c>
      <c r="J693" s="4" t="s">
        <v>30</v>
      </c>
      <c r="K693" s="4" t="s">
        <v>2947</v>
      </c>
      <c r="L693" s="4" t="str">
        <f aca="false">IF(TRIM(LOWER(E693))=TRIM(LOWER(J693)),"Match","Different")</f>
        <v>Different</v>
      </c>
    </row>
    <row r="694" customFormat="false" ht="15" hidden="false" customHeight="false" outlineLevel="0" collapsed="false">
      <c r="A694" s="4" t="s">
        <v>2950</v>
      </c>
      <c r="B694" s="4" t="s">
        <v>2943</v>
      </c>
      <c r="C694" s="4"/>
      <c r="D694" s="4" t="s">
        <v>2951</v>
      </c>
      <c r="E694" s="4" t="s">
        <v>383</v>
      </c>
      <c r="F694" s="4" t="s">
        <v>2946</v>
      </c>
      <c r="G694" s="4" t="s">
        <v>56</v>
      </c>
      <c r="H694" s="4" t="s">
        <v>39</v>
      </c>
      <c r="I694" s="4" t="s">
        <v>99</v>
      </c>
      <c r="J694" s="4" t="s">
        <v>30</v>
      </c>
      <c r="K694" s="4" t="s">
        <v>2947</v>
      </c>
      <c r="L694" s="4" t="str">
        <f aca="false">IF(TRIM(LOWER(E694))=TRIM(LOWER(J694)),"Match","Different")</f>
        <v>Different</v>
      </c>
    </row>
    <row r="695" customFormat="false" ht="15" hidden="false" customHeight="false" outlineLevel="0" collapsed="false">
      <c r="A695" s="4" t="s">
        <v>2935</v>
      </c>
      <c r="B695" s="4" t="s">
        <v>2943</v>
      </c>
      <c r="C695" s="4" t="s">
        <v>2952</v>
      </c>
      <c r="D695" s="4"/>
      <c r="E695" s="4" t="s">
        <v>341</v>
      </c>
      <c r="F695" s="4" t="s">
        <v>2946</v>
      </c>
      <c r="G695" s="4" t="s">
        <v>56</v>
      </c>
      <c r="H695" s="4" t="s">
        <v>39</v>
      </c>
      <c r="I695" s="4" t="s">
        <v>99</v>
      </c>
      <c r="J695" s="4" t="s">
        <v>30</v>
      </c>
      <c r="K695" s="4" t="s">
        <v>2947</v>
      </c>
      <c r="L695" s="4" t="str">
        <f aca="false">IF(TRIM(LOWER(E695))=TRIM(LOWER(J695)),"Match","Different")</f>
        <v>Different</v>
      </c>
    </row>
    <row r="696" customFormat="false" ht="15" hidden="false" customHeight="false" outlineLevel="0" collapsed="false">
      <c r="A696" s="4" t="s">
        <v>2953</v>
      </c>
      <c r="B696" s="4" t="s">
        <v>2943</v>
      </c>
      <c r="C696" s="4" t="s">
        <v>2954</v>
      </c>
      <c r="D696" s="4" t="s">
        <v>2955</v>
      </c>
      <c r="E696" s="4" t="s">
        <v>64</v>
      </c>
      <c r="F696" s="4" t="s">
        <v>2946</v>
      </c>
      <c r="G696" s="4" t="s">
        <v>56</v>
      </c>
      <c r="H696" s="4" t="s">
        <v>39</v>
      </c>
      <c r="I696" s="4" t="s">
        <v>99</v>
      </c>
      <c r="J696" s="4" t="s">
        <v>30</v>
      </c>
      <c r="K696" s="4" t="s">
        <v>2947</v>
      </c>
      <c r="L696" s="4" t="str">
        <f aca="false">IF(TRIM(LOWER(E696))=TRIM(LOWER(J696)),"Match","Different")</f>
        <v>Different</v>
      </c>
    </row>
    <row r="697" customFormat="false" ht="15" hidden="false" customHeight="false" outlineLevel="0" collapsed="false">
      <c r="A697" s="4" t="s">
        <v>2956</v>
      </c>
      <c r="B697" s="4" t="s">
        <v>2957</v>
      </c>
      <c r="C697" s="4" t="s">
        <v>2958</v>
      </c>
      <c r="D697" s="4" t="s">
        <v>2959</v>
      </c>
      <c r="E697" s="4" t="s">
        <v>89</v>
      </c>
      <c r="F697" s="4" t="s">
        <v>2960</v>
      </c>
      <c r="G697" s="4" t="s">
        <v>122</v>
      </c>
      <c r="H697" s="4" t="s">
        <v>39</v>
      </c>
      <c r="I697" s="4" t="s">
        <v>40</v>
      </c>
      <c r="J697" s="4" t="s">
        <v>30</v>
      </c>
      <c r="K697" s="4" t="s">
        <v>2958</v>
      </c>
      <c r="L697" s="4" t="str">
        <f aca="false">IF(TRIM(LOWER(E697))=TRIM(LOWER(J697)),"Match","Different")</f>
        <v>Different</v>
      </c>
    </row>
    <row r="698" customFormat="false" ht="15" hidden="false" customHeight="false" outlineLevel="0" collapsed="false">
      <c r="A698" s="4" t="s">
        <v>2961</v>
      </c>
      <c r="B698" s="4" t="s">
        <v>2962</v>
      </c>
      <c r="C698" s="4" t="s">
        <v>2963</v>
      </c>
      <c r="D698" s="4" t="s">
        <v>2964</v>
      </c>
      <c r="E698" s="4" t="s">
        <v>104</v>
      </c>
      <c r="F698" s="4" t="s">
        <v>2965</v>
      </c>
      <c r="G698" s="4" t="s">
        <v>122</v>
      </c>
      <c r="H698" s="4" t="s">
        <v>66</v>
      </c>
      <c r="I698" s="4" t="s">
        <v>1602</v>
      </c>
      <c r="J698" s="4" t="s">
        <v>104</v>
      </c>
      <c r="K698" s="4" t="s">
        <v>2966</v>
      </c>
      <c r="L698" s="4" t="str">
        <f aca="false">IF(TRIM(LOWER(E698))=TRIM(LOWER(J698)),"Match","Different")</f>
        <v>Match</v>
      </c>
    </row>
    <row r="699" customFormat="false" ht="15" hidden="false" customHeight="false" outlineLevel="0" collapsed="false">
      <c r="A699" s="4" t="s">
        <v>2967</v>
      </c>
      <c r="B699" s="4" t="s">
        <v>2968</v>
      </c>
      <c r="C699" s="4" t="s">
        <v>2969</v>
      </c>
      <c r="D699" s="4" t="s">
        <v>2970</v>
      </c>
      <c r="E699" s="4" t="s">
        <v>54</v>
      </c>
      <c r="F699" s="4" t="s">
        <v>2971</v>
      </c>
      <c r="G699" s="4" t="s">
        <v>82</v>
      </c>
      <c r="H699" s="4" t="s">
        <v>114</v>
      </c>
      <c r="I699" s="4" t="s">
        <v>2225</v>
      </c>
      <c r="J699" s="4" t="s">
        <v>30</v>
      </c>
      <c r="K699" s="4" t="s">
        <v>2972</v>
      </c>
      <c r="L699" s="4" t="str">
        <f aca="false">IF(TRIM(LOWER(E699))=TRIM(LOWER(J699)),"Match","Different")</f>
        <v>Different</v>
      </c>
    </row>
    <row r="700" customFormat="false" ht="15" hidden="false" customHeight="false" outlineLevel="0" collapsed="false">
      <c r="A700" s="4" t="s">
        <v>2973</v>
      </c>
      <c r="B700" s="4" t="s">
        <v>2974</v>
      </c>
      <c r="C700" s="4" t="s">
        <v>2975</v>
      </c>
      <c r="D700" s="4"/>
      <c r="E700" s="4" t="s">
        <v>45</v>
      </c>
      <c r="F700" s="4" t="s">
        <v>2976</v>
      </c>
      <c r="G700" s="4" t="s">
        <v>575</v>
      </c>
      <c r="H700" s="4" t="s">
        <v>28</v>
      </c>
      <c r="I700" s="4" t="s">
        <v>123</v>
      </c>
      <c r="J700" s="4" t="s">
        <v>30</v>
      </c>
      <c r="K700" s="4" t="s">
        <v>2975</v>
      </c>
      <c r="L700" s="4" t="str">
        <f aca="false">IF(TRIM(LOWER(E700))=TRIM(LOWER(J700)),"Match","Different")</f>
        <v>Different</v>
      </c>
    </row>
    <row r="701" customFormat="false" ht="15" hidden="false" customHeight="false" outlineLevel="0" collapsed="false">
      <c r="A701" s="4" t="s">
        <v>2977</v>
      </c>
      <c r="B701" s="4" t="s">
        <v>2978</v>
      </c>
      <c r="C701" s="4" t="s">
        <v>2979</v>
      </c>
      <c r="D701" s="4" t="s">
        <v>2980</v>
      </c>
      <c r="E701" s="4" t="s">
        <v>104</v>
      </c>
      <c r="F701" s="4" t="s">
        <v>2981</v>
      </c>
      <c r="G701" s="4" t="s">
        <v>122</v>
      </c>
      <c r="H701" s="4" t="s">
        <v>66</v>
      </c>
      <c r="I701" s="4" t="s">
        <v>430</v>
      </c>
      <c r="J701" s="4" t="s">
        <v>104</v>
      </c>
      <c r="K701" s="4" t="s">
        <v>2982</v>
      </c>
      <c r="L701" s="4" t="str">
        <f aca="false">IF(TRIM(LOWER(E701))=TRIM(LOWER(J701)),"Match","Different")</f>
        <v>Match</v>
      </c>
    </row>
    <row r="702" customFormat="false" ht="15" hidden="false" customHeight="false" outlineLevel="0" collapsed="false">
      <c r="A702" s="4" t="s">
        <v>2983</v>
      </c>
      <c r="B702" s="4" t="s">
        <v>2984</v>
      </c>
      <c r="C702" s="4" t="s">
        <v>2985</v>
      </c>
      <c r="D702" s="4" t="s">
        <v>2986</v>
      </c>
      <c r="E702" s="4" t="s">
        <v>25</v>
      </c>
      <c r="F702" s="4" t="s">
        <v>2987</v>
      </c>
      <c r="G702" s="4" t="s">
        <v>47</v>
      </c>
      <c r="H702" s="4" t="s">
        <v>66</v>
      </c>
      <c r="I702" s="4" t="s">
        <v>712</v>
      </c>
      <c r="J702" s="4" t="s">
        <v>32</v>
      </c>
      <c r="K702" s="4" t="s">
        <v>2988</v>
      </c>
      <c r="L702" s="4" t="str">
        <f aca="false">IF(TRIM(LOWER(E702))=TRIM(LOWER(J702)),"Match","Different")</f>
        <v>Different</v>
      </c>
    </row>
    <row r="703" customFormat="false" ht="15" hidden="false" customHeight="false" outlineLevel="0" collapsed="false">
      <c r="A703" s="4" t="s">
        <v>2989</v>
      </c>
      <c r="B703" s="4" t="s">
        <v>2984</v>
      </c>
      <c r="C703" s="4"/>
      <c r="D703" s="4"/>
      <c r="E703" s="4" t="s">
        <v>32</v>
      </c>
      <c r="F703" s="4" t="s">
        <v>2987</v>
      </c>
      <c r="G703" s="4" t="s">
        <v>47</v>
      </c>
      <c r="H703" s="4" t="s">
        <v>66</v>
      </c>
      <c r="I703" s="4" t="s">
        <v>712</v>
      </c>
      <c r="J703" s="4" t="s">
        <v>32</v>
      </c>
      <c r="K703" s="4" t="s">
        <v>2988</v>
      </c>
      <c r="L703" s="4" t="str">
        <f aca="false">IF(TRIM(LOWER(E703))=TRIM(LOWER(J703)),"Match","Different")</f>
        <v>Match</v>
      </c>
    </row>
    <row r="704" customFormat="false" ht="15" hidden="false" customHeight="false" outlineLevel="0" collapsed="false">
      <c r="A704" s="4" t="s">
        <v>2990</v>
      </c>
      <c r="B704" s="4" t="s">
        <v>2984</v>
      </c>
      <c r="C704" s="4"/>
      <c r="D704" s="4" t="s">
        <v>2986</v>
      </c>
      <c r="E704" s="4" t="s">
        <v>32</v>
      </c>
      <c r="F704" s="4" t="s">
        <v>2987</v>
      </c>
      <c r="G704" s="4" t="s">
        <v>47</v>
      </c>
      <c r="H704" s="4" t="s">
        <v>66</v>
      </c>
      <c r="I704" s="4" t="s">
        <v>712</v>
      </c>
      <c r="J704" s="4" t="s">
        <v>32</v>
      </c>
      <c r="K704" s="4" t="s">
        <v>2988</v>
      </c>
      <c r="L704" s="4" t="str">
        <f aca="false">IF(TRIM(LOWER(E704))=TRIM(LOWER(J704)),"Match","Different")</f>
        <v>Match</v>
      </c>
    </row>
    <row r="705" customFormat="false" ht="15" hidden="false" customHeight="false" outlineLevel="0" collapsed="false">
      <c r="A705" s="4" t="s">
        <v>2991</v>
      </c>
      <c r="B705" s="4" t="s">
        <v>2984</v>
      </c>
      <c r="C705" s="4" t="s">
        <v>2992</v>
      </c>
      <c r="D705" s="4" t="s">
        <v>2993</v>
      </c>
      <c r="E705" s="4" t="s">
        <v>45</v>
      </c>
      <c r="F705" s="4" t="s">
        <v>2987</v>
      </c>
      <c r="G705" s="4" t="s">
        <v>47</v>
      </c>
      <c r="H705" s="4" t="s">
        <v>66</v>
      </c>
      <c r="I705" s="4" t="s">
        <v>712</v>
      </c>
      <c r="J705" s="4" t="s">
        <v>32</v>
      </c>
      <c r="K705" s="4" t="s">
        <v>2988</v>
      </c>
      <c r="L705" s="4" t="str">
        <f aca="false">IF(TRIM(LOWER(E705))=TRIM(LOWER(J705)),"Match","Different")</f>
        <v>Different</v>
      </c>
    </row>
    <row r="706" customFormat="false" ht="15" hidden="false" customHeight="false" outlineLevel="0" collapsed="false">
      <c r="A706" s="4" t="s">
        <v>2994</v>
      </c>
      <c r="B706" s="4" t="s">
        <v>2984</v>
      </c>
      <c r="C706" s="4"/>
      <c r="D706" s="4"/>
      <c r="E706" s="4" t="s">
        <v>32</v>
      </c>
      <c r="F706" s="4" t="s">
        <v>2987</v>
      </c>
      <c r="G706" s="4" t="s">
        <v>47</v>
      </c>
      <c r="H706" s="4" t="s">
        <v>66</v>
      </c>
      <c r="I706" s="4" t="s">
        <v>712</v>
      </c>
      <c r="J706" s="4" t="s">
        <v>32</v>
      </c>
      <c r="K706" s="4" t="s">
        <v>2988</v>
      </c>
      <c r="L706" s="4" t="str">
        <f aca="false">IF(TRIM(LOWER(E706))=TRIM(LOWER(J706)),"Match","Different")</f>
        <v>Match</v>
      </c>
    </row>
    <row r="707" customFormat="false" ht="15" hidden="false" customHeight="false" outlineLevel="0" collapsed="false">
      <c r="A707" s="4" t="s">
        <v>2995</v>
      </c>
      <c r="B707" s="4" t="s">
        <v>2996</v>
      </c>
      <c r="C707" s="4" t="s">
        <v>2997</v>
      </c>
      <c r="D707" s="4"/>
      <c r="E707" s="4" t="s">
        <v>89</v>
      </c>
      <c r="F707" s="4" t="s">
        <v>2998</v>
      </c>
      <c r="G707" s="4" t="s">
        <v>359</v>
      </c>
      <c r="H707" s="4" t="s">
        <v>39</v>
      </c>
      <c r="I707" s="4" t="s">
        <v>208</v>
      </c>
      <c r="J707" s="4" t="s">
        <v>92</v>
      </c>
      <c r="K707" s="4" t="s">
        <v>2999</v>
      </c>
      <c r="L707" s="4" t="str">
        <f aca="false">IF(TRIM(LOWER(E707))=TRIM(LOWER(J707)),"Match","Different")</f>
        <v>Different</v>
      </c>
    </row>
    <row r="708" customFormat="false" ht="15" hidden="false" customHeight="false" outlineLevel="0" collapsed="false">
      <c r="A708" s="4" t="s">
        <v>3000</v>
      </c>
      <c r="B708" s="4" t="s">
        <v>3001</v>
      </c>
      <c r="C708" s="4" t="s">
        <v>3002</v>
      </c>
      <c r="D708" s="4"/>
      <c r="E708" s="4" t="s">
        <v>89</v>
      </c>
      <c r="F708" s="4" t="s">
        <v>3003</v>
      </c>
      <c r="G708" s="4" t="s">
        <v>47</v>
      </c>
      <c r="H708" s="4" t="s">
        <v>66</v>
      </c>
      <c r="I708" s="4" t="s">
        <v>99</v>
      </c>
      <c r="J708" s="4" t="s">
        <v>30</v>
      </c>
      <c r="K708" s="4" t="s">
        <v>3002</v>
      </c>
      <c r="L708" s="4" t="str">
        <f aca="false">IF(TRIM(LOWER(E708))=TRIM(LOWER(J708)),"Match","Different")</f>
        <v>Different</v>
      </c>
    </row>
    <row r="709" customFormat="false" ht="15" hidden="false" customHeight="false" outlineLevel="0" collapsed="false">
      <c r="A709" s="4" t="s">
        <v>3004</v>
      </c>
      <c r="B709" s="4" t="s">
        <v>3005</v>
      </c>
      <c r="C709" s="4" t="s">
        <v>3006</v>
      </c>
      <c r="D709" s="4"/>
      <c r="E709" s="4" t="s">
        <v>341</v>
      </c>
      <c r="F709" s="4" t="s">
        <v>3007</v>
      </c>
      <c r="G709" s="4" t="s">
        <v>359</v>
      </c>
      <c r="H709" s="4" t="s">
        <v>39</v>
      </c>
      <c r="I709" s="4" t="s">
        <v>226</v>
      </c>
      <c r="J709" s="4" t="s">
        <v>64</v>
      </c>
      <c r="K709" s="4" t="s">
        <v>3008</v>
      </c>
      <c r="L709" s="4" t="str">
        <f aca="false">IF(TRIM(LOWER(E709))=TRIM(LOWER(J709)),"Match","Different")</f>
        <v>Different</v>
      </c>
    </row>
    <row r="710" customFormat="false" ht="15" hidden="false" customHeight="false" outlineLevel="0" collapsed="false">
      <c r="A710" s="4" t="s">
        <v>3009</v>
      </c>
      <c r="B710" s="4" t="s">
        <v>3010</v>
      </c>
      <c r="C710" s="4" t="s">
        <v>3011</v>
      </c>
      <c r="D710" s="4"/>
      <c r="E710" s="4" t="s">
        <v>89</v>
      </c>
      <c r="F710" s="4" t="s">
        <v>3012</v>
      </c>
      <c r="G710" s="4" t="s">
        <v>47</v>
      </c>
      <c r="H710" s="4" t="s">
        <v>66</v>
      </c>
      <c r="I710" s="4" t="s">
        <v>297</v>
      </c>
      <c r="J710" s="4" t="s">
        <v>92</v>
      </c>
      <c r="K710" s="4" t="s">
        <v>3013</v>
      </c>
      <c r="L710" s="4" t="str">
        <f aca="false">IF(TRIM(LOWER(E710))=TRIM(LOWER(J710)),"Match","Different")</f>
        <v>Different</v>
      </c>
    </row>
    <row r="711" customFormat="false" ht="15" hidden="false" customHeight="false" outlineLevel="0" collapsed="false">
      <c r="A711" s="4" t="s">
        <v>3014</v>
      </c>
      <c r="B711" s="4" t="s">
        <v>3015</v>
      </c>
      <c r="C711" s="4" t="s">
        <v>3016</v>
      </c>
      <c r="D711" s="4" t="s">
        <v>3017</v>
      </c>
      <c r="E711" s="4" t="s">
        <v>64</v>
      </c>
      <c r="F711" s="4" t="s">
        <v>3018</v>
      </c>
      <c r="G711" s="4" t="s">
        <v>47</v>
      </c>
      <c r="H711" s="4" t="s">
        <v>39</v>
      </c>
      <c r="I711" s="4" t="s">
        <v>402</v>
      </c>
      <c r="J711" s="4" t="s">
        <v>64</v>
      </c>
      <c r="K711" s="4" t="s">
        <v>3019</v>
      </c>
      <c r="L711" s="4" t="str">
        <f aca="false">IF(TRIM(LOWER(E711))=TRIM(LOWER(J711)),"Match","Different")</f>
        <v>Match</v>
      </c>
    </row>
    <row r="712" customFormat="false" ht="15" hidden="false" customHeight="false" outlineLevel="0" collapsed="false">
      <c r="A712" s="4" t="s">
        <v>3020</v>
      </c>
      <c r="B712" s="4" t="s">
        <v>3021</v>
      </c>
      <c r="C712" s="4" t="s">
        <v>3022</v>
      </c>
      <c r="D712" s="4"/>
      <c r="E712" s="4" t="s">
        <v>50</v>
      </c>
      <c r="F712" s="4" t="s">
        <v>3023</v>
      </c>
      <c r="G712" s="4" t="s">
        <v>56</v>
      </c>
      <c r="H712" s="4" t="s">
        <v>66</v>
      </c>
      <c r="I712" s="4" t="s">
        <v>91</v>
      </c>
      <c r="J712" s="4" t="s">
        <v>50</v>
      </c>
      <c r="K712" s="4" t="s">
        <v>3022</v>
      </c>
      <c r="L712" s="4" t="str">
        <f aca="false">IF(TRIM(LOWER(E712))=TRIM(LOWER(J712)),"Match","Different")</f>
        <v>Match</v>
      </c>
    </row>
    <row r="713" customFormat="false" ht="15" hidden="false" customHeight="false" outlineLevel="0" collapsed="false">
      <c r="A713" s="4" t="s">
        <v>3024</v>
      </c>
      <c r="B713" s="4" t="s">
        <v>3021</v>
      </c>
      <c r="C713" s="4" t="s">
        <v>3025</v>
      </c>
      <c r="D713" s="4"/>
      <c r="E713" s="4" t="s">
        <v>50</v>
      </c>
      <c r="F713" s="4" t="s">
        <v>3023</v>
      </c>
      <c r="G713" s="4" t="s">
        <v>56</v>
      </c>
      <c r="H713" s="4" t="s">
        <v>66</v>
      </c>
      <c r="I713" s="4" t="s">
        <v>91</v>
      </c>
      <c r="J713" s="4" t="s">
        <v>50</v>
      </c>
      <c r="K713" s="4" t="s">
        <v>3022</v>
      </c>
      <c r="L713" s="4" t="str">
        <f aca="false">IF(TRIM(LOWER(E713))=TRIM(LOWER(J713)),"Match","Different")</f>
        <v>Match</v>
      </c>
    </row>
    <row r="714" customFormat="false" ht="15" hidden="false" customHeight="false" outlineLevel="0" collapsed="false">
      <c r="A714" s="4" t="s">
        <v>3026</v>
      </c>
      <c r="B714" s="4" t="s">
        <v>3027</v>
      </c>
      <c r="C714" s="4" t="s">
        <v>3028</v>
      </c>
      <c r="D714" s="4" t="s">
        <v>3029</v>
      </c>
      <c r="E714" s="4" t="s">
        <v>89</v>
      </c>
      <c r="F714" s="4" t="s">
        <v>3030</v>
      </c>
      <c r="G714" s="4" t="s">
        <v>136</v>
      </c>
      <c r="H714" s="4" t="s">
        <v>66</v>
      </c>
      <c r="I714" s="4" t="s">
        <v>129</v>
      </c>
      <c r="J714" s="4" t="s">
        <v>30</v>
      </c>
      <c r="K714" s="4" t="s">
        <v>3031</v>
      </c>
      <c r="L714" s="4" t="str">
        <f aca="false">IF(TRIM(LOWER(E714))=TRIM(LOWER(J714)),"Match","Different")</f>
        <v>Different</v>
      </c>
    </row>
    <row r="715" customFormat="false" ht="15" hidden="false" customHeight="false" outlineLevel="0" collapsed="false">
      <c r="A715" s="4" t="s">
        <v>3032</v>
      </c>
      <c r="B715" s="4" t="s">
        <v>3033</v>
      </c>
      <c r="C715" s="4" t="s">
        <v>3034</v>
      </c>
      <c r="D715" s="4"/>
      <c r="E715" s="4" t="s">
        <v>104</v>
      </c>
      <c r="F715" s="4" t="s">
        <v>3035</v>
      </c>
      <c r="G715" s="4" t="s">
        <v>27</v>
      </c>
      <c r="H715" s="4" t="s">
        <v>66</v>
      </c>
      <c r="I715" s="4" t="s">
        <v>536</v>
      </c>
      <c r="J715" s="4" t="s">
        <v>104</v>
      </c>
      <c r="K715" s="4" t="s">
        <v>3036</v>
      </c>
      <c r="L715" s="4" t="str">
        <f aca="false">IF(TRIM(LOWER(E715))=TRIM(LOWER(J715)),"Match","Different")</f>
        <v>Match</v>
      </c>
    </row>
    <row r="716" customFormat="false" ht="15" hidden="false" customHeight="false" outlineLevel="0" collapsed="false">
      <c r="A716" s="4" t="s">
        <v>3037</v>
      </c>
      <c r="B716" s="4" t="s">
        <v>3038</v>
      </c>
      <c r="C716" s="4" t="s">
        <v>3039</v>
      </c>
      <c r="D716" s="4" t="s">
        <v>3040</v>
      </c>
      <c r="E716" s="4" t="s">
        <v>89</v>
      </c>
      <c r="F716" s="4" t="s">
        <v>3041</v>
      </c>
      <c r="G716" s="4" t="s">
        <v>359</v>
      </c>
      <c r="H716" s="4" t="s">
        <v>39</v>
      </c>
      <c r="I716" s="4" t="s">
        <v>40</v>
      </c>
      <c r="J716" s="4" t="s">
        <v>100</v>
      </c>
      <c r="K716" s="4" t="s">
        <v>3039</v>
      </c>
      <c r="L716" s="4" t="str">
        <f aca="false">IF(TRIM(LOWER(E716))=TRIM(LOWER(J716)),"Match","Different")</f>
        <v>Different</v>
      </c>
    </row>
    <row r="717" customFormat="false" ht="15" hidden="false" customHeight="false" outlineLevel="0" collapsed="false">
      <c r="A717" s="4" t="s">
        <v>3042</v>
      </c>
      <c r="B717" s="4" t="s">
        <v>3043</v>
      </c>
      <c r="C717" s="4"/>
      <c r="D717" s="4"/>
      <c r="E717" s="4" t="s">
        <v>383</v>
      </c>
      <c r="F717" s="4" t="s">
        <v>3044</v>
      </c>
      <c r="G717" s="4" t="s">
        <v>38</v>
      </c>
      <c r="H717" s="4" t="s">
        <v>39</v>
      </c>
      <c r="I717" s="4" t="s">
        <v>147</v>
      </c>
      <c r="J717" s="4" t="s">
        <v>104</v>
      </c>
      <c r="K717" s="4" t="s">
        <v>1504</v>
      </c>
      <c r="L717" s="4" t="str">
        <f aca="false">IF(TRIM(LOWER(E717))=TRIM(LOWER(J717)),"Match","Different")</f>
        <v>Different</v>
      </c>
    </row>
    <row r="718" customFormat="false" ht="15" hidden="false" customHeight="false" outlineLevel="0" collapsed="false">
      <c r="A718" s="4" t="s">
        <v>3045</v>
      </c>
      <c r="B718" s="4" t="s">
        <v>3046</v>
      </c>
      <c r="C718" s="4" t="s">
        <v>3047</v>
      </c>
      <c r="D718" s="4" t="s">
        <v>3048</v>
      </c>
      <c r="E718" s="4" t="s">
        <v>104</v>
      </c>
      <c r="F718" s="4" t="s">
        <v>3049</v>
      </c>
      <c r="G718" s="4" t="s">
        <v>128</v>
      </c>
      <c r="H718" s="4" t="s">
        <v>39</v>
      </c>
      <c r="I718" s="4" t="s">
        <v>40</v>
      </c>
      <c r="J718" s="4" t="s">
        <v>104</v>
      </c>
      <c r="K718" s="4" t="s">
        <v>3050</v>
      </c>
      <c r="L718" s="4" t="str">
        <f aca="false">IF(TRIM(LOWER(E718))=TRIM(LOWER(J718)),"Match","Different")</f>
        <v>Match</v>
      </c>
    </row>
    <row r="719" customFormat="false" ht="15" hidden="false" customHeight="false" outlineLevel="0" collapsed="false">
      <c r="A719" s="4" t="s">
        <v>1557</v>
      </c>
      <c r="B719" s="4" t="s">
        <v>3051</v>
      </c>
      <c r="C719" s="4" t="s">
        <v>3052</v>
      </c>
      <c r="D719" s="4" t="s">
        <v>3053</v>
      </c>
      <c r="E719" s="4" t="s">
        <v>25</v>
      </c>
      <c r="F719" s="4" t="s">
        <v>3054</v>
      </c>
      <c r="G719" s="4" t="s">
        <v>128</v>
      </c>
      <c r="H719" s="4" t="s">
        <v>39</v>
      </c>
      <c r="I719" s="4" t="s">
        <v>49</v>
      </c>
      <c r="J719" s="4" t="s">
        <v>50</v>
      </c>
      <c r="K719" s="4" t="s">
        <v>3055</v>
      </c>
      <c r="L719" s="4" t="str">
        <f aca="false">IF(TRIM(LOWER(E719))=TRIM(LOWER(J719)),"Match","Different")</f>
        <v>Different</v>
      </c>
    </row>
    <row r="720" customFormat="false" ht="15" hidden="false" customHeight="false" outlineLevel="0" collapsed="false">
      <c r="A720" s="4" t="s">
        <v>3056</v>
      </c>
      <c r="B720" s="4" t="s">
        <v>3051</v>
      </c>
      <c r="C720" s="4" t="s">
        <v>3057</v>
      </c>
      <c r="D720" s="4" t="s">
        <v>3058</v>
      </c>
      <c r="E720" s="4" t="s">
        <v>25</v>
      </c>
      <c r="F720" s="4" t="s">
        <v>3054</v>
      </c>
      <c r="G720" s="4" t="s">
        <v>128</v>
      </c>
      <c r="H720" s="4" t="s">
        <v>39</v>
      </c>
      <c r="I720" s="4" t="s">
        <v>49</v>
      </c>
      <c r="J720" s="4" t="s">
        <v>50</v>
      </c>
      <c r="K720" s="4" t="s">
        <v>3055</v>
      </c>
      <c r="L720" s="4" t="str">
        <f aca="false">IF(TRIM(LOWER(E720))=TRIM(LOWER(J720)),"Match","Different")</f>
        <v>Different</v>
      </c>
    </row>
    <row r="721" customFormat="false" ht="15" hidden="false" customHeight="false" outlineLevel="0" collapsed="false">
      <c r="A721" s="4" t="s">
        <v>3059</v>
      </c>
      <c r="B721" s="4" t="s">
        <v>3060</v>
      </c>
      <c r="C721" s="4" t="s">
        <v>3061</v>
      </c>
      <c r="D721" s="4"/>
      <c r="E721" s="4" t="s">
        <v>45</v>
      </c>
      <c r="F721" s="4" t="s">
        <v>3062</v>
      </c>
      <c r="G721" s="4" t="s">
        <v>38</v>
      </c>
      <c r="H721" s="4" t="s">
        <v>28</v>
      </c>
      <c r="I721" s="4" t="s">
        <v>123</v>
      </c>
      <c r="J721" s="4" t="s">
        <v>50</v>
      </c>
      <c r="K721" s="4" t="s">
        <v>3063</v>
      </c>
      <c r="L721" s="4" t="str">
        <f aca="false">IF(TRIM(LOWER(E721))=TRIM(LOWER(J721)),"Match","Different")</f>
        <v>Different</v>
      </c>
    </row>
    <row r="722" customFormat="false" ht="15" hidden="false" customHeight="false" outlineLevel="0" collapsed="false">
      <c r="A722" s="4" t="s">
        <v>783</v>
      </c>
      <c r="B722" s="4" t="s">
        <v>3064</v>
      </c>
      <c r="C722" s="4"/>
      <c r="D722" s="4" t="s">
        <v>3065</v>
      </c>
      <c r="E722" s="4" t="s">
        <v>383</v>
      </c>
      <c r="F722" s="4" t="s">
        <v>3066</v>
      </c>
      <c r="G722" s="4" t="s">
        <v>56</v>
      </c>
      <c r="H722" s="4" t="s">
        <v>39</v>
      </c>
      <c r="I722" s="4" t="s">
        <v>99</v>
      </c>
      <c r="J722" s="4" t="s">
        <v>32</v>
      </c>
      <c r="K722" s="4" t="s">
        <v>3067</v>
      </c>
      <c r="L722" s="4" t="str">
        <f aca="false">IF(TRIM(LOWER(E722))=TRIM(LOWER(J722)),"Match","Different")</f>
        <v>Different</v>
      </c>
    </row>
    <row r="723" customFormat="false" ht="15" hidden="false" customHeight="false" outlineLevel="0" collapsed="false">
      <c r="A723" s="4" t="s">
        <v>3068</v>
      </c>
      <c r="B723" s="4" t="s">
        <v>3064</v>
      </c>
      <c r="C723" s="4"/>
      <c r="D723" s="4"/>
      <c r="E723" s="4" t="s">
        <v>32</v>
      </c>
      <c r="F723" s="4" t="s">
        <v>3066</v>
      </c>
      <c r="G723" s="4" t="s">
        <v>56</v>
      </c>
      <c r="H723" s="4" t="s">
        <v>39</v>
      </c>
      <c r="I723" s="4" t="s">
        <v>99</v>
      </c>
      <c r="J723" s="4" t="s">
        <v>32</v>
      </c>
      <c r="K723" s="4" t="s">
        <v>3067</v>
      </c>
      <c r="L723" s="4" t="str">
        <f aca="false">IF(TRIM(LOWER(E723))=TRIM(LOWER(J723)),"Match","Different")</f>
        <v>Match</v>
      </c>
    </row>
    <row r="724" customFormat="false" ht="15" hidden="false" customHeight="false" outlineLevel="0" collapsed="false">
      <c r="A724" s="4" t="s">
        <v>3069</v>
      </c>
      <c r="B724" s="4" t="s">
        <v>3064</v>
      </c>
      <c r="C724" s="4" t="s">
        <v>3067</v>
      </c>
      <c r="D724" s="4"/>
      <c r="E724" s="4" t="s">
        <v>341</v>
      </c>
      <c r="F724" s="4" t="s">
        <v>3066</v>
      </c>
      <c r="G724" s="4" t="s">
        <v>56</v>
      </c>
      <c r="H724" s="4" t="s">
        <v>39</v>
      </c>
      <c r="I724" s="4" t="s">
        <v>99</v>
      </c>
      <c r="J724" s="4" t="s">
        <v>32</v>
      </c>
      <c r="K724" s="4" t="s">
        <v>3067</v>
      </c>
      <c r="L724" s="4" t="str">
        <f aca="false">IF(TRIM(LOWER(E724))=TRIM(LOWER(J724)),"Match","Different")</f>
        <v>Different</v>
      </c>
    </row>
    <row r="725" customFormat="false" ht="15" hidden="false" customHeight="false" outlineLevel="0" collapsed="false">
      <c r="A725" s="4" t="s">
        <v>3069</v>
      </c>
      <c r="B725" s="4" t="s">
        <v>3064</v>
      </c>
      <c r="C725" s="4" t="s">
        <v>3070</v>
      </c>
      <c r="D725" s="4" t="s">
        <v>3071</v>
      </c>
      <c r="E725" s="4" t="s">
        <v>50</v>
      </c>
      <c r="F725" s="4" t="s">
        <v>3066</v>
      </c>
      <c r="G725" s="4" t="s">
        <v>56</v>
      </c>
      <c r="H725" s="4" t="s">
        <v>39</v>
      </c>
      <c r="I725" s="4" t="s">
        <v>99</v>
      </c>
      <c r="J725" s="4" t="s">
        <v>32</v>
      </c>
      <c r="K725" s="4" t="s">
        <v>3067</v>
      </c>
      <c r="L725" s="4" t="str">
        <f aca="false">IF(TRIM(LOWER(E725))=TRIM(LOWER(J725)),"Match","Different")</f>
        <v>Different</v>
      </c>
    </row>
    <row r="726" customFormat="false" ht="15" hidden="false" customHeight="false" outlineLevel="0" collapsed="false">
      <c r="A726" s="4" t="s">
        <v>3072</v>
      </c>
      <c r="B726" s="4" t="s">
        <v>3073</v>
      </c>
      <c r="C726" s="4"/>
      <c r="D726" s="4" t="s">
        <v>3074</v>
      </c>
      <c r="E726" s="4" t="s">
        <v>383</v>
      </c>
      <c r="F726" s="4" t="s">
        <v>3075</v>
      </c>
      <c r="G726" s="4" t="s">
        <v>122</v>
      </c>
      <c r="H726" s="4" t="s">
        <v>28</v>
      </c>
      <c r="I726" s="4" t="s">
        <v>123</v>
      </c>
      <c r="J726" s="4" t="s">
        <v>50</v>
      </c>
      <c r="K726" s="4" t="s">
        <v>3076</v>
      </c>
      <c r="L726" s="4" t="str">
        <f aca="false">IF(TRIM(LOWER(E726))=TRIM(LOWER(J726)),"Match","Different")</f>
        <v>Different</v>
      </c>
    </row>
    <row r="727" customFormat="false" ht="15" hidden="false" customHeight="false" outlineLevel="0" collapsed="false">
      <c r="A727" s="4" t="s">
        <v>3077</v>
      </c>
      <c r="B727" s="4" t="s">
        <v>3073</v>
      </c>
      <c r="C727" s="4" t="s">
        <v>3078</v>
      </c>
      <c r="D727" s="4"/>
      <c r="E727" s="4" t="s">
        <v>50</v>
      </c>
      <c r="F727" s="4" t="s">
        <v>3075</v>
      </c>
      <c r="G727" s="4" t="s">
        <v>122</v>
      </c>
      <c r="H727" s="4" t="s">
        <v>28</v>
      </c>
      <c r="I727" s="4" t="s">
        <v>123</v>
      </c>
      <c r="J727" s="4" t="s">
        <v>50</v>
      </c>
      <c r="K727" s="4" t="s">
        <v>3076</v>
      </c>
      <c r="L727" s="4" t="str">
        <f aca="false">IF(TRIM(LOWER(E727))=TRIM(LOWER(J727)),"Match","Different")</f>
        <v>Match</v>
      </c>
    </row>
    <row r="728" customFormat="false" ht="15" hidden="false" customHeight="false" outlineLevel="0" collapsed="false">
      <c r="A728" s="4" t="s">
        <v>3079</v>
      </c>
      <c r="B728" s="4" t="s">
        <v>3080</v>
      </c>
      <c r="C728" s="4" t="s">
        <v>3081</v>
      </c>
      <c r="D728" s="4" t="s">
        <v>3082</v>
      </c>
      <c r="E728" s="4" t="s">
        <v>54</v>
      </c>
      <c r="F728" s="4" t="s">
        <v>3083</v>
      </c>
      <c r="G728" s="4" t="s">
        <v>56</v>
      </c>
      <c r="H728" s="4" t="s">
        <v>66</v>
      </c>
      <c r="I728" s="4" t="s">
        <v>297</v>
      </c>
      <c r="J728" s="4" t="s">
        <v>32</v>
      </c>
      <c r="K728" s="4" t="s">
        <v>3081</v>
      </c>
      <c r="L728" s="4" t="str">
        <f aca="false">IF(TRIM(LOWER(E728))=TRIM(LOWER(J728)),"Match","Different")</f>
        <v>Different</v>
      </c>
    </row>
    <row r="729" customFormat="false" ht="15" hidden="false" customHeight="false" outlineLevel="0" collapsed="false">
      <c r="A729" s="4" t="s">
        <v>3084</v>
      </c>
      <c r="B729" s="4" t="s">
        <v>3085</v>
      </c>
      <c r="C729" s="4" t="s">
        <v>3086</v>
      </c>
      <c r="D729" s="4" t="s">
        <v>3087</v>
      </c>
      <c r="E729" s="4" t="s">
        <v>89</v>
      </c>
      <c r="F729" s="4" t="s">
        <v>3088</v>
      </c>
      <c r="G729" s="4" t="s">
        <v>56</v>
      </c>
      <c r="H729" s="4" t="s">
        <v>28</v>
      </c>
      <c r="I729" s="4" t="s">
        <v>2225</v>
      </c>
      <c r="J729" s="4" t="s">
        <v>30</v>
      </c>
      <c r="K729" s="4" t="s">
        <v>3089</v>
      </c>
      <c r="L729" s="4" t="str">
        <f aca="false">IF(TRIM(LOWER(E729))=TRIM(LOWER(J729)),"Match","Different")</f>
        <v>Different</v>
      </c>
    </row>
    <row r="730" customFormat="false" ht="15" hidden="false" customHeight="false" outlineLevel="0" collapsed="false">
      <c r="A730" s="4" t="s">
        <v>3090</v>
      </c>
      <c r="B730" s="4" t="s">
        <v>3091</v>
      </c>
      <c r="C730" s="4" t="s">
        <v>3092</v>
      </c>
      <c r="D730" s="4" t="s">
        <v>3093</v>
      </c>
      <c r="E730" s="4" t="s">
        <v>64</v>
      </c>
      <c r="F730" s="4" t="s">
        <v>3094</v>
      </c>
      <c r="G730" s="4" t="s">
        <v>122</v>
      </c>
      <c r="H730" s="4" t="s">
        <v>66</v>
      </c>
      <c r="I730" s="4" t="s">
        <v>536</v>
      </c>
      <c r="J730" s="4" t="s">
        <v>64</v>
      </c>
      <c r="K730" s="4" t="s">
        <v>3095</v>
      </c>
      <c r="L730" s="4" t="str">
        <f aca="false">IF(TRIM(LOWER(E730))=TRIM(LOWER(J730)),"Match","Different")</f>
        <v>Match</v>
      </c>
    </row>
    <row r="731" customFormat="false" ht="15" hidden="false" customHeight="false" outlineLevel="0" collapsed="false">
      <c r="A731" s="4" t="s">
        <v>3096</v>
      </c>
      <c r="B731" s="4" t="s">
        <v>3097</v>
      </c>
      <c r="C731" s="4"/>
      <c r="D731" s="4"/>
      <c r="E731" s="4" t="s">
        <v>32</v>
      </c>
      <c r="F731" s="4" t="s">
        <v>3098</v>
      </c>
      <c r="G731" s="4" t="s">
        <v>359</v>
      </c>
      <c r="H731" s="4" t="s">
        <v>39</v>
      </c>
      <c r="I731" s="4" t="s">
        <v>99</v>
      </c>
      <c r="J731" s="4" t="s">
        <v>32</v>
      </c>
      <c r="K731" s="4" t="s">
        <v>3099</v>
      </c>
      <c r="L731" s="4" t="str">
        <f aca="false">IF(TRIM(LOWER(E731))=TRIM(LOWER(J731)),"Match","Different")</f>
        <v>Match</v>
      </c>
    </row>
    <row r="732" customFormat="false" ht="15" hidden="false" customHeight="false" outlineLevel="0" collapsed="false">
      <c r="A732" s="4" t="s">
        <v>3100</v>
      </c>
      <c r="B732" s="4" t="s">
        <v>3097</v>
      </c>
      <c r="C732" s="4" t="s">
        <v>3099</v>
      </c>
      <c r="D732" s="4" t="s">
        <v>3101</v>
      </c>
      <c r="E732" s="4" t="s">
        <v>25</v>
      </c>
      <c r="F732" s="4" t="s">
        <v>3098</v>
      </c>
      <c r="G732" s="4" t="s">
        <v>359</v>
      </c>
      <c r="H732" s="4" t="s">
        <v>39</v>
      </c>
      <c r="I732" s="4" t="s">
        <v>99</v>
      </c>
      <c r="J732" s="4" t="s">
        <v>32</v>
      </c>
      <c r="K732" s="4" t="s">
        <v>3099</v>
      </c>
      <c r="L732" s="4" t="str">
        <f aca="false">IF(TRIM(LOWER(E732))=TRIM(LOWER(J732)),"Match","Different")</f>
        <v>Different</v>
      </c>
    </row>
    <row r="733" customFormat="false" ht="15" hidden="false" customHeight="false" outlineLevel="0" collapsed="false">
      <c r="A733" s="4" t="s">
        <v>3102</v>
      </c>
      <c r="B733" s="4" t="s">
        <v>3103</v>
      </c>
      <c r="C733" s="4"/>
      <c r="D733" s="4" t="s">
        <v>3104</v>
      </c>
      <c r="E733" s="4" t="s">
        <v>25</v>
      </c>
      <c r="F733" s="4" t="s">
        <v>3105</v>
      </c>
      <c r="G733" s="4" t="s">
        <v>27</v>
      </c>
      <c r="H733" s="4" t="s">
        <v>39</v>
      </c>
      <c r="I733" s="4" t="s">
        <v>531</v>
      </c>
      <c r="J733" s="4" t="s">
        <v>30</v>
      </c>
      <c r="K733" s="4" t="s">
        <v>3106</v>
      </c>
      <c r="L733" s="4" t="str">
        <f aca="false">IF(TRIM(LOWER(E733))=TRIM(LOWER(J733)),"Match","Different")</f>
        <v>Different</v>
      </c>
    </row>
    <row r="734" customFormat="false" ht="15" hidden="false" customHeight="false" outlineLevel="0" collapsed="false">
      <c r="A734" s="4" t="s">
        <v>3107</v>
      </c>
      <c r="B734" s="4" t="s">
        <v>3103</v>
      </c>
      <c r="C734" s="4"/>
      <c r="D734" s="4"/>
      <c r="E734" s="4" t="s">
        <v>32</v>
      </c>
      <c r="F734" s="4" t="s">
        <v>3105</v>
      </c>
      <c r="G734" s="4" t="s">
        <v>27</v>
      </c>
      <c r="H734" s="4" t="s">
        <v>39</v>
      </c>
      <c r="I734" s="4" t="s">
        <v>531</v>
      </c>
      <c r="J734" s="4" t="s">
        <v>30</v>
      </c>
      <c r="K734" s="4" t="s">
        <v>3106</v>
      </c>
      <c r="L734" s="4" t="str">
        <f aca="false">IF(TRIM(LOWER(E734))=TRIM(LOWER(J734)),"Match","Different")</f>
        <v>Different</v>
      </c>
    </row>
    <row r="735" customFormat="false" ht="15" hidden="false" customHeight="false" outlineLevel="0" collapsed="false">
      <c r="A735" s="4" t="s">
        <v>3108</v>
      </c>
      <c r="B735" s="4" t="s">
        <v>3109</v>
      </c>
      <c r="C735" s="4" t="s">
        <v>3110</v>
      </c>
      <c r="D735" s="4" t="s">
        <v>3111</v>
      </c>
      <c r="E735" s="4" t="s">
        <v>50</v>
      </c>
      <c r="F735" s="4" t="s">
        <v>3112</v>
      </c>
      <c r="G735" s="4" t="s">
        <v>27</v>
      </c>
      <c r="H735" s="4" t="s">
        <v>39</v>
      </c>
      <c r="I735" s="4" t="s">
        <v>99</v>
      </c>
      <c r="J735" s="4" t="s">
        <v>100</v>
      </c>
      <c r="K735" s="4" t="s">
        <v>3113</v>
      </c>
      <c r="L735" s="4" t="str">
        <f aca="false">IF(TRIM(LOWER(E735))=TRIM(LOWER(J735)),"Match","Different")</f>
        <v>Different</v>
      </c>
    </row>
    <row r="736" customFormat="false" ht="15" hidden="false" customHeight="false" outlineLevel="0" collapsed="false">
      <c r="A736" s="4" t="s">
        <v>3114</v>
      </c>
      <c r="B736" s="4" t="s">
        <v>3109</v>
      </c>
      <c r="C736" s="4"/>
      <c r="D736" s="4" t="s">
        <v>3115</v>
      </c>
      <c r="E736" s="4" t="s">
        <v>383</v>
      </c>
      <c r="F736" s="4" t="s">
        <v>3112</v>
      </c>
      <c r="G736" s="4" t="s">
        <v>27</v>
      </c>
      <c r="H736" s="4" t="s">
        <v>39</v>
      </c>
      <c r="I736" s="4" t="s">
        <v>99</v>
      </c>
      <c r="J736" s="4" t="s">
        <v>100</v>
      </c>
      <c r="K736" s="4" t="s">
        <v>3113</v>
      </c>
      <c r="L736" s="4" t="str">
        <f aca="false">IF(TRIM(LOWER(E736))=TRIM(LOWER(J736)),"Match","Different")</f>
        <v>Different</v>
      </c>
    </row>
    <row r="737" customFormat="false" ht="15" hidden="false" customHeight="false" outlineLevel="0" collapsed="false">
      <c r="A737" s="4" t="s">
        <v>3116</v>
      </c>
      <c r="B737" s="4" t="s">
        <v>3109</v>
      </c>
      <c r="C737" s="4"/>
      <c r="D737" s="4"/>
      <c r="E737" s="4" t="s">
        <v>32</v>
      </c>
      <c r="F737" s="4" t="s">
        <v>3112</v>
      </c>
      <c r="G737" s="4" t="s">
        <v>27</v>
      </c>
      <c r="H737" s="4" t="s">
        <v>39</v>
      </c>
      <c r="I737" s="4" t="s">
        <v>99</v>
      </c>
      <c r="J737" s="4" t="s">
        <v>100</v>
      </c>
      <c r="K737" s="4" t="s">
        <v>3113</v>
      </c>
      <c r="L737" s="4" t="str">
        <f aca="false">IF(TRIM(LOWER(E737))=TRIM(LOWER(J737)),"Match","Different")</f>
        <v>Different</v>
      </c>
    </row>
    <row r="738" customFormat="false" ht="15" hidden="false" customHeight="false" outlineLevel="0" collapsed="false">
      <c r="A738" s="4" t="s">
        <v>3117</v>
      </c>
      <c r="B738" s="4" t="s">
        <v>3118</v>
      </c>
      <c r="C738" s="4" t="s">
        <v>3119</v>
      </c>
      <c r="D738" s="4"/>
      <c r="E738" s="4" t="s">
        <v>54</v>
      </c>
      <c r="F738" s="4" t="s">
        <v>3120</v>
      </c>
      <c r="G738" s="4" t="s">
        <v>82</v>
      </c>
      <c r="H738" s="4" t="s">
        <v>66</v>
      </c>
      <c r="I738" s="4" t="s">
        <v>91</v>
      </c>
      <c r="J738" s="4" t="s">
        <v>30</v>
      </c>
      <c r="K738" s="4" t="s">
        <v>3121</v>
      </c>
      <c r="L738" s="4" t="str">
        <f aca="false">IF(TRIM(LOWER(E738))=TRIM(LOWER(J738)),"Match","Different")</f>
        <v>Different</v>
      </c>
    </row>
    <row r="739" customFormat="false" ht="15" hidden="false" customHeight="false" outlineLevel="0" collapsed="false">
      <c r="A739" s="4" t="s">
        <v>3122</v>
      </c>
      <c r="B739" s="4" t="s">
        <v>3123</v>
      </c>
      <c r="C739" s="4" t="s">
        <v>3124</v>
      </c>
      <c r="D739" s="4" t="s">
        <v>3125</v>
      </c>
      <c r="E739" s="4" t="s">
        <v>104</v>
      </c>
      <c r="F739" s="4" t="s">
        <v>3126</v>
      </c>
      <c r="G739" s="4" t="s">
        <v>122</v>
      </c>
      <c r="H739" s="4" t="s">
        <v>39</v>
      </c>
      <c r="I739" s="4" t="s">
        <v>402</v>
      </c>
      <c r="J739" s="4" t="s">
        <v>104</v>
      </c>
      <c r="K739" s="4" t="s">
        <v>3127</v>
      </c>
      <c r="L739" s="4" t="str">
        <f aca="false">IF(TRIM(LOWER(E739))=TRIM(LOWER(J739)),"Match","Different")</f>
        <v>Match</v>
      </c>
    </row>
    <row r="740" customFormat="false" ht="15" hidden="false" customHeight="false" outlineLevel="0" collapsed="false">
      <c r="A740" s="4" t="s">
        <v>3128</v>
      </c>
      <c r="B740" s="4" t="s">
        <v>3129</v>
      </c>
      <c r="C740" s="4" t="s">
        <v>3130</v>
      </c>
      <c r="D740" s="4" t="s">
        <v>3131</v>
      </c>
      <c r="E740" s="4" t="s">
        <v>64</v>
      </c>
      <c r="F740" s="4" t="s">
        <v>3132</v>
      </c>
      <c r="G740" s="4" t="s">
        <v>128</v>
      </c>
      <c r="H740" s="4" t="s">
        <v>39</v>
      </c>
      <c r="I740" s="4" t="s">
        <v>636</v>
      </c>
      <c r="J740" s="4" t="s">
        <v>64</v>
      </c>
      <c r="K740" s="4" t="s">
        <v>3133</v>
      </c>
      <c r="L740" s="4" t="str">
        <f aca="false">IF(TRIM(LOWER(E740))=TRIM(LOWER(J740)),"Match","Different")</f>
        <v>Match</v>
      </c>
    </row>
    <row r="741" customFormat="false" ht="15" hidden="false" customHeight="false" outlineLevel="0" collapsed="false">
      <c r="A741" s="4" t="s">
        <v>3134</v>
      </c>
      <c r="B741" s="4" t="s">
        <v>3135</v>
      </c>
      <c r="C741" s="4" t="s">
        <v>3136</v>
      </c>
      <c r="D741" s="4" t="s">
        <v>3137</v>
      </c>
      <c r="E741" s="4" t="s">
        <v>89</v>
      </c>
      <c r="F741" s="4" t="s">
        <v>3138</v>
      </c>
      <c r="G741" s="4" t="s">
        <v>47</v>
      </c>
      <c r="H741" s="4" t="s">
        <v>39</v>
      </c>
      <c r="I741" s="4" t="s">
        <v>40</v>
      </c>
      <c r="J741" s="4" t="s">
        <v>30</v>
      </c>
      <c r="K741" s="4" t="s">
        <v>3136</v>
      </c>
      <c r="L741" s="4" t="str">
        <f aca="false">IF(TRIM(LOWER(E741))=TRIM(LOWER(J741)),"Match","Different")</f>
        <v>Different</v>
      </c>
    </row>
    <row r="742" customFormat="false" ht="15" hidden="false" customHeight="false" outlineLevel="0" collapsed="false">
      <c r="A742" s="4" t="s">
        <v>3139</v>
      </c>
      <c r="B742" s="4" t="s">
        <v>3140</v>
      </c>
      <c r="C742" s="4" t="s">
        <v>3141</v>
      </c>
      <c r="D742" s="4" t="s">
        <v>3142</v>
      </c>
      <c r="E742" s="4" t="s">
        <v>45</v>
      </c>
      <c r="F742" s="4" t="s">
        <v>3143</v>
      </c>
      <c r="G742" s="4" t="s">
        <v>128</v>
      </c>
      <c r="H742" s="4" t="s">
        <v>39</v>
      </c>
      <c r="I742" s="4" t="s">
        <v>821</v>
      </c>
      <c r="J742" s="4" t="s">
        <v>104</v>
      </c>
      <c r="K742" s="4" t="s">
        <v>3141</v>
      </c>
      <c r="L742" s="4" t="str">
        <f aca="false">IF(TRIM(LOWER(E742))=TRIM(LOWER(J742)),"Match","Different")</f>
        <v>Different</v>
      </c>
    </row>
    <row r="743" customFormat="false" ht="15" hidden="false" customHeight="false" outlineLevel="0" collapsed="false">
      <c r="A743" s="4" t="s">
        <v>3144</v>
      </c>
      <c r="B743" s="4" t="s">
        <v>3145</v>
      </c>
      <c r="C743" s="4" t="s">
        <v>3146</v>
      </c>
      <c r="D743" s="4" t="s">
        <v>3147</v>
      </c>
      <c r="E743" s="4" t="s">
        <v>25</v>
      </c>
      <c r="F743" s="4" t="s">
        <v>3148</v>
      </c>
      <c r="G743" s="4" t="s">
        <v>161</v>
      </c>
      <c r="H743" s="4" t="s">
        <v>66</v>
      </c>
      <c r="I743" s="4" t="s">
        <v>91</v>
      </c>
      <c r="J743" s="4" t="s">
        <v>50</v>
      </c>
      <c r="K743" s="4" t="s">
        <v>3149</v>
      </c>
      <c r="L743" s="4" t="str">
        <f aca="false">IF(TRIM(LOWER(E743))=TRIM(LOWER(J743)),"Match","Different")</f>
        <v>Different</v>
      </c>
    </row>
    <row r="744" customFormat="false" ht="15" hidden="false" customHeight="false" outlineLevel="0" collapsed="false">
      <c r="A744" s="4" t="s">
        <v>3150</v>
      </c>
      <c r="B744" s="4" t="s">
        <v>3151</v>
      </c>
      <c r="C744" s="4" t="s">
        <v>3152</v>
      </c>
      <c r="D744" s="4"/>
      <c r="E744" s="4" t="s">
        <v>89</v>
      </c>
      <c r="F744" s="4" t="s">
        <v>3153</v>
      </c>
      <c r="G744" s="4" t="s">
        <v>82</v>
      </c>
      <c r="H744" s="4" t="s">
        <v>66</v>
      </c>
      <c r="I744" s="4" t="s">
        <v>536</v>
      </c>
      <c r="J744" s="4" t="s">
        <v>30</v>
      </c>
      <c r="K744" s="4" t="s">
        <v>3152</v>
      </c>
      <c r="L744" s="4" t="str">
        <f aca="false">IF(TRIM(LOWER(E744))=TRIM(LOWER(J744)),"Match","Different")</f>
        <v>Different</v>
      </c>
    </row>
    <row r="745" customFormat="false" ht="15" hidden="false" customHeight="false" outlineLevel="0" collapsed="false">
      <c r="A745" s="4" t="s">
        <v>3154</v>
      </c>
      <c r="B745" s="4" t="s">
        <v>3155</v>
      </c>
      <c r="C745" s="4"/>
      <c r="D745" s="4" t="s">
        <v>3156</v>
      </c>
      <c r="E745" s="4" t="s">
        <v>54</v>
      </c>
      <c r="F745" s="4" t="s">
        <v>3157</v>
      </c>
      <c r="G745" s="4" t="s">
        <v>128</v>
      </c>
      <c r="H745" s="4" t="s">
        <v>39</v>
      </c>
      <c r="I745" s="4" t="s">
        <v>821</v>
      </c>
      <c r="J745" s="4" t="s">
        <v>58</v>
      </c>
      <c r="K745" s="4" t="s">
        <v>3158</v>
      </c>
      <c r="L745" s="4" t="str">
        <f aca="false">IF(TRIM(LOWER(E745))=TRIM(LOWER(J745)),"Match","Different")</f>
        <v>Different</v>
      </c>
    </row>
    <row r="746" customFormat="false" ht="15" hidden="false" customHeight="false" outlineLevel="0" collapsed="false">
      <c r="A746" s="4" t="s">
        <v>3159</v>
      </c>
      <c r="B746" s="4" t="s">
        <v>3160</v>
      </c>
      <c r="C746" s="4" t="s">
        <v>3161</v>
      </c>
      <c r="D746" s="4"/>
      <c r="E746" s="4" t="s">
        <v>89</v>
      </c>
      <c r="F746" s="4" t="s">
        <v>3162</v>
      </c>
      <c r="G746" s="4" t="s">
        <v>56</v>
      </c>
      <c r="H746" s="4" t="s">
        <v>66</v>
      </c>
      <c r="I746" s="4" t="s">
        <v>402</v>
      </c>
      <c r="J746" s="4" t="s">
        <v>30</v>
      </c>
      <c r="K746" s="4" t="s">
        <v>3161</v>
      </c>
      <c r="L746" s="4" t="str">
        <f aca="false">IF(TRIM(LOWER(E746))=TRIM(LOWER(J746)),"Match","Different")</f>
        <v>Different</v>
      </c>
    </row>
    <row r="747" customFormat="false" ht="15" hidden="false" customHeight="false" outlineLevel="0" collapsed="false">
      <c r="A747" s="4" t="s">
        <v>3163</v>
      </c>
      <c r="B747" s="4" t="s">
        <v>3164</v>
      </c>
      <c r="C747" s="4" t="s">
        <v>3165</v>
      </c>
      <c r="D747" s="4"/>
      <c r="E747" s="4" t="s">
        <v>54</v>
      </c>
      <c r="F747" s="4" t="s">
        <v>3166</v>
      </c>
      <c r="G747" s="4" t="s">
        <v>359</v>
      </c>
      <c r="H747" s="4" t="s">
        <v>28</v>
      </c>
      <c r="I747" s="4" t="s">
        <v>297</v>
      </c>
      <c r="J747" s="4" t="s">
        <v>58</v>
      </c>
      <c r="K747" s="4" t="s">
        <v>3167</v>
      </c>
      <c r="L747" s="4" t="str">
        <f aca="false">IF(TRIM(LOWER(E747))=TRIM(LOWER(J747)),"Match","Different")</f>
        <v>Different</v>
      </c>
    </row>
    <row r="748" customFormat="false" ht="15" hidden="false" customHeight="false" outlineLevel="0" collapsed="false">
      <c r="A748" s="4" t="s">
        <v>3168</v>
      </c>
      <c r="B748" s="4" t="s">
        <v>3169</v>
      </c>
      <c r="C748" s="4" t="s">
        <v>3170</v>
      </c>
      <c r="D748" s="4"/>
      <c r="E748" s="4" t="s">
        <v>104</v>
      </c>
      <c r="F748" s="4" t="s">
        <v>3171</v>
      </c>
      <c r="G748" s="4" t="s">
        <v>27</v>
      </c>
      <c r="H748" s="4" t="s">
        <v>66</v>
      </c>
      <c r="I748" s="4" t="s">
        <v>536</v>
      </c>
      <c r="J748" s="4" t="s">
        <v>30</v>
      </c>
      <c r="K748" s="4" t="s">
        <v>3172</v>
      </c>
      <c r="L748" s="4" t="str">
        <f aca="false">IF(TRIM(LOWER(E748))=TRIM(LOWER(J748)),"Match","Different")</f>
        <v>Different</v>
      </c>
    </row>
    <row r="749" customFormat="false" ht="15" hidden="false" customHeight="false" outlineLevel="0" collapsed="false">
      <c r="A749" s="4" t="s">
        <v>3173</v>
      </c>
      <c r="B749" s="4" t="s">
        <v>3174</v>
      </c>
      <c r="C749" s="4" t="s">
        <v>3175</v>
      </c>
      <c r="D749" s="4"/>
      <c r="E749" s="4" t="s">
        <v>104</v>
      </c>
      <c r="F749" s="4" t="s">
        <v>3176</v>
      </c>
      <c r="G749" s="4" t="s">
        <v>38</v>
      </c>
      <c r="H749" s="4" t="s">
        <v>39</v>
      </c>
      <c r="I749" s="4" t="s">
        <v>942</v>
      </c>
      <c r="J749" s="4" t="s">
        <v>104</v>
      </c>
      <c r="K749" s="4" t="s">
        <v>3175</v>
      </c>
      <c r="L749" s="4" t="str">
        <f aca="false">IF(TRIM(LOWER(E749))=TRIM(LOWER(J749)),"Match","Different")</f>
        <v>Match</v>
      </c>
    </row>
    <row r="750" customFormat="false" ht="15" hidden="false" customHeight="false" outlineLevel="0" collapsed="false">
      <c r="A750" s="4" t="s">
        <v>3177</v>
      </c>
      <c r="B750" s="4" t="s">
        <v>3178</v>
      </c>
      <c r="C750" s="4" t="s">
        <v>3179</v>
      </c>
      <c r="D750" s="4"/>
      <c r="E750" s="4" t="s">
        <v>64</v>
      </c>
      <c r="F750" s="4" t="s">
        <v>3180</v>
      </c>
      <c r="G750" s="4" t="s">
        <v>128</v>
      </c>
      <c r="H750" s="4" t="s">
        <v>39</v>
      </c>
      <c r="I750" s="4" t="s">
        <v>57</v>
      </c>
      <c r="J750" s="4" t="s">
        <v>32</v>
      </c>
      <c r="K750" s="4" t="s">
        <v>3179</v>
      </c>
      <c r="L750" s="4" t="str">
        <f aca="false">IF(TRIM(LOWER(E750))=TRIM(LOWER(J750)),"Match","Different")</f>
        <v>Different</v>
      </c>
    </row>
    <row r="751" customFormat="false" ht="15" hidden="false" customHeight="false" outlineLevel="0" collapsed="false">
      <c r="A751" s="4" t="s">
        <v>1400</v>
      </c>
      <c r="B751" s="4" t="s">
        <v>3181</v>
      </c>
      <c r="C751" s="4" t="s">
        <v>3182</v>
      </c>
      <c r="D751" s="4"/>
      <c r="E751" s="4" t="s">
        <v>25</v>
      </c>
      <c r="F751" s="4" t="s">
        <v>3183</v>
      </c>
      <c r="G751" s="4" t="s">
        <v>27</v>
      </c>
      <c r="H751" s="4" t="s">
        <v>66</v>
      </c>
      <c r="I751" s="4" t="s">
        <v>3184</v>
      </c>
      <c r="J751" s="4" t="s">
        <v>30</v>
      </c>
      <c r="K751" s="4" t="s">
        <v>3182</v>
      </c>
      <c r="L751" s="4" t="str">
        <f aca="false">IF(TRIM(LOWER(E751))=TRIM(LOWER(J751)),"Match","Different")</f>
        <v>Different</v>
      </c>
    </row>
    <row r="752" customFormat="false" ht="15" hidden="false" customHeight="false" outlineLevel="0" collapsed="false">
      <c r="A752" s="4" t="s">
        <v>3185</v>
      </c>
      <c r="B752" s="4" t="s">
        <v>3186</v>
      </c>
      <c r="C752" s="4"/>
      <c r="D752" s="4"/>
      <c r="E752" s="4" t="s">
        <v>383</v>
      </c>
      <c r="F752" s="4" t="s">
        <v>3187</v>
      </c>
      <c r="G752" s="4" t="s">
        <v>38</v>
      </c>
      <c r="H752" s="4" t="s">
        <v>39</v>
      </c>
      <c r="I752" s="4" t="s">
        <v>106</v>
      </c>
      <c r="J752" s="4" t="s">
        <v>104</v>
      </c>
      <c r="K752" s="4" t="s">
        <v>3188</v>
      </c>
      <c r="L752" s="4" t="str">
        <f aca="false">IF(TRIM(LOWER(E752))=TRIM(LOWER(J752)),"Match","Different")</f>
        <v>Different</v>
      </c>
    </row>
    <row r="753" customFormat="false" ht="15" hidden="false" customHeight="false" outlineLevel="0" collapsed="false">
      <c r="A753" s="4" t="s">
        <v>3189</v>
      </c>
      <c r="B753" s="4" t="s">
        <v>3186</v>
      </c>
      <c r="C753" s="4" t="s">
        <v>3190</v>
      </c>
      <c r="D753" s="4"/>
      <c r="E753" s="4" t="s">
        <v>104</v>
      </c>
      <c r="F753" s="4" t="s">
        <v>3187</v>
      </c>
      <c r="G753" s="4" t="s">
        <v>38</v>
      </c>
      <c r="H753" s="4" t="s">
        <v>39</v>
      </c>
      <c r="I753" s="4" t="s">
        <v>106</v>
      </c>
      <c r="J753" s="4" t="s">
        <v>104</v>
      </c>
      <c r="K753" s="4" t="s">
        <v>3188</v>
      </c>
      <c r="L753" s="4" t="str">
        <f aca="false">IF(TRIM(LOWER(E753))=TRIM(LOWER(J753)),"Match","Different")</f>
        <v>Match</v>
      </c>
    </row>
    <row r="754" customFormat="false" ht="15" hidden="false" customHeight="false" outlineLevel="0" collapsed="false">
      <c r="A754" s="4" t="s">
        <v>3191</v>
      </c>
      <c r="B754" s="4" t="s">
        <v>3192</v>
      </c>
      <c r="C754" s="4" t="s">
        <v>3193</v>
      </c>
      <c r="D754" s="4"/>
      <c r="E754" s="4" t="s">
        <v>45</v>
      </c>
      <c r="F754" s="4" t="s">
        <v>3194</v>
      </c>
      <c r="G754" s="4" t="s">
        <v>56</v>
      </c>
      <c r="H754" s="4" t="s">
        <v>66</v>
      </c>
      <c r="I754" s="4" t="s">
        <v>67</v>
      </c>
      <c r="J754" s="4" t="s">
        <v>50</v>
      </c>
      <c r="K754" s="4" t="s">
        <v>3193</v>
      </c>
      <c r="L754" s="4" t="str">
        <f aca="false">IF(TRIM(LOWER(E754))=TRIM(LOWER(J754)),"Match","Different")</f>
        <v>Different</v>
      </c>
    </row>
    <row r="755" customFormat="false" ht="15" hidden="false" customHeight="false" outlineLevel="0" collapsed="false">
      <c r="A755" s="4" t="s">
        <v>3195</v>
      </c>
      <c r="B755" s="4" t="s">
        <v>3196</v>
      </c>
      <c r="C755" s="4" t="s">
        <v>3197</v>
      </c>
      <c r="D755" s="4" t="s">
        <v>3198</v>
      </c>
      <c r="E755" s="4" t="s">
        <v>89</v>
      </c>
      <c r="F755" s="4" t="s">
        <v>3199</v>
      </c>
      <c r="G755" s="4" t="s">
        <v>82</v>
      </c>
      <c r="H755" s="4" t="s">
        <v>66</v>
      </c>
      <c r="I755" s="4" t="s">
        <v>91</v>
      </c>
      <c r="J755" s="4" t="s">
        <v>92</v>
      </c>
      <c r="K755" s="4" t="s">
        <v>3200</v>
      </c>
      <c r="L755" s="4" t="str">
        <f aca="false">IF(TRIM(LOWER(E755))=TRIM(LOWER(J755)),"Match","Different")</f>
        <v>Different</v>
      </c>
    </row>
    <row r="756" customFormat="false" ht="15" hidden="false" customHeight="false" outlineLevel="0" collapsed="false">
      <c r="A756" s="4" t="s">
        <v>3201</v>
      </c>
      <c r="B756" s="4" t="s">
        <v>3202</v>
      </c>
      <c r="C756" s="4" t="s">
        <v>3203</v>
      </c>
      <c r="D756" s="4" t="s">
        <v>3204</v>
      </c>
      <c r="E756" s="4" t="s">
        <v>89</v>
      </c>
      <c r="F756" s="4" t="s">
        <v>3205</v>
      </c>
      <c r="G756" s="4" t="s">
        <v>122</v>
      </c>
      <c r="H756" s="4" t="s">
        <v>39</v>
      </c>
      <c r="I756" s="4" t="s">
        <v>670</v>
      </c>
      <c r="J756" s="4" t="s">
        <v>92</v>
      </c>
      <c r="K756" s="4"/>
      <c r="L756" s="4" t="str">
        <f aca="false">IF(TRIM(LOWER(E756))=TRIM(LOWER(J756)),"Match","Different")</f>
        <v>Different</v>
      </c>
    </row>
    <row r="757" customFormat="false" ht="15" hidden="false" customHeight="false" outlineLevel="0" collapsed="false">
      <c r="A757" s="4" t="s">
        <v>3206</v>
      </c>
      <c r="B757" s="4" t="s">
        <v>3207</v>
      </c>
      <c r="C757" s="4" t="s">
        <v>3208</v>
      </c>
      <c r="D757" s="4" t="s">
        <v>3209</v>
      </c>
      <c r="E757" s="4" t="s">
        <v>89</v>
      </c>
      <c r="F757" s="4" t="s">
        <v>3210</v>
      </c>
      <c r="G757" s="4" t="s">
        <v>27</v>
      </c>
      <c r="H757" s="4" t="s">
        <v>66</v>
      </c>
      <c r="I757" s="4" t="s">
        <v>91</v>
      </c>
      <c r="J757" s="4" t="s">
        <v>30</v>
      </c>
      <c r="K757" s="4"/>
      <c r="L757" s="4" t="str">
        <f aca="false">IF(TRIM(LOWER(E757))=TRIM(LOWER(J757)),"Match","Different")</f>
        <v>Different</v>
      </c>
    </row>
    <row r="758" customFormat="false" ht="15" hidden="false" customHeight="false" outlineLevel="0" collapsed="false">
      <c r="A758" s="4" t="s">
        <v>3211</v>
      </c>
      <c r="B758" s="4" t="s">
        <v>3212</v>
      </c>
      <c r="C758" s="4" t="s">
        <v>3213</v>
      </c>
      <c r="D758" s="4" t="s">
        <v>3214</v>
      </c>
      <c r="E758" s="4" t="s">
        <v>89</v>
      </c>
      <c r="F758" s="4" t="s">
        <v>3215</v>
      </c>
      <c r="G758" s="4" t="s">
        <v>291</v>
      </c>
      <c r="H758" s="4" t="s">
        <v>39</v>
      </c>
      <c r="I758" s="4" t="s">
        <v>821</v>
      </c>
      <c r="J758" s="4" t="s">
        <v>92</v>
      </c>
      <c r="K758" s="4"/>
      <c r="L758" s="4" t="str">
        <f aca="false">IF(TRIM(LOWER(E758))=TRIM(LOWER(J758)),"Match","Different")</f>
        <v>Different</v>
      </c>
    </row>
    <row r="759" customFormat="false" ht="15" hidden="false" customHeight="false" outlineLevel="0" collapsed="false">
      <c r="A759" s="4" t="s">
        <v>3216</v>
      </c>
      <c r="B759" s="4" t="s">
        <v>3217</v>
      </c>
      <c r="C759" s="4" t="s">
        <v>3218</v>
      </c>
      <c r="D759" s="4" t="s">
        <v>3219</v>
      </c>
      <c r="E759" s="4" t="s">
        <v>89</v>
      </c>
      <c r="F759" s="4" t="s">
        <v>3220</v>
      </c>
      <c r="G759" s="4" t="s">
        <v>82</v>
      </c>
      <c r="H759" s="4" t="s">
        <v>39</v>
      </c>
      <c r="I759" s="4" t="s">
        <v>57</v>
      </c>
      <c r="J759" s="4" t="s">
        <v>92</v>
      </c>
      <c r="K759" s="4" t="s">
        <v>3221</v>
      </c>
      <c r="L759" s="4" t="str">
        <f aca="false">IF(TRIM(LOWER(E759))=TRIM(LOWER(J759)),"Match","Different")</f>
        <v>Different</v>
      </c>
    </row>
    <row r="760" customFormat="false" ht="15" hidden="false" customHeight="false" outlineLevel="0" collapsed="false">
      <c r="A760" s="4" t="s">
        <v>3222</v>
      </c>
      <c r="B760" s="4" t="s">
        <v>3223</v>
      </c>
      <c r="C760" s="4"/>
      <c r="D760" s="4" t="s">
        <v>3224</v>
      </c>
      <c r="E760" s="4" t="s">
        <v>383</v>
      </c>
      <c r="F760" s="4" t="s">
        <v>3225</v>
      </c>
      <c r="G760" s="4" t="s">
        <v>56</v>
      </c>
      <c r="H760" s="4" t="s">
        <v>39</v>
      </c>
      <c r="I760" s="4" t="s">
        <v>99</v>
      </c>
      <c r="J760" s="4" t="s">
        <v>392</v>
      </c>
      <c r="K760" s="4" t="s">
        <v>3226</v>
      </c>
      <c r="L760" s="4" t="str">
        <f aca="false">IF(TRIM(LOWER(E760))=TRIM(LOWER(J760)),"Match","Different")</f>
        <v>Different</v>
      </c>
    </row>
    <row r="761" customFormat="false" ht="15" hidden="false" customHeight="false" outlineLevel="0" collapsed="false">
      <c r="A761" s="4" t="s">
        <v>3227</v>
      </c>
      <c r="B761" s="4" t="s">
        <v>3223</v>
      </c>
      <c r="C761" s="4" t="s">
        <v>3228</v>
      </c>
      <c r="D761" s="4" t="s">
        <v>3229</v>
      </c>
      <c r="E761" s="4" t="s">
        <v>25</v>
      </c>
      <c r="F761" s="4" t="s">
        <v>3225</v>
      </c>
      <c r="G761" s="4" t="s">
        <v>56</v>
      </c>
      <c r="H761" s="4" t="s">
        <v>39</v>
      </c>
      <c r="I761" s="4" t="s">
        <v>99</v>
      </c>
      <c r="J761" s="4" t="s">
        <v>392</v>
      </c>
      <c r="K761" s="4" t="s">
        <v>3226</v>
      </c>
      <c r="L761" s="4" t="str">
        <f aca="false">IF(TRIM(LOWER(E761))=TRIM(LOWER(J761)),"Match","Different")</f>
        <v>Different</v>
      </c>
    </row>
    <row r="762" customFormat="false" ht="15" hidden="false" customHeight="false" outlineLevel="0" collapsed="false">
      <c r="A762" s="4" t="s">
        <v>3230</v>
      </c>
      <c r="B762" s="4" t="s">
        <v>3223</v>
      </c>
      <c r="C762" s="4" t="s">
        <v>3231</v>
      </c>
      <c r="D762" s="4" t="s">
        <v>3232</v>
      </c>
      <c r="E762" s="4" t="s">
        <v>25</v>
      </c>
      <c r="F762" s="4" t="s">
        <v>3225</v>
      </c>
      <c r="G762" s="4" t="s">
        <v>56</v>
      </c>
      <c r="H762" s="4" t="s">
        <v>39</v>
      </c>
      <c r="I762" s="4" t="s">
        <v>99</v>
      </c>
      <c r="J762" s="4" t="s">
        <v>392</v>
      </c>
      <c r="K762" s="4" t="s">
        <v>3226</v>
      </c>
      <c r="L762" s="4" t="str">
        <f aca="false">IF(TRIM(LOWER(E762))=TRIM(LOWER(J762)),"Match","Different")</f>
        <v>Different</v>
      </c>
    </row>
    <row r="763" customFormat="false" ht="15" hidden="false" customHeight="false" outlineLevel="0" collapsed="false">
      <c r="A763" s="4" t="s">
        <v>3233</v>
      </c>
      <c r="B763" s="4" t="s">
        <v>3223</v>
      </c>
      <c r="C763" s="4" t="s">
        <v>3234</v>
      </c>
      <c r="D763" s="4"/>
      <c r="E763" s="4" t="s">
        <v>25</v>
      </c>
      <c r="F763" s="4" t="s">
        <v>3225</v>
      </c>
      <c r="G763" s="4" t="s">
        <v>56</v>
      </c>
      <c r="H763" s="4" t="s">
        <v>39</v>
      </c>
      <c r="I763" s="4" t="s">
        <v>99</v>
      </c>
      <c r="J763" s="4" t="s">
        <v>392</v>
      </c>
      <c r="K763" s="4" t="s">
        <v>3226</v>
      </c>
      <c r="L763" s="4" t="str">
        <f aca="false">IF(TRIM(LOWER(E763))=TRIM(LOWER(J763)),"Match","Different")</f>
        <v>Different</v>
      </c>
    </row>
    <row r="764" customFormat="false" ht="15" hidden="false" customHeight="false" outlineLevel="0" collapsed="false">
      <c r="A764" s="4" t="s">
        <v>3235</v>
      </c>
      <c r="B764" s="4" t="s">
        <v>3236</v>
      </c>
      <c r="C764" s="4" t="s">
        <v>3237</v>
      </c>
      <c r="D764" s="4" t="s">
        <v>3238</v>
      </c>
      <c r="E764" s="4" t="s">
        <v>25</v>
      </c>
      <c r="F764" s="4" t="s">
        <v>3239</v>
      </c>
      <c r="G764" s="4" t="s">
        <v>56</v>
      </c>
      <c r="H764" s="4" t="s">
        <v>28</v>
      </c>
      <c r="I764" s="4" t="s">
        <v>297</v>
      </c>
      <c r="J764" s="4" t="s">
        <v>392</v>
      </c>
      <c r="K764" s="4" t="s">
        <v>3240</v>
      </c>
      <c r="L764" s="4" t="str">
        <f aca="false">IF(TRIM(LOWER(E764))=TRIM(LOWER(J764)),"Match","Different")</f>
        <v>Different</v>
      </c>
    </row>
    <row r="765" customFormat="false" ht="15" hidden="false" customHeight="false" outlineLevel="0" collapsed="false">
      <c r="A765" s="4" t="s">
        <v>3241</v>
      </c>
      <c r="B765" s="4" t="s">
        <v>3242</v>
      </c>
      <c r="C765" s="4" t="s">
        <v>3243</v>
      </c>
      <c r="D765" s="4" t="s">
        <v>3238</v>
      </c>
      <c r="E765" s="4" t="s">
        <v>25</v>
      </c>
      <c r="F765" s="4" t="s">
        <v>3244</v>
      </c>
      <c r="G765" s="4" t="s">
        <v>56</v>
      </c>
      <c r="H765" s="4" t="s">
        <v>39</v>
      </c>
      <c r="I765" s="4" t="s">
        <v>91</v>
      </c>
      <c r="J765" s="4" t="s">
        <v>392</v>
      </c>
      <c r="K765" s="4" t="s">
        <v>2770</v>
      </c>
      <c r="L765" s="4" t="str">
        <f aca="false">IF(TRIM(LOWER(E765))=TRIM(LOWER(J765)),"Match","Different")</f>
        <v>Different</v>
      </c>
    </row>
    <row r="766" customFormat="false" ht="15" hidden="false" customHeight="false" outlineLevel="0" collapsed="false">
      <c r="A766" s="4" t="s">
        <v>3245</v>
      </c>
      <c r="B766" s="4" t="s">
        <v>3246</v>
      </c>
      <c r="C766" s="4"/>
      <c r="D766" s="4" t="s">
        <v>3247</v>
      </c>
      <c r="E766" s="4" t="s">
        <v>170</v>
      </c>
      <c r="F766" s="4" t="s">
        <v>3248</v>
      </c>
      <c r="G766" s="4" t="s">
        <v>56</v>
      </c>
      <c r="H766" s="4" t="s">
        <v>39</v>
      </c>
      <c r="I766" s="4" t="s">
        <v>91</v>
      </c>
      <c r="J766" s="4" t="s">
        <v>392</v>
      </c>
      <c r="K766" s="4" t="s">
        <v>2770</v>
      </c>
      <c r="L766" s="4" t="str">
        <f aca="false">IF(TRIM(LOWER(E766))=TRIM(LOWER(J766)),"Match","Different")</f>
        <v>Different</v>
      </c>
    </row>
    <row r="767" customFormat="false" ht="15" hidden="false" customHeight="false" outlineLevel="0" collapsed="false">
      <c r="A767" s="4" t="s">
        <v>3249</v>
      </c>
      <c r="B767" s="4" t="s">
        <v>3246</v>
      </c>
      <c r="C767" s="4" t="s">
        <v>3250</v>
      </c>
      <c r="D767" s="4" t="s">
        <v>3251</v>
      </c>
      <c r="E767" s="4" t="s">
        <v>25</v>
      </c>
      <c r="F767" s="4" t="s">
        <v>3248</v>
      </c>
      <c r="G767" s="4" t="s">
        <v>56</v>
      </c>
      <c r="H767" s="4" t="s">
        <v>39</v>
      </c>
      <c r="I767" s="4" t="s">
        <v>91</v>
      </c>
      <c r="J767" s="4" t="s">
        <v>392</v>
      </c>
      <c r="K767" s="4" t="s">
        <v>2770</v>
      </c>
      <c r="L767" s="4" t="str">
        <f aca="false">IF(TRIM(LOWER(E767))=TRIM(LOWER(J767)),"Match","Different")</f>
        <v>Different</v>
      </c>
    </row>
    <row r="768" customFormat="false" ht="15" hidden="false" customHeight="false" outlineLevel="0" collapsed="false">
      <c r="A768" s="4" t="s">
        <v>3252</v>
      </c>
      <c r="B768" s="4" t="s">
        <v>3253</v>
      </c>
      <c r="C768" s="4" t="s">
        <v>3254</v>
      </c>
      <c r="D768" s="4" t="s">
        <v>3255</v>
      </c>
      <c r="E768" s="4" t="s">
        <v>25</v>
      </c>
      <c r="F768" s="4" t="s">
        <v>3256</v>
      </c>
      <c r="G768" s="4" t="s">
        <v>56</v>
      </c>
      <c r="H768" s="4" t="s">
        <v>39</v>
      </c>
      <c r="I768" s="4" t="s">
        <v>1445</v>
      </c>
      <c r="J768" s="4" t="s">
        <v>392</v>
      </c>
      <c r="K768" s="4" t="s">
        <v>2770</v>
      </c>
      <c r="L768" s="4" t="str">
        <f aca="false">IF(TRIM(LOWER(E768))=TRIM(LOWER(J768)),"Match","Different")</f>
        <v>Different</v>
      </c>
    </row>
    <row r="769" customFormat="false" ht="15" hidden="false" customHeight="false" outlineLevel="0" collapsed="false">
      <c r="A769" s="4" t="s">
        <v>3257</v>
      </c>
      <c r="B769" s="4" t="s">
        <v>3253</v>
      </c>
      <c r="C769" s="4" t="s">
        <v>3258</v>
      </c>
      <c r="D769" s="4" t="s">
        <v>3259</v>
      </c>
      <c r="E769" s="4" t="s">
        <v>25</v>
      </c>
      <c r="F769" s="4" t="s">
        <v>3256</v>
      </c>
      <c r="G769" s="4" t="s">
        <v>56</v>
      </c>
      <c r="H769" s="4" t="s">
        <v>39</v>
      </c>
      <c r="I769" s="4" t="s">
        <v>1445</v>
      </c>
      <c r="J769" s="4" t="s">
        <v>392</v>
      </c>
      <c r="K769" s="4" t="s">
        <v>2770</v>
      </c>
      <c r="L769" s="4" t="str">
        <f aca="false">IF(TRIM(LOWER(E769))=TRIM(LOWER(J769)),"Match","Different")</f>
        <v>Different</v>
      </c>
    </row>
    <row r="770" customFormat="false" ht="15" hidden="false" customHeight="false" outlineLevel="0" collapsed="false">
      <c r="A770" s="4" t="s">
        <v>3260</v>
      </c>
      <c r="B770" s="4" t="s">
        <v>3261</v>
      </c>
      <c r="C770" s="4" t="s">
        <v>3262</v>
      </c>
      <c r="D770" s="4" t="s">
        <v>3263</v>
      </c>
      <c r="E770" s="4" t="s">
        <v>89</v>
      </c>
      <c r="F770" s="4" t="s">
        <v>3264</v>
      </c>
      <c r="G770" s="4" t="s">
        <v>519</v>
      </c>
      <c r="H770" s="4" t="s">
        <v>28</v>
      </c>
      <c r="I770" s="4" t="s">
        <v>57</v>
      </c>
      <c r="J770" s="4" t="s">
        <v>30</v>
      </c>
      <c r="K770" s="4" t="s">
        <v>3265</v>
      </c>
      <c r="L770" s="4" t="str">
        <f aca="false">IF(TRIM(LOWER(E770))=TRIM(LOWER(J770)),"Match","Different")</f>
        <v>Different</v>
      </c>
    </row>
    <row r="771" customFormat="false" ht="15" hidden="false" customHeight="false" outlineLevel="0" collapsed="false">
      <c r="A771" s="4" t="s">
        <v>3266</v>
      </c>
      <c r="B771" s="4" t="s">
        <v>3267</v>
      </c>
      <c r="C771" s="4" t="s">
        <v>3268</v>
      </c>
      <c r="D771" s="4" t="s">
        <v>3269</v>
      </c>
      <c r="E771" s="4" t="s">
        <v>25</v>
      </c>
      <c r="F771" s="4" t="s">
        <v>3270</v>
      </c>
      <c r="G771" s="4" t="s">
        <v>56</v>
      </c>
      <c r="H771" s="4" t="s">
        <v>48</v>
      </c>
      <c r="I771" s="4" t="s">
        <v>194</v>
      </c>
      <c r="J771" s="4" t="s">
        <v>112</v>
      </c>
      <c r="K771" s="4" t="s">
        <v>3271</v>
      </c>
      <c r="L771" s="4" t="str">
        <f aca="false">IF(TRIM(LOWER(E771))=TRIM(LOWER(J771)),"Match","Different")</f>
        <v>Different</v>
      </c>
    </row>
    <row r="772" customFormat="false" ht="15" hidden="false" customHeight="false" outlineLevel="0" collapsed="false">
      <c r="A772" s="4" t="s">
        <v>3272</v>
      </c>
      <c r="B772" s="4" t="s">
        <v>3267</v>
      </c>
      <c r="C772" s="4"/>
      <c r="D772" s="4" t="s">
        <v>3273</v>
      </c>
      <c r="E772" s="4" t="s">
        <v>383</v>
      </c>
      <c r="F772" s="4" t="s">
        <v>3270</v>
      </c>
      <c r="G772" s="4" t="s">
        <v>56</v>
      </c>
      <c r="H772" s="4" t="s">
        <v>48</v>
      </c>
      <c r="I772" s="4" t="s">
        <v>194</v>
      </c>
      <c r="J772" s="4" t="s">
        <v>112</v>
      </c>
      <c r="K772" s="4" t="s">
        <v>3271</v>
      </c>
      <c r="L772" s="4" t="str">
        <f aca="false">IF(TRIM(LOWER(E772))=TRIM(LOWER(J772)),"Match","Different")</f>
        <v>Different</v>
      </c>
    </row>
    <row r="773" customFormat="false" ht="15" hidden="false" customHeight="false" outlineLevel="0" collapsed="false">
      <c r="A773" s="4" t="s">
        <v>3274</v>
      </c>
      <c r="B773" s="4" t="s">
        <v>3267</v>
      </c>
      <c r="C773" s="4" t="s">
        <v>3275</v>
      </c>
      <c r="D773" s="4"/>
      <c r="E773" s="4" t="s">
        <v>846</v>
      </c>
      <c r="F773" s="4" t="s">
        <v>3270</v>
      </c>
      <c r="G773" s="4" t="s">
        <v>56</v>
      </c>
      <c r="H773" s="4" t="s">
        <v>48</v>
      </c>
      <c r="I773" s="4" t="s">
        <v>194</v>
      </c>
      <c r="J773" s="4" t="s">
        <v>112</v>
      </c>
      <c r="K773" s="4" t="s">
        <v>3271</v>
      </c>
      <c r="L773" s="4" t="str">
        <f aca="false">IF(TRIM(LOWER(E773))=TRIM(LOWER(J773)),"Match","Different")</f>
        <v>Different</v>
      </c>
    </row>
    <row r="774" customFormat="false" ht="15" hidden="false" customHeight="false" outlineLevel="0" collapsed="false">
      <c r="A774" s="4" t="s">
        <v>3276</v>
      </c>
      <c r="B774" s="4" t="s">
        <v>3277</v>
      </c>
      <c r="C774" s="4" t="s">
        <v>3278</v>
      </c>
      <c r="D774" s="4"/>
      <c r="E774" s="4" t="s">
        <v>54</v>
      </c>
      <c r="F774" s="4" t="s">
        <v>3279</v>
      </c>
      <c r="G774" s="4" t="s">
        <v>27</v>
      </c>
      <c r="H774" s="4" t="s">
        <v>39</v>
      </c>
      <c r="I774" s="4" t="s">
        <v>2769</v>
      </c>
      <c r="J774" s="4" t="s">
        <v>92</v>
      </c>
      <c r="K774" s="4" t="s">
        <v>3278</v>
      </c>
      <c r="L774" s="4" t="str">
        <f aca="false">IF(TRIM(LOWER(E774))=TRIM(LOWER(J774)),"Match","Different")</f>
        <v>Different</v>
      </c>
    </row>
    <row r="775" customFormat="false" ht="15" hidden="false" customHeight="false" outlineLevel="0" collapsed="false">
      <c r="A775" s="4" t="s">
        <v>3280</v>
      </c>
      <c r="B775" s="4" t="s">
        <v>3281</v>
      </c>
      <c r="C775" s="4" t="s">
        <v>3282</v>
      </c>
      <c r="D775" s="4"/>
      <c r="E775" s="4" t="s">
        <v>54</v>
      </c>
      <c r="F775" s="4" t="s">
        <v>3283</v>
      </c>
      <c r="G775" s="4" t="s">
        <v>27</v>
      </c>
      <c r="H775" s="4" t="s">
        <v>66</v>
      </c>
      <c r="I775" s="4" t="s">
        <v>262</v>
      </c>
      <c r="J775" s="4" t="s">
        <v>58</v>
      </c>
      <c r="K775" s="4" t="s">
        <v>3284</v>
      </c>
      <c r="L775" s="4" t="str">
        <f aca="false">IF(TRIM(LOWER(E775))=TRIM(LOWER(J775)),"Match","Different")</f>
        <v>Different</v>
      </c>
    </row>
    <row r="776" customFormat="false" ht="15" hidden="false" customHeight="false" outlineLevel="0" collapsed="false">
      <c r="A776" s="4" t="s">
        <v>386</v>
      </c>
      <c r="B776" s="4" t="s">
        <v>3285</v>
      </c>
      <c r="C776" s="4" t="s">
        <v>3286</v>
      </c>
      <c r="D776" s="4" t="s">
        <v>3287</v>
      </c>
      <c r="E776" s="4" t="s">
        <v>104</v>
      </c>
      <c r="F776" s="4" t="s">
        <v>3288</v>
      </c>
      <c r="G776" s="4" t="s">
        <v>38</v>
      </c>
      <c r="H776" s="4" t="s">
        <v>39</v>
      </c>
      <c r="I776" s="4" t="s">
        <v>99</v>
      </c>
      <c r="J776" s="4" t="s">
        <v>104</v>
      </c>
      <c r="K776" s="4" t="s">
        <v>3286</v>
      </c>
      <c r="L776" s="4" t="str">
        <f aca="false">IF(TRIM(LOWER(E776))=TRIM(LOWER(J776)),"Match","Different")</f>
        <v>Match</v>
      </c>
    </row>
    <row r="777" customFormat="false" ht="15" hidden="false" customHeight="false" outlineLevel="0" collapsed="false">
      <c r="A777" s="4" t="s">
        <v>3289</v>
      </c>
      <c r="B777" s="4" t="s">
        <v>3290</v>
      </c>
      <c r="C777" s="4" t="s">
        <v>3291</v>
      </c>
      <c r="D777" s="4" t="s">
        <v>3292</v>
      </c>
      <c r="E777" s="4" t="s">
        <v>170</v>
      </c>
      <c r="F777" s="4" t="s">
        <v>3293</v>
      </c>
      <c r="G777" s="4" t="s">
        <v>56</v>
      </c>
      <c r="H777" s="4" t="s">
        <v>172</v>
      </c>
      <c r="I777" s="4" t="s">
        <v>173</v>
      </c>
      <c r="J777" s="4" t="s">
        <v>174</v>
      </c>
      <c r="K777" s="4"/>
      <c r="L777" s="4" t="str">
        <f aca="false">IF(TRIM(LOWER(E777))=TRIM(LOWER(J777)),"Match","Different")</f>
        <v>Different</v>
      </c>
    </row>
    <row r="778" customFormat="false" ht="15" hidden="false" customHeight="false" outlineLevel="0" collapsed="false">
      <c r="A778" s="4" t="s">
        <v>3294</v>
      </c>
      <c r="B778" s="4" t="s">
        <v>3290</v>
      </c>
      <c r="C778" s="4" t="s">
        <v>3295</v>
      </c>
      <c r="D778" s="4" t="s">
        <v>3296</v>
      </c>
      <c r="E778" s="4" t="s">
        <v>170</v>
      </c>
      <c r="F778" s="4" t="s">
        <v>3293</v>
      </c>
      <c r="G778" s="4" t="s">
        <v>56</v>
      </c>
      <c r="H778" s="4" t="s">
        <v>172</v>
      </c>
      <c r="I778" s="4" t="s">
        <v>173</v>
      </c>
      <c r="J778" s="4" t="s">
        <v>174</v>
      </c>
      <c r="K778" s="4"/>
      <c r="L778" s="4" t="str">
        <f aca="false">IF(TRIM(LOWER(E778))=TRIM(LOWER(J778)),"Match","Different")</f>
        <v>Different</v>
      </c>
    </row>
    <row r="779" customFormat="false" ht="15" hidden="false" customHeight="false" outlineLevel="0" collapsed="false">
      <c r="A779" s="4" t="s">
        <v>3297</v>
      </c>
      <c r="B779" s="4" t="s">
        <v>3290</v>
      </c>
      <c r="C779" s="4" t="s">
        <v>3298</v>
      </c>
      <c r="D779" s="4" t="s">
        <v>3299</v>
      </c>
      <c r="E779" s="4" t="s">
        <v>170</v>
      </c>
      <c r="F779" s="4" t="s">
        <v>3293</v>
      </c>
      <c r="G779" s="4" t="s">
        <v>56</v>
      </c>
      <c r="H779" s="4" t="s">
        <v>172</v>
      </c>
      <c r="I779" s="4" t="s">
        <v>173</v>
      </c>
      <c r="J779" s="4" t="s">
        <v>174</v>
      </c>
      <c r="K779" s="4"/>
      <c r="L779" s="4" t="str">
        <f aca="false">IF(TRIM(LOWER(E779))=TRIM(LOWER(J779)),"Match","Different")</f>
        <v>Different</v>
      </c>
    </row>
    <row r="780" customFormat="false" ht="15" hidden="false" customHeight="false" outlineLevel="0" collapsed="false">
      <c r="A780" s="4" t="s">
        <v>3300</v>
      </c>
      <c r="B780" s="4" t="s">
        <v>3290</v>
      </c>
      <c r="C780" s="4" t="s">
        <v>3301</v>
      </c>
      <c r="D780" s="4" t="s">
        <v>3302</v>
      </c>
      <c r="E780" s="4" t="s">
        <v>170</v>
      </c>
      <c r="F780" s="4" t="s">
        <v>3293</v>
      </c>
      <c r="G780" s="4" t="s">
        <v>56</v>
      </c>
      <c r="H780" s="4" t="s">
        <v>172</v>
      </c>
      <c r="I780" s="4" t="s">
        <v>173</v>
      </c>
      <c r="J780" s="4" t="s">
        <v>174</v>
      </c>
      <c r="K780" s="4"/>
      <c r="L780" s="4" t="str">
        <f aca="false">IF(TRIM(LOWER(E780))=TRIM(LOWER(J780)),"Match","Different")</f>
        <v>Different</v>
      </c>
    </row>
    <row r="781" customFormat="false" ht="15" hidden="false" customHeight="false" outlineLevel="0" collapsed="false">
      <c r="A781" s="4" t="s">
        <v>3300</v>
      </c>
      <c r="B781" s="4" t="s">
        <v>3290</v>
      </c>
      <c r="C781" s="4"/>
      <c r="D781" s="4" t="s">
        <v>3302</v>
      </c>
      <c r="E781" s="4" t="s">
        <v>170</v>
      </c>
      <c r="F781" s="4" t="s">
        <v>3293</v>
      </c>
      <c r="G781" s="4" t="s">
        <v>56</v>
      </c>
      <c r="H781" s="4" t="s">
        <v>172</v>
      </c>
      <c r="I781" s="4" t="s">
        <v>173</v>
      </c>
      <c r="J781" s="4" t="s">
        <v>174</v>
      </c>
      <c r="K781" s="4"/>
      <c r="L781" s="4" t="str">
        <f aca="false">IF(TRIM(LOWER(E781))=TRIM(LOWER(J781)),"Match","Different")</f>
        <v>Different</v>
      </c>
    </row>
    <row r="782" customFormat="false" ht="15" hidden="false" customHeight="false" outlineLevel="0" collapsed="false">
      <c r="A782" s="4" t="s">
        <v>3303</v>
      </c>
      <c r="B782" s="4" t="s">
        <v>3304</v>
      </c>
      <c r="C782" s="4" t="s">
        <v>3305</v>
      </c>
      <c r="D782" s="4" t="s">
        <v>3306</v>
      </c>
      <c r="E782" s="4" t="s">
        <v>50</v>
      </c>
      <c r="F782" s="4" t="s">
        <v>3307</v>
      </c>
      <c r="G782" s="4" t="s">
        <v>56</v>
      </c>
      <c r="H782" s="4" t="s">
        <v>39</v>
      </c>
      <c r="I782" s="4" t="s">
        <v>636</v>
      </c>
      <c r="J782" s="4" t="s">
        <v>32</v>
      </c>
      <c r="K782" s="4" t="s">
        <v>3308</v>
      </c>
      <c r="L782" s="4" t="str">
        <f aca="false">IF(TRIM(LOWER(E782))=TRIM(LOWER(J782)),"Match","Different")</f>
        <v>Different</v>
      </c>
    </row>
    <row r="783" customFormat="false" ht="15" hidden="false" customHeight="false" outlineLevel="0" collapsed="false">
      <c r="A783" s="4" t="s">
        <v>3309</v>
      </c>
      <c r="B783" s="4" t="s">
        <v>3304</v>
      </c>
      <c r="C783" s="4" t="s">
        <v>3310</v>
      </c>
      <c r="D783" s="4"/>
      <c r="E783" s="4" t="s">
        <v>341</v>
      </c>
      <c r="F783" s="4" t="s">
        <v>3307</v>
      </c>
      <c r="G783" s="4" t="s">
        <v>56</v>
      </c>
      <c r="H783" s="4" t="s">
        <v>39</v>
      </c>
      <c r="I783" s="4" t="s">
        <v>636</v>
      </c>
      <c r="J783" s="4" t="s">
        <v>32</v>
      </c>
      <c r="K783" s="4" t="s">
        <v>3308</v>
      </c>
      <c r="L783" s="4" t="str">
        <f aca="false">IF(TRIM(LOWER(E783))=TRIM(LOWER(J783)),"Match","Different")</f>
        <v>Different</v>
      </c>
    </row>
    <row r="784" customFormat="false" ht="15" hidden="false" customHeight="false" outlineLevel="0" collapsed="false">
      <c r="A784" s="4" t="s">
        <v>3311</v>
      </c>
      <c r="B784" s="4" t="s">
        <v>3312</v>
      </c>
      <c r="C784" s="4" t="s">
        <v>3313</v>
      </c>
      <c r="D784" s="4"/>
      <c r="E784" s="4" t="s">
        <v>50</v>
      </c>
      <c r="F784" s="4" t="s">
        <v>3314</v>
      </c>
      <c r="G784" s="4" t="s">
        <v>27</v>
      </c>
      <c r="H784" s="4" t="s">
        <v>39</v>
      </c>
      <c r="I784" s="4" t="s">
        <v>91</v>
      </c>
      <c r="J784" s="4" t="s">
        <v>32</v>
      </c>
      <c r="K784" s="4" t="s">
        <v>3313</v>
      </c>
      <c r="L784" s="4" t="str">
        <f aca="false">IF(TRIM(LOWER(E784))=TRIM(LOWER(J784)),"Match","Different")</f>
        <v>Different</v>
      </c>
    </row>
    <row r="785" customFormat="false" ht="15" hidden="false" customHeight="false" outlineLevel="0" collapsed="false">
      <c r="A785" s="4" t="s">
        <v>3315</v>
      </c>
      <c r="B785" s="4" t="s">
        <v>3312</v>
      </c>
      <c r="C785" s="4"/>
      <c r="D785" s="4" t="s">
        <v>3316</v>
      </c>
      <c r="E785" s="4" t="s">
        <v>1029</v>
      </c>
      <c r="F785" s="4" t="s">
        <v>3314</v>
      </c>
      <c r="G785" s="4" t="s">
        <v>27</v>
      </c>
      <c r="H785" s="4" t="s">
        <v>39</v>
      </c>
      <c r="I785" s="4" t="s">
        <v>91</v>
      </c>
      <c r="J785" s="4" t="s">
        <v>32</v>
      </c>
      <c r="K785" s="4" t="s">
        <v>3313</v>
      </c>
      <c r="L785" s="4" t="str">
        <f aca="false">IF(TRIM(LOWER(E785))=TRIM(LOWER(J785)),"Match","Different")</f>
        <v>Different</v>
      </c>
    </row>
    <row r="786" customFormat="false" ht="15" hidden="false" customHeight="false" outlineLevel="0" collapsed="false">
      <c r="A786" s="4" t="s">
        <v>3317</v>
      </c>
      <c r="B786" s="4" t="s">
        <v>3318</v>
      </c>
      <c r="C786" s="4" t="s">
        <v>3319</v>
      </c>
      <c r="D786" s="4" t="s">
        <v>1363</v>
      </c>
      <c r="E786" s="4" t="s">
        <v>50</v>
      </c>
      <c r="F786" s="4" t="s">
        <v>3320</v>
      </c>
      <c r="G786" s="4" t="s">
        <v>136</v>
      </c>
      <c r="H786" s="4" t="s">
        <v>66</v>
      </c>
      <c r="I786" s="4" t="s">
        <v>91</v>
      </c>
      <c r="J786" s="4" t="s">
        <v>50</v>
      </c>
      <c r="K786" s="4" t="s">
        <v>3321</v>
      </c>
      <c r="L786" s="4" t="str">
        <f aca="false">IF(TRIM(LOWER(E786))=TRIM(LOWER(J786)),"Match","Different")</f>
        <v>Match</v>
      </c>
    </row>
    <row r="787" customFormat="false" ht="15" hidden="false" customHeight="false" outlineLevel="0" collapsed="false">
      <c r="A787" s="4" t="s">
        <v>3322</v>
      </c>
      <c r="B787" s="4" t="s">
        <v>3323</v>
      </c>
      <c r="C787" s="4"/>
      <c r="D787" s="4"/>
      <c r="E787" s="4" t="s">
        <v>32</v>
      </c>
      <c r="F787" s="4" t="s">
        <v>3324</v>
      </c>
      <c r="G787" s="4" t="s">
        <v>359</v>
      </c>
      <c r="H787" s="4" t="s">
        <v>39</v>
      </c>
      <c r="I787" s="4" t="s">
        <v>99</v>
      </c>
      <c r="J787" s="4" t="s">
        <v>100</v>
      </c>
      <c r="K787" s="4" t="s">
        <v>3325</v>
      </c>
      <c r="L787" s="4" t="str">
        <f aca="false">IF(TRIM(LOWER(E787))=TRIM(LOWER(J787)),"Match","Different")</f>
        <v>Different</v>
      </c>
    </row>
    <row r="788" customFormat="false" ht="15" hidden="false" customHeight="false" outlineLevel="0" collapsed="false">
      <c r="A788" s="4" t="s">
        <v>3326</v>
      </c>
      <c r="B788" s="4" t="s">
        <v>3323</v>
      </c>
      <c r="C788" s="4" t="s">
        <v>3325</v>
      </c>
      <c r="D788" s="4"/>
      <c r="E788" s="4" t="s">
        <v>341</v>
      </c>
      <c r="F788" s="4" t="s">
        <v>3324</v>
      </c>
      <c r="G788" s="4" t="s">
        <v>359</v>
      </c>
      <c r="H788" s="4" t="s">
        <v>39</v>
      </c>
      <c r="I788" s="4" t="s">
        <v>99</v>
      </c>
      <c r="J788" s="4" t="s">
        <v>100</v>
      </c>
      <c r="K788" s="4" t="s">
        <v>3325</v>
      </c>
      <c r="L788" s="4" t="str">
        <f aca="false">IF(TRIM(LOWER(E788))=TRIM(LOWER(J788)),"Match","Different")</f>
        <v>Different</v>
      </c>
    </row>
    <row r="789" customFormat="false" ht="15" hidden="false" customHeight="false" outlineLevel="0" collapsed="false">
      <c r="A789" s="4" t="s">
        <v>3327</v>
      </c>
      <c r="B789" s="4" t="s">
        <v>3328</v>
      </c>
      <c r="C789" s="4" t="s">
        <v>3329</v>
      </c>
      <c r="D789" s="4"/>
      <c r="E789" s="4" t="s">
        <v>54</v>
      </c>
      <c r="F789" s="4" t="s">
        <v>3330</v>
      </c>
      <c r="G789" s="4" t="s">
        <v>359</v>
      </c>
      <c r="H789" s="4" t="s">
        <v>39</v>
      </c>
      <c r="I789" s="4" t="s">
        <v>40</v>
      </c>
      <c r="J789" s="4" t="s">
        <v>30</v>
      </c>
      <c r="K789" s="4" t="s">
        <v>3331</v>
      </c>
      <c r="L789" s="4" t="str">
        <f aca="false">IF(TRIM(LOWER(E789))=TRIM(LOWER(J789)),"Match","Different")</f>
        <v>Different</v>
      </c>
    </row>
    <row r="790" customFormat="false" ht="15" hidden="false" customHeight="false" outlineLevel="0" collapsed="false">
      <c r="A790" s="4" t="s">
        <v>3332</v>
      </c>
      <c r="B790" s="4" t="s">
        <v>3328</v>
      </c>
      <c r="C790" s="4" t="s">
        <v>3331</v>
      </c>
      <c r="D790" s="4"/>
      <c r="E790" s="4" t="s">
        <v>341</v>
      </c>
      <c r="F790" s="4" t="s">
        <v>3330</v>
      </c>
      <c r="G790" s="4" t="s">
        <v>359</v>
      </c>
      <c r="H790" s="4" t="s">
        <v>39</v>
      </c>
      <c r="I790" s="4" t="s">
        <v>40</v>
      </c>
      <c r="J790" s="4" t="s">
        <v>30</v>
      </c>
      <c r="K790" s="4" t="s">
        <v>3331</v>
      </c>
      <c r="L790" s="4" t="str">
        <f aca="false">IF(TRIM(LOWER(E790))=TRIM(LOWER(J790)),"Match","Different")</f>
        <v>Different</v>
      </c>
    </row>
    <row r="791" customFormat="false" ht="15" hidden="false" customHeight="false" outlineLevel="0" collapsed="false">
      <c r="A791" s="4" t="s">
        <v>3333</v>
      </c>
      <c r="B791" s="4" t="s">
        <v>3334</v>
      </c>
      <c r="C791" s="4" t="s">
        <v>3335</v>
      </c>
      <c r="D791" s="4" t="s">
        <v>3336</v>
      </c>
      <c r="E791" s="4" t="s">
        <v>89</v>
      </c>
      <c r="F791" s="4" t="s">
        <v>3337</v>
      </c>
      <c r="G791" s="4" t="s">
        <v>359</v>
      </c>
      <c r="H791" s="4" t="s">
        <v>39</v>
      </c>
      <c r="I791" s="4" t="s">
        <v>40</v>
      </c>
      <c r="J791" s="4" t="s">
        <v>30</v>
      </c>
      <c r="K791" s="4" t="s">
        <v>3335</v>
      </c>
      <c r="L791" s="4" t="str">
        <f aca="false">IF(TRIM(LOWER(E791))=TRIM(LOWER(J791)),"Match","Different")</f>
        <v>Different</v>
      </c>
    </row>
    <row r="792" customFormat="false" ht="15" hidden="false" customHeight="false" outlineLevel="0" collapsed="false">
      <c r="A792" s="4" t="s">
        <v>3338</v>
      </c>
      <c r="B792" s="4" t="s">
        <v>3339</v>
      </c>
      <c r="C792" s="4" t="s">
        <v>3340</v>
      </c>
      <c r="D792" s="4"/>
      <c r="E792" s="4" t="s">
        <v>3341</v>
      </c>
      <c r="F792" s="4" t="s">
        <v>3342</v>
      </c>
      <c r="G792" s="4" t="s">
        <v>519</v>
      </c>
      <c r="H792" s="4" t="s">
        <v>66</v>
      </c>
      <c r="I792" s="4" t="s">
        <v>262</v>
      </c>
      <c r="J792" s="4" t="s">
        <v>100</v>
      </c>
      <c r="K792" s="4" t="s">
        <v>3343</v>
      </c>
      <c r="L792" s="4" t="str">
        <f aca="false">IF(TRIM(LOWER(E792))=TRIM(LOWER(J792)),"Match","Different")</f>
        <v>Different</v>
      </c>
    </row>
    <row r="793" customFormat="false" ht="15" hidden="false" customHeight="false" outlineLevel="0" collapsed="false">
      <c r="A793" s="4" t="s">
        <v>3344</v>
      </c>
      <c r="B793" s="4" t="s">
        <v>3345</v>
      </c>
      <c r="C793" s="4" t="s">
        <v>3346</v>
      </c>
      <c r="D793" s="4"/>
      <c r="E793" s="4" t="s">
        <v>104</v>
      </c>
      <c r="F793" s="4" t="s">
        <v>3347</v>
      </c>
      <c r="G793" s="4" t="s">
        <v>38</v>
      </c>
      <c r="H793" s="4" t="s">
        <v>39</v>
      </c>
      <c r="I793" s="4" t="s">
        <v>99</v>
      </c>
      <c r="J793" s="4" t="s">
        <v>104</v>
      </c>
      <c r="K793" s="4" t="s">
        <v>3346</v>
      </c>
      <c r="L793" s="4" t="str">
        <f aca="false">IF(TRIM(LOWER(E793))=TRIM(LOWER(J793)),"Match","Different")</f>
        <v>Match</v>
      </c>
    </row>
    <row r="794" customFormat="false" ht="15" hidden="false" customHeight="false" outlineLevel="0" collapsed="false">
      <c r="A794" s="4" t="s">
        <v>3348</v>
      </c>
      <c r="B794" s="4" t="s">
        <v>3349</v>
      </c>
      <c r="C794" s="4" t="s">
        <v>3350</v>
      </c>
      <c r="D794" s="4"/>
      <c r="E794" s="4" t="s">
        <v>89</v>
      </c>
      <c r="F794" s="4" t="s">
        <v>3351</v>
      </c>
      <c r="G794" s="4" t="s">
        <v>27</v>
      </c>
      <c r="H794" s="4" t="s">
        <v>28</v>
      </c>
      <c r="I794" s="4" t="s">
        <v>123</v>
      </c>
      <c r="J794" s="4" t="s">
        <v>92</v>
      </c>
      <c r="K794" s="4" t="s">
        <v>3352</v>
      </c>
      <c r="L794" s="4" t="str">
        <f aca="false">IF(TRIM(LOWER(E794))=TRIM(LOWER(J794)),"Match","Different")</f>
        <v>Different</v>
      </c>
    </row>
    <row r="795" customFormat="false" ht="15" hidden="false" customHeight="false" outlineLevel="0" collapsed="false">
      <c r="A795" s="4" t="s">
        <v>3353</v>
      </c>
      <c r="B795" s="4" t="s">
        <v>3354</v>
      </c>
      <c r="C795" s="4" t="s">
        <v>3355</v>
      </c>
      <c r="D795" s="4"/>
      <c r="E795" s="4" t="s">
        <v>58</v>
      </c>
      <c r="F795" s="4" t="s">
        <v>3356</v>
      </c>
      <c r="G795" s="4" t="s">
        <v>136</v>
      </c>
      <c r="H795" s="4" t="s">
        <v>28</v>
      </c>
      <c r="I795" s="4" t="s">
        <v>226</v>
      </c>
      <c r="J795" s="4" t="s">
        <v>58</v>
      </c>
      <c r="K795" s="4" t="s">
        <v>3357</v>
      </c>
      <c r="L795" s="4" t="str">
        <f aca="false">IF(TRIM(LOWER(E795))=TRIM(LOWER(J795)),"Match","Different")</f>
        <v>Match</v>
      </c>
    </row>
    <row r="796" customFormat="false" ht="15" hidden="false" customHeight="false" outlineLevel="0" collapsed="false">
      <c r="A796" s="4" t="s">
        <v>3358</v>
      </c>
      <c r="B796" s="4" t="s">
        <v>3354</v>
      </c>
      <c r="C796" s="4" t="s">
        <v>3359</v>
      </c>
      <c r="D796" s="4"/>
      <c r="E796" s="4" t="s">
        <v>58</v>
      </c>
      <c r="F796" s="4" t="s">
        <v>3356</v>
      </c>
      <c r="G796" s="4" t="s">
        <v>136</v>
      </c>
      <c r="H796" s="4" t="s">
        <v>28</v>
      </c>
      <c r="I796" s="4" t="s">
        <v>226</v>
      </c>
      <c r="J796" s="4" t="s">
        <v>58</v>
      </c>
      <c r="K796" s="4" t="s">
        <v>3357</v>
      </c>
      <c r="L796" s="4" t="str">
        <f aca="false">IF(TRIM(LOWER(E796))=TRIM(LOWER(J796)),"Match","Different")</f>
        <v>Match</v>
      </c>
    </row>
    <row r="797" customFormat="false" ht="15" hidden="false" customHeight="false" outlineLevel="0" collapsed="false">
      <c r="A797" s="4" t="s">
        <v>3360</v>
      </c>
      <c r="B797" s="4" t="s">
        <v>3361</v>
      </c>
      <c r="C797" s="4" t="s">
        <v>3362</v>
      </c>
      <c r="D797" s="4" t="s">
        <v>3363</v>
      </c>
      <c r="E797" s="4" t="s">
        <v>64</v>
      </c>
      <c r="F797" s="4" t="s">
        <v>3364</v>
      </c>
      <c r="G797" s="4" t="s">
        <v>98</v>
      </c>
      <c r="H797" s="4" t="s">
        <v>39</v>
      </c>
      <c r="I797" s="4" t="s">
        <v>531</v>
      </c>
      <c r="J797" s="4" t="s">
        <v>64</v>
      </c>
      <c r="K797" s="4" t="s">
        <v>3365</v>
      </c>
      <c r="L797" s="4" t="str">
        <f aca="false">IF(TRIM(LOWER(E797))=TRIM(LOWER(J797)),"Match","Different")</f>
        <v>Match</v>
      </c>
    </row>
    <row r="798" customFormat="false" ht="15" hidden="false" customHeight="false" outlineLevel="0" collapsed="false">
      <c r="A798" s="4" t="s">
        <v>3366</v>
      </c>
      <c r="B798" s="4" t="s">
        <v>3361</v>
      </c>
      <c r="C798" s="4" t="s">
        <v>3367</v>
      </c>
      <c r="D798" s="4" t="s">
        <v>3368</v>
      </c>
      <c r="E798" s="4" t="s">
        <v>64</v>
      </c>
      <c r="F798" s="4" t="s">
        <v>3364</v>
      </c>
      <c r="G798" s="4" t="s">
        <v>98</v>
      </c>
      <c r="H798" s="4" t="s">
        <v>39</v>
      </c>
      <c r="I798" s="4" t="s">
        <v>531</v>
      </c>
      <c r="J798" s="4" t="s">
        <v>64</v>
      </c>
      <c r="K798" s="4" t="s">
        <v>3365</v>
      </c>
      <c r="L798" s="4" t="str">
        <f aca="false">IF(TRIM(LOWER(E798))=TRIM(LOWER(J798)),"Match","Different")</f>
        <v>Match</v>
      </c>
    </row>
    <row r="799" customFormat="false" ht="15" hidden="false" customHeight="false" outlineLevel="0" collapsed="false">
      <c r="A799" s="4" t="s">
        <v>3369</v>
      </c>
      <c r="B799" s="4" t="s">
        <v>3370</v>
      </c>
      <c r="C799" s="4" t="s">
        <v>3371</v>
      </c>
      <c r="D799" s="4"/>
      <c r="E799" s="4" t="s">
        <v>89</v>
      </c>
      <c r="F799" s="4" t="s">
        <v>3372</v>
      </c>
      <c r="G799" s="4" t="s">
        <v>575</v>
      </c>
      <c r="H799" s="4" t="s">
        <v>66</v>
      </c>
      <c r="I799" s="4" t="s">
        <v>430</v>
      </c>
      <c r="J799" s="4" t="s">
        <v>30</v>
      </c>
      <c r="K799" s="4" t="s">
        <v>3371</v>
      </c>
      <c r="L799" s="4" t="str">
        <f aca="false">IF(TRIM(LOWER(E799))=TRIM(LOWER(J799)),"Match","Different")</f>
        <v>Different</v>
      </c>
    </row>
    <row r="800" customFormat="false" ht="15" hidden="false" customHeight="false" outlineLevel="0" collapsed="false">
      <c r="A800" s="4" t="s">
        <v>3373</v>
      </c>
      <c r="B800" s="4" t="s">
        <v>3374</v>
      </c>
      <c r="C800" s="4"/>
      <c r="D800" s="4"/>
      <c r="E800" s="4" t="s">
        <v>32</v>
      </c>
      <c r="F800" s="4" t="s">
        <v>3375</v>
      </c>
      <c r="G800" s="4" t="s">
        <v>27</v>
      </c>
      <c r="H800" s="4" t="s">
        <v>39</v>
      </c>
      <c r="I800" s="4" t="s">
        <v>57</v>
      </c>
      <c r="J800" s="4" t="s">
        <v>32</v>
      </c>
      <c r="K800" s="4" t="s">
        <v>3376</v>
      </c>
      <c r="L800" s="4" t="str">
        <f aca="false">IF(TRIM(LOWER(E800))=TRIM(LOWER(J800)),"Match","Different")</f>
        <v>Match</v>
      </c>
    </row>
    <row r="801" customFormat="false" ht="15" hidden="false" customHeight="false" outlineLevel="0" collapsed="false">
      <c r="A801" s="4" t="s">
        <v>3377</v>
      </c>
      <c r="B801" s="4" t="s">
        <v>3374</v>
      </c>
      <c r="C801" s="4"/>
      <c r="D801" s="4" t="s">
        <v>3378</v>
      </c>
      <c r="E801" s="4" t="s">
        <v>32</v>
      </c>
      <c r="F801" s="4" t="s">
        <v>3375</v>
      </c>
      <c r="G801" s="4" t="s">
        <v>27</v>
      </c>
      <c r="H801" s="4" t="s">
        <v>39</v>
      </c>
      <c r="I801" s="4" t="s">
        <v>57</v>
      </c>
      <c r="J801" s="4" t="s">
        <v>32</v>
      </c>
      <c r="K801" s="4" t="s">
        <v>3376</v>
      </c>
      <c r="L801" s="4" t="str">
        <f aca="false">IF(TRIM(LOWER(E801))=TRIM(LOWER(J801)),"Match","Different")</f>
        <v>Match</v>
      </c>
    </row>
    <row r="802" customFormat="false" ht="15" hidden="false" customHeight="false" outlineLevel="0" collapsed="false">
      <c r="A802" s="4" t="s">
        <v>3379</v>
      </c>
      <c r="B802" s="4" t="s">
        <v>3374</v>
      </c>
      <c r="C802" s="4" t="s">
        <v>3380</v>
      </c>
      <c r="D802" s="4" t="s">
        <v>3381</v>
      </c>
      <c r="E802" s="4" t="s">
        <v>25</v>
      </c>
      <c r="F802" s="4" t="s">
        <v>3375</v>
      </c>
      <c r="G802" s="4" t="s">
        <v>27</v>
      </c>
      <c r="H802" s="4" t="s">
        <v>39</v>
      </c>
      <c r="I802" s="4" t="s">
        <v>57</v>
      </c>
      <c r="J802" s="4" t="s">
        <v>32</v>
      </c>
      <c r="K802" s="4" t="s">
        <v>3376</v>
      </c>
      <c r="L802" s="4" t="str">
        <f aca="false">IF(TRIM(LOWER(E802))=TRIM(LOWER(J802)),"Match","Different")</f>
        <v>Different</v>
      </c>
    </row>
    <row r="803" customFormat="false" ht="15" hidden="false" customHeight="false" outlineLevel="0" collapsed="false">
      <c r="A803" s="4" t="s">
        <v>3382</v>
      </c>
      <c r="B803" s="4" t="s">
        <v>3383</v>
      </c>
      <c r="C803" s="4" t="s">
        <v>3384</v>
      </c>
      <c r="D803" s="4"/>
      <c r="E803" s="4" t="s">
        <v>64</v>
      </c>
      <c r="F803" s="4" t="s">
        <v>3385</v>
      </c>
      <c r="G803" s="4" t="s">
        <v>56</v>
      </c>
      <c r="H803" s="4" t="s">
        <v>1601</v>
      </c>
      <c r="I803" s="4" t="s">
        <v>430</v>
      </c>
      <c r="J803" s="4" t="s">
        <v>64</v>
      </c>
      <c r="K803" s="4" t="s">
        <v>3386</v>
      </c>
      <c r="L803" s="4" t="str">
        <f aca="false">IF(TRIM(LOWER(E803))=TRIM(LOWER(J803)),"Match","Different")</f>
        <v>Match</v>
      </c>
    </row>
    <row r="804" customFormat="false" ht="15" hidden="false" customHeight="false" outlineLevel="0" collapsed="false">
      <c r="A804" s="4" t="s">
        <v>3387</v>
      </c>
      <c r="B804" s="4" t="s">
        <v>3383</v>
      </c>
      <c r="C804" s="4" t="s">
        <v>3388</v>
      </c>
      <c r="D804" s="4" t="s">
        <v>3389</v>
      </c>
      <c r="E804" s="4" t="s">
        <v>64</v>
      </c>
      <c r="F804" s="4" t="s">
        <v>3385</v>
      </c>
      <c r="G804" s="4" t="s">
        <v>56</v>
      </c>
      <c r="H804" s="4" t="s">
        <v>1601</v>
      </c>
      <c r="I804" s="4" t="s">
        <v>430</v>
      </c>
      <c r="J804" s="4" t="s">
        <v>64</v>
      </c>
      <c r="K804" s="4" t="s">
        <v>3386</v>
      </c>
      <c r="L804" s="4" t="str">
        <f aca="false">IF(TRIM(LOWER(E804))=TRIM(LOWER(J804)),"Match","Different")</f>
        <v>Match</v>
      </c>
    </row>
    <row r="805" customFormat="false" ht="15" hidden="false" customHeight="false" outlineLevel="0" collapsed="false">
      <c r="A805" s="4" t="s">
        <v>3390</v>
      </c>
      <c r="B805" s="4" t="s">
        <v>3391</v>
      </c>
      <c r="C805" s="4" t="s">
        <v>3392</v>
      </c>
      <c r="D805" s="4" t="s">
        <v>3393</v>
      </c>
      <c r="E805" s="4" t="s">
        <v>25</v>
      </c>
      <c r="F805" s="4" t="s">
        <v>3394</v>
      </c>
      <c r="G805" s="4" t="s">
        <v>359</v>
      </c>
      <c r="H805" s="4" t="s">
        <v>66</v>
      </c>
      <c r="I805" s="4" t="s">
        <v>91</v>
      </c>
      <c r="J805" s="4" t="s">
        <v>392</v>
      </c>
      <c r="K805" s="4" t="s">
        <v>3395</v>
      </c>
      <c r="L805" s="4" t="str">
        <f aca="false">IF(TRIM(LOWER(E805))=TRIM(LOWER(J805)),"Match","Different")</f>
        <v>Different</v>
      </c>
    </row>
    <row r="806" customFormat="false" ht="15" hidden="false" customHeight="false" outlineLevel="0" collapsed="false">
      <c r="A806" s="4" t="s">
        <v>3396</v>
      </c>
      <c r="B806" s="4" t="s">
        <v>3391</v>
      </c>
      <c r="C806" s="4" t="s">
        <v>3395</v>
      </c>
      <c r="D806" s="4"/>
      <c r="E806" s="4" t="s">
        <v>25</v>
      </c>
      <c r="F806" s="4" t="s">
        <v>3394</v>
      </c>
      <c r="G806" s="4" t="s">
        <v>359</v>
      </c>
      <c r="H806" s="4" t="s">
        <v>66</v>
      </c>
      <c r="I806" s="4" t="s">
        <v>91</v>
      </c>
      <c r="J806" s="4" t="s">
        <v>392</v>
      </c>
      <c r="K806" s="4" t="s">
        <v>3395</v>
      </c>
      <c r="L806" s="4" t="str">
        <f aca="false">IF(TRIM(LOWER(E806))=TRIM(LOWER(J806)),"Match","Different")</f>
        <v>Different</v>
      </c>
    </row>
    <row r="807" customFormat="false" ht="15" hidden="false" customHeight="false" outlineLevel="0" collapsed="false">
      <c r="A807" s="4" t="s">
        <v>3397</v>
      </c>
      <c r="B807" s="4" t="s">
        <v>3391</v>
      </c>
      <c r="C807" s="4"/>
      <c r="D807" s="4" t="s">
        <v>3398</v>
      </c>
      <c r="E807" s="4" t="s">
        <v>383</v>
      </c>
      <c r="F807" s="4" t="s">
        <v>3394</v>
      </c>
      <c r="G807" s="4" t="s">
        <v>359</v>
      </c>
      <c r="H807" s="4" t="s">
        <v>66</v>
      </c>
      <c r="I807" s="4" t="s">
        <v>91</v>
      </c>
      <c r="J807" s="4" t="s">
        <v>392</v>
      </c>
      <c r="K807" s="4" t="s">
        <v>3395</v>
      </c>
      <c r="L807" s="4" t="str">
        <f aca="false">IF(TRIM(LOWER(E807))=TRIM(LOWER(J807)),"Match","Different")</f>
        <v>Different</v>
      </c>
    </row>
    <row r="808" customFormat="false" ht="15" hidden="false" customHeight="false" outlineLevel="0" collapsed="false">
      <c r="A808" s="4" t="s">
        <v>3399</v>
      </c>
      <c r="B808" s="4" t="s">
        <v>3400</v>
      </c>
      <c r="C808" s="4"/>
      <c r="D808" s="4"/>
      <c r="E808" s="4" t="s">
        <v>32</v>
      </c>
      <c r="F808" s="4" t="s">
        <v>3401</v>
      </c>
      <c r="G808" s="4" t="s">
        <v>27</v>
      </c>
      <c r="H808" s="4" t="s">
        <v>66</v>
      </c>
      <c r="I808" s="4" t="s">
        <v>536</v>
      </c>
      <c r="J808" s="4" t="s">
        <v>30</v>
      </c>
      <c r="K808" s="4" t="s">
        <v>3402</v>
      </c>
      <c r="L808" s="4" t="str">
        <f aca="false">IF(TRIM(LOWER(E808))=TRIM(LOWER(J808)),"Match","Different")</f>
        <v>Different</v>
      </c>
    </row>
    <row r="809" customFormat="false" ht="15" hidden="false" customHeight="false" outlineLevel="0" collapsed="false">
      <c r="A809" s="4" t="s">
        <v>3403</v>
      </c>
      <c r="B809" s="4" t="s">
        <v>3404</v>
      </c>
      <c r="C809" s="4" t="s">
        <v>3405</v>
      </c>
      <c r="D809" s="4" t="s">
        <v>3406</v>
      </c>
      <c r="E809" s="4" t="s">
        <v>89</v>
      </c>
      <c r="F809" s="4" t="s">
        <v>3407</v>
      </c>
      <c r="G809" s="4" t="s">
        <v>207</v>
      </c>
      <c r="H809" s="4" t="s">
        <v>39</v>
      </c>
      <c r="I809" s="4" t="s">
        <v>99</v>
      </c>
      <c r="J809" s="4" t="s">
        <v>100</v>
      </c>
      <c r="K809" s="4" t="s">
        <v>3408</v>
      </c>
      <c r="L809" s="4" t="str">
        <f aca="false">IF(TRIM(LOWER(E809))=TRIM(LOWER(J809)),"Match","Different")</f>
        <v>Different</v>
      </c>
    </row>
    <row r="810" customFormat="false" ht="15" hidden="false" customHeight="false" outlineLevel="0" collapsed="false">
      <c r="A810" s="4" t="s">
        <v>3409</v>
      </c>
      <c r="B810" s="4" t="s">
        <v>3410</v>
      </c>
      <c r="C810" s="4" t="s">
        <v>3411</v>
      </c>
      <c r="D810" s="4" t="s">
        <v>3412</v>
      </c>
      <c r="E810" s="4" t="s">
        <v>170</v>
      </c>
      <c r="F810" s="4" t="s">
        <v>3413</v>
      </c>
      <c r="G810" s="4" t="s">
        <v>136</v>
      </c>
      <c r="H810" s="4" t="s">
        <v>172</v>
      </c>
      <c r="I810" s="4" t="s">
        <v>173</v>
      </c>
      <c r="J810" s="4" t="s">
        <v>174</v>
      </c>
      <c r="K810" s="4" t="s">
        <v>3414</v>
      </c>
      <c r="L810" s="4" t="str">
        <f aca="false">IF(TRIM(LOWER(E810))=TRIM(LOWER(J810)),"Match","Different")</f>
        <v>Different</v>
      </c>
    </row>
    <row r="811" customFormat="false" ht="15" hidden="false" customHeight="false" outlineLevel="0" collapsed="false">
      <c r="A811" s="4" t="s">
        <v>3415</v>
      </c>
      <c r="B811" s="4" t="s">
        <v>3416</v>
      </c>
      <c r="C811" s="4" t="s">
        <v>3417</v>
      </c>
      <c r="D811" s="4"/>
      <c r="E811" s="4" t="s">
        <v>54</v>
      </c>
      <c r="F811" s="4" t="s">
        <v>3418</v>
      </c>
      <c r="G811" s="4" t="s">
        <v>136</v>
      </c>
      <c r="H811" s="4" t="s">
        <v>66</v>
      </c>
      <c r="I811" s="4" t="s">
        <v>91</v>
      </c>
      <c r="J811" s="4" t="s">
        <v>58</v>
      </c>
      <c r="K811" s="4" t="s">
        <v>3419</v>
      </c>
      <c r="L811" s="4" t="str">
        <f aca="false">IF(TRIM(LOWER(E811))=TRIM(LOWER(J811)),"Match","Different")</f>
        <v>Different</v>
      </c>
    </row>
    <row r="812" customFormat="false" ht="15" hidden="false" customHeight="false" outlineLevel="0" collapsed="false">
      <c r="A812" s="4" t="s">
        <v>3420</v>
      </c>
      <c r="B812" s="4" t="s">
        <v>3421</v>
      </c>
      <c r="C812" s="4" t="s">
        <v>3422</v>
      </c>
      <c r="D812" s="4"/>
      <c r="E812" s="4" t="s">
        <v>54</v>
      </c>
      <c r="F812" s="4" t="s">
        <v>3423</v>
      </c>
      <c r="G812" s="4" t="s">
        <v>27</v>
      </c>
      <c r="H812" s="4" t="s">
        <v>39</v>
      </c>
      <c r="I812" s="4" t="s">
        <v>99</v>
      </c>
      <c r="J812" s="4" t="s">
        <v>100</v>
      </c>
      <c r="K812" s="4" t="s">
        <v>3424</v>
      </c>
      <c r="L812" s="4" t="str">
        <f aca="false">IF(TRIM(LOWER(E812))=TRIM(LOWER(J812)),"Match","Different")</f>
        <v>Different</v>
      </c>
    </row>
    <row r="813" customFormat="false" ht="15" hidden="false" customHeight="false" outlineLevel="0" collapsed="false">
      <c r="A813" s="4" t="s">
        <v>3425</v>
      </c>
      <c r="B813" s="4" t="s">
        <v>3426</v>
      </c>
      <c r="C813" s="4"/>
      <c r="D813" s="4" t="s">
        <v>3427</v>
      </c>
      <c r="E813" s="4" t="s">
        <v>383</v>
      </c>
      <c r="F813" s="4" t="s">
        <v>3428</v>
      </c>
      <c r="G813" s="4" t="s">
        <v>122</v>
      </c>
      <c r="H813" s="4" t="s">
        <v>66</v>
      </c>
      <c r="I813" s="4" t="s">
        <v>91</v>
      </c>
      <c r="J813" s="4" t="s">
        <v>92</v>
      </c>
      <c r="K813" s="4" t="s">
        <v>3429</v>
      </c>
      <c r="L813" s="4" t="str">
        <f aca="false">IF(TRIM(LOWER(E813))=TRIM(LOWER(J813)),"Match","Different")</f>
        <v>Different</v>
      </c>
    </row>
    <row r="814" customFormat="false" ht="15" hidden="false" customHeight="false" outlineLevel="0" collapsed="false">
      <c r="A814" s="4" t="s">
        <v>3430</v>
      </c>
      <c r="B814" s="4" t="s">
        <v>3426</v>
      </c>
      <c r="C814" s="4" t="s">
        <v>3431</v>
      </c>
      <c r="D814" s="4" t="s">
        <v>3427</v>
      </c>
      <c r="E814" s="4" t="s">
        <v>89</v>
      </c>
      <c r="F814" s="4" t="s">
        <v>3428</v>
      </c>
      <c r="G814" s="4" t="s">
        <v>122</v>
      </c>
      <c r="H814" s="4" t="s">
        <v>66</v>
      </c>
      <c r="I814" s="4" t="s">
        <v>91</v>
      </c>
      <c r="J814" s="4" t="s">
        <v>92</v>
      </c>
      <c r="K814" s="4" t="s">
        <v>3429</v>
      </c>
      <c r="L814" s="4" t="str">
        <f aca="false">IF(TRIM(LOWER(E814))=TRIM(LOWER(J814)),"Match","Different")</f>
        <v>Different</v>
      </c>
    </row>
    <row r="815" customFormat="false" ht="15" hidden="false" customHeight="false" outlineLevel="0" collapsed="false">
      <c r="A815" s="4" t="s">
        <v>3432</v>
      </c>
      <c r="B815" s="4" t="s">
        <v>3426</v>
      </c>
      <c r="C815" s="4" t="s">
        <v>3433</v>
      </c>
      <c r="D815" s="4" t="s">
        <v>3427</v>
      </c>
      <c r="E815" s="4" t="s">
        <v>89</v>
      </c>
      <c r="F815" s="4" t="s">
        <v>3428</v>
      </c>
      <c r="G815" s="4" t="s">
        <v>122</v>
      </c>
      <c r="H815" s="4" t="s">
        <v>66</v>
      </c>
      <c r="I815" s="4" t="s">
        <v>91</v>
      </c>
      <c r="J815" s="4" t="s">
        <v>92</v>
      </c>
      <c r="K815" s="4" t="s">
        <v>3429</v>
      </c>
      <c r="L815" s="4" t="str">
        <f aca="false">IF(TRIM(LOWER(E815))=TRIM(LOWER(J815)),"Match","Different")</f>
        <v>Different</v>
      </c>
    </row>
    <row r="816" customFormat="false" ht="15" hidden="false" customHeight="false" outlineLevel="0" collapsed="false">
      <c r="A816" s="4" t="s">
        <v>3434</v>
      </c>
      <c r="B816" s="4" t="s">
        <v>3435</v>
      </c>
      <c r="C816" s="4"/>
      <c r="D816" s="4"/>
      <c r="E816" s="4" t="s">
        <v>32</v>
      </c>
      <c r="F816" s="4" t="s">
        <v>3436</v>
      </c>
      <c r="G816" s="4" t="s">
        <v>82</v>
      </c>
      <c r="H816" s="4" t="s">
        <v>66</v>
      </c>
      <c r="I816" s="4" t="s">
        <v>536</v>
      </c>
      <c r="J816" s="4" t="s">
        <v>30</v>
      </c>
      <c r="K816" s="4" t="s">
        <v>3437</v>
      </c>
      <c r="L816" s="4" t="str">
        <f aca="false">IF(TRIM(LOWER(E816))=TRIM(LOWER(J816)),"Match","Different")</f>
        <v>Different</v>
      </c>
    </row>
    <row r="817" customFormat="false" ht="15" hidden="false" customHeight="false" outlineLevel="0" collapsed="false">
      <c r="A817" s="4" t="s">
        <v>3438</v>
      </c>
      <c r="B817" s="4" t="s">
        <v>3439</v>
      </c>
      <c r="C817" s="4" t="s">
        <v>3440</v>
      </c>
      <c r="D817" s="4" t="s">
        <v>3441</v>
      </c>
      <c r="E817" s="4" t="s">
        <v>170</v>
      </c>
      <c r="F817" s="4" t="s">
        <v>3442</v>
      </c>
      <c r="G817" s="4" t="s">
        <v>359</v>
      </c>
      <c r="H817" s="4" t="s">
        <v>172</v>
      </c>
      <c r="I817" s="4" t="s">
        <v>173</v>
      </c>
      <c r="J817" s="4" t="s">
        <v>174</v>
      </c>
      <c r="K817" s="4" t="s">
        <v>3443</v>
      </c>
      <c r="L817" s="4" t="str">
        <f aca="false">IF(TRIM(LOWER(E817))=TRIM(LOWER(J817)),"Match","Different")</f>
        <v>Different</v>
      </c>
    </row>
    <row r="818" customFormat="false" ht="15" hidden="false" customHeight="false" outlineLevel="0" collapsed="false">
      <c r="A818" s="4" t="s">
        <v>3444</v>
      </c>
      <c r="B818" s="4" t="s">
        <v>3445</v>
      </c>
      <c r="C818" s="4" t="s">
        <v>3446</v>
      </c>
      <c r="D818" s="4" t="s">
        <v>3447</v>
      </c>
      <c r="E818" s="4" t="s">
        <v>89</v>
      </c>
      <c r="F818" s="4" t="s">
        <v>3448</v>
      </c>
      <c r="G818" s="4" t="s">
        <v>122</v>
      </c>
      <c r="H818" s="4" t="s">
        <v>28</v>
      </c>
      <c r="I818" s="4" t="s">
        <v>430</v>
      </c>
      <c r="J818" s="4" t="s">
        <v>92</v>
      </c>
      <c r="K818" s="4" t="s">
        <v>3446</v>
      </c>
      <c r="L818" s="4" t="str">
        <f aca="false">IF(TRIM(LOWER(E818))=TRIM(LOWER(J818)),"Match","Different")</f>
        <v>Different</v>
      </c>
    </row>
    <row r="819" customFormat="false" ht="15" hidden="false" customHeight="false" outlineLevel="0" collapsed="false">
      <c r="A819" s="4" t="s">
        <v>3449</v>
      </c>
      <c r="B819" s="4" t="s">
        <v>3450</v>
      </c>
      <c r="C819" s="4" t="s">
        <v>3451</v>
      </c>
      <c r="D819" s="4" t="s">
        <v>3452</v>
      </c>
      <c r="E819" s="4" t="s">
        <v>50</v>
      </c>
      <c r="F819" s="4" t="s">
        <v>3453</v>
      </c>
      <c r="G819" s="4" t="s">
        <v>82</v>
      </c>
      <c r="H819" s="4" t="s">
        <v>66</v>
      </c>
      <c r="I819" s="4" t="s">
        <v>91</v>
      </c>
      <c r="J819" s="4" t="s">
        <v>32</v>
      </c>
      <c r="K819" s="4" t="s">
        <v>3454</v>
      </c>
      <c r="L819" s="4" t="str">
        <f aca="false">IF(TRIM(LOWER(E819))=TRIM(LOWER(J819)),"Match","Different")</f>
        <v>Different</v>
      </c>
    </row>
    <row r="820" customFormat="false" ht="15" hidden="false" customHeight="false" outlineLevel="0" collapsed="false">
      <c r="A820" s="4" t="s">
        <v>3455</v>
      </c>
      <c r="B820" s="4" t="s">
        <v>3456</v>
      </c>
      <c r="C820" s="4" t="s">
        <v>3457</v>
      </c>
      <c r="D820" s="4" t="s">
        <v>3458</v>
      </c>
      <c r="E820" s="4" t="s">
        <v>50</v>
      </c>
      <c r="F820" s="4" t="s">
        <v>3459</v>
      </c>
      <c r="G820" s="4" t="s">
        <v>122</v>
      </c>
      <c r="H820" s="4" t="s">
        <v>39</v>
      </c>
      <c r="I820" s="4" t="s">
        <v>402</v>
      </c>
      <c r="J820" s="4" t="s">
        <v>32</v>
      </c>
      <c r="K820" s="4" t="s">
        <v>3460</v>
      </c>
      <c r="L820" s="4" t="str">
        <f aca="false">IF(TRIM(LOWER(E820))=TRIM(LOWER(J820)),"Match","Different")</f>
        <v>Different</v>
      </c>
    </row>
    <row r="821" customFormat="false" ht="15" hidden="false" customHeight="false" outlineLevel="0" collapsed="false">
      <c r="A821" s="4" t="s">
        <v>3461</v>
      </c>
      <c r="B821" s="4" t="s">
        <v>3462</v>
      </c>
      <c r="C821" s="4" t="s">
        <v>3463</v>
      </c>
      <c r="D821" s="4" t="s">
        <v>3464</v>
      </c>
      <c r="E821" s="4" t="s">
        <v>25</v>
      </c>
      <c r="F821" s="4" t="s">
        <v>3465</v>
      </c>
      <c r="G821" s="4" t="s">
        <v>122</v>
      </c>
      <c r="H821" s="4" t="s">
        <v>28</v>
      </c>
      <c r="I821" s="4" t="s">
        <v>123</v>
      </c>
      <c r="J821" s="4" t="s">
        <v>32</v>
      </c>
      <c r="K821" s="4" t="s">
        <v>3463</v>
      </c>
      <c r="L821" s="4" t="str">
        <f aca="false">IF(TRIM(LOWER(E821))=TRIM(LOWER(J821)),"Match","Different")</f>
        <v>Different</v>
      </c>
    </row>
    <row r="822" customFormat="false" ht="15" hidden="false" customHeight="false" outlineLevel="0" collapsed="false">
      <c r="A822" s="4" t="s">
        <v>3466</v>
      </c>
      <c r="B822" s="4" t="s">
        <v>3462</v>
      </c>
      <c r="C822" s="4"/>
      <c r="D822" s="4"/>
      <c r="E822" s="4" t="s">
        <v>32</v>
      </c>
      <c r="F822" s="4" t="s">
        <v>3465</v>
      </c>
      <c r="G822" s="4" t="s">
        <v>122</v>
      </c>
      <c r="H822" s="4" t="s">
        <v>28</v>
      </c>
      <c r="I822" s="4" t="s">
        <v>123</v>
      </c>
      <c r="J822" s="4" t="s">
        <v>32</v>
      </c>
      <c r="K822" s="4" t="s">
        <v>3463</v>
      </c>
      <c r="L822" s="4" t="str">
        <f aca="false">IF(TRIM(LOWER(E822))=TRIM(LOWER(J822)),"Match","Different")</f>
        <v>Match</v>
      </c>
    </row>
    <row r="823" customFormat="false" ht="15" hidden="false" customHeight="false" outlineLevel="0" collapsed="false">
      <c r="A823" s="4" t="s">
        <v>3467</v>
      </c>
      <c r="B823" s="4" t="s">
        <v>3462</v>
      </c>
      <c r="C823" s="4"/>
      <c r="D823" s="4"/>
      <c r="E823" s="4" t="s">
        <v>32</v>
      </c>
      <c r="F823" s="4" t="s">
        <v>3465</v>
      </c>
      <c r="G823" s="4" t="s">
        <v>122</v>
      </c>
      <c r="H823" s="4" t="s">
        <v>28</v>
      </c>
      <c r="I823" s="4" t="s">
        <v>123</v>
      </c>
      <c r="J823" s="4" t="s">
        <v>32</v>
      </c>
      <c r="K823" s="4" t="s">
        <v>3463</v>
      </c>
      <c r="L823" s="4" t="str">
        <f aca="false">IF(TRIM(LOWER(E823))=TRIM(LOWER(J823)),"Match","Different")</f>
        <v>Match</v>
      </c>
    </row>
    <row r="824" customFormat="false" ht="15" hidden="false" customHeight="false" outlineLevel="0" collapsed="false">
      <c r="A824" s="4" t="s">
        <v>3468</v>
      </c>
      <c r="B824" s="4" t="s">
        <v>3462</v>
      </c>
      <c r="C824" s="4"/>
      <c r="D824" s="4"/>
      <c r="E824" s="4" t="s">
        <v>32</v>
      </c>
      <c r="F824" s="4" t="s">
        <v>3465</v>
      </c>
      <c r="G824" s="4" t="s">
        <v>122</v>
      </c>
      <c r="H824" s="4" t="s">
        <v>28</v>
      </c>
      <c r="I824" s="4" t="s">
        <v>123</v>
      </c>
      <c r="J824" s="4" t="s">
        <v>32</v>
      </c>
      <c r="K824" s="4" t="s">
        <v>3463</v>
      </c>
      <c r="L824" s="4" t="str">
        <f aca="false">IF(TRIM(LOWER(E824))=TRIM(LOWER(J824)),"Match","Different")</f>
        <v>Match</v>
      </c>
    </row>
    <row r="825" customFormat="false" ht="15" hidden="false" customHeight="false" outlineLevel="0" collapsed="false">
      <c r="A825" s="4" t="s">
        <v>3469</v>
      </c>
      <c r="B825" s="4" t="s">
        <v>3470</v>
      </c>
      <c r="C825" s="4" t="s">
        <v>3471</v>
      </c>
      <c r="D825" s="4"/>
      <c r="E825" s="4" t="s">
        <v>89</v>
      </c>
      <c r="F825" s="4" t="s">
        <v>3472</v>
      </c>
      <c r="G825" s="4" t="s">
        <v>575</v>
      </c>
      <c r="H825" s="4" t="s">
        <v>66</v>
      </c>
      <c r="I825" s="4" t="s">
        <v>91</v>
      </c>
      <c r="J825" s="4" t="s">
        <v>30</v>
      </c>
      <c r="K825" s="4" t="s">
        <v>3473</v>
      </c>
      <c r="L825" s="4" t="str">
        <f aca="false">IF(TRIM(LOWER(E825))=TRIM(LOWER(J825)),"Match","Different")</f>
        <v>Different</v>
      </c>
    </row>
    <row r="826" customFormat="false" ht="15" hidden="false" customHeight="false" outlineLevel="0" collapsed="false">
      <c r="A826" s="4" t="s">
        <v>3474</v>
      </c>
      <c r="B826" s="4" t="s">
        <v>3475</v>
      </c>
      <c r="C826" s="4" t="s">
        <v>3476</v>
      </c>
      <c r="D826" s="4" t="s">
        <v>3477</v>
      </c>
      <c r="E826" s="4" t="s">
        <v>104</v>
      </c>
      <c r="F826" s="4" t="s">
        <v>3478</v>
      </c>
      <c r="G826" s="4" t="s">
        <v>122</v>
      </c>
      <c r="H826" s="4" t="s">
        <v>28</v>
      </c>
      <c r="I826" s="4" t="s">
        <v>91</v>
      </c>
      <c r="J826" s="4" t="s">
        <v>104</v>
      </c>
      <c r="K826" s="4" t="s">
        <v>3476</v>
      </c>
      <c r="L826" s="4" t="str">
        <f aca="false">IF(TRIM(LOWER(E826))=TRIM(LOWER(J826)),"Match","Different")</f>
        <v>Match</v>
      </c>
    </row>
    <row r="827" customFormat="false" ht="15" hidden="false" customHeight="false" outlineLevel="0" collapsed="false">
      <c r="A827" s="4" t="s">
        <v>2758</v>
      </c>
      <c r="B827" s="4" t="s">
        <v>3475</v>
      </c>
      <c r="C827" s="4"/>
      <c r="D827" s="4"/>
      <c r="E827" s="4" t="s">
        <v>383</v>
      </c>
      <c r="F827" s="4" t="s">
        <v>3478</v>
      </c>
      <c r="G827" s="4" t="s">
        <v>122</v>
      </c>
      <c r="H827" s="4" t="s">
        <v>28</v>
      </c>
      <c r="I827" s="4" t="s">
        <v>91</v>
      </c>
      <c r="J827" s="4" t="s">
        <v>104</v>
      </c>
      <c r="K827" s="4" t="s">
        <v>3476</v>
      </c>
      <c r="L827" s="4" t="str">
        <f aca="false">IF(TRIM(LOWER(E827))=TRIM(LOWER(J827)),"Match","Different")</f>
        <v>Different</v>
      </c>
    </row>
    <row r="828" customFormat="false" ht="15" hidden="false" customHeight="false" outlineLevel="0" collapsed="false">
      <c r="A828" s="4" t="s">
        <v>3479</v>
      </c>
      <c r="B828" s="4" t="s">
        <v>3480</v>
      </c>
      <c r="C828" s="4" t="s">
        <v>3481</v>
      </c>
      <c r="D828" s="4" t="s">
        <v>3482</v>
      </c>
      <c r="E828" s="4" t="s">
        <v>64</v>
      </c>
      <c r="F828" s="4" t="s">
        <v>3483</v>
      </c>
      <c r="G828" s="4" t="s">
        <v>56</v>
      </c>
      <c r="H828" s="4" t="s">
        <v>66</v>
      </c>
      <c r="I828" s="4" t="s">
        <v>297</v>
      </c>
      <c r="J828" s="4" t="s">
        <v>64</v>
      </c>
      <c r="K828" s="4" t="s">
        <v>3484</v>
      </c>
      <c r="L828" s="4" t="str">
        <f aca="false">IF(TRIM(LOWER(E828))=TRIM(LOWER(J828)),"Match","Different")</f>
        <v>Match</v>
      </c>
    </row>
    <row r="829" customFormat="false" ht="15" hidden="false" customHeight="false" outlineLevel="0" collapsed="false">
      <c r="A829" s="4" t="s">
        <v>3479</v>
      </c>
      <c r="B829" s="4" t="s">
        <v>3480</v>
      </c>
      <c r="C829" s="4" t="s">
        <v>3484</v>
      </c>
      <c r="D829" s="4"/>
      <c r="E829" s="4" t="s">
        <v>341</v>
      </c>
      <c r="F829" s="4" t="s">
        <v>3483</v>
      </c>
      <c r="G829" s="4" t="s">
        <v>56</v>
      </c>
      <c r="H829" s="4" t="s">
        <v>66</v>
      </c>
      <c r="I829" s="4" t="s">
        <v>297</v>
      </c>
      <c r="J829" s="4" t="s">
        <v>64</v>
      </c>
      <c r="K829" s="4" t="s">
        <v>3484</v>
      </c>
      <c r="L829" s="4" t="str">
        <f aca="false">IF(TRIM(LOWER(E829))=TRIM(LOWER(J829)),"Match","Different")</f>
        <v>Different</v>
      </c>
    </row>
    <row r="830" customFormat="false" ht="15" hidden="false" customHeight="false" outlineLevel="0" collapsed="false">
      <c r="A830" s="4" t="s">
        <v>3485</v>
      </c>
      <c r="B830" s="4" t="s">
        <v>3486</v>
      </c>
      <c r="C830" s="4" t="s">
        <v>3487</v>
      </c>
      <c r="D830" s="4" t="s">
        <v>3488</v>
      </c>
      <c r="E830" s="4" t="s">
        <v>54</v>
      </c>
      <c r="F830" s="4" t="s">
        <v>3489</v>
      </c>
      <c r="G830" s="4" t="s">
        <v>359</v>
      </c>
      <c r="H830" s="4" t="s">
        <v>39</v>
      </c>
      <c r="I830" s="4" t="s">
        <v>208</v>
      </c>
      <c r="J830" s="4" t="s">
        <v>58</v>
      </c>
      <c r="K830" s="4" t="s">
        <v>3490</v>
      </c>
      <c r="L830" s="4" t="str">
        <f aca="false">IF(TRIM(LOWER(E830))=TRIM(LOWER(J830)),"Match","Different")</f>
        <v>Different</v>
      </c>
    </row>
    <row r="831" customFormat="false" ht="15" hidden="false" customHeight="false" outlineLevel="0" collapsed="false">
      <c r="A831" s="4" t="s">
        <v>3491</v>
      </c>
      <c r="B831" s="4" t="s">
        <v>3492</v>
      </c>
      <c r="C831" s="4" t="s">
        <v>3493</v>
      </c>
      <c r="D831" s="4"/>
      <c r="E831" s="4" t="s">
        <v>104</v>
      </c>
      <c r="F831" s="4" t="s">
        <v>3494</v>
      </c>
      <c r="G831" s="4" t="s">
        <v>128</v>
      </c>
      <c r="H831" s="4" t="s">
        <v>48</v>
      </c>
      <c r="I831" s="4" t="s">
        <v>3495</v>
      </c>
      <c r="J831" s="4" t="s">
        <v>104</v>
      </c>
      <c r="K831" s="4" t="s">
        <v>3496</v>
      </c>
      <c r="L831" s="4" t="str">
        <f aca="false">IF(TRIM(LOWER(E831))=TRIM(LOWER(J831)),"Match","Different")</f>
        <v>Match</v>
      </c>
    </row>
    <row r="832" customFormat="false" ht="15" hidden="false" customHeight="false" outlineLevel="0" collapsed="false">
      <c r="A832" s="4" t="s">
        <v>3497</v>
      </c>
      <c r="B832" s="4" t="s">
        <v>3492</v>
      </c>
      <c r="C832" s="4" t="s">
        <v>3498</v>
      </c>
      <c r="D832" s="4" t="s">
        <v>3499</v>
      </c>
      <c r="E832" s="4" t="s">
        <v>64</v>
      </c>
      <c r="F832" s="4" t="s">
        <v>3494</v>
      </c>
      <c r="G832" s="4" t="s">
        <v>128</v>
      </c>
      <c r="H832" s="4" t="s">
        <v>48</v>
      </c>
      <c r="I832" s="4" t="s">
        <v>3495</v>
      </c>
      <c r="J832" s="4" t="s">
        <v>104</v>
      </c>
      <c r="K832" s="4" t="s">
        <v>3496</v>
      </c>
      <c r="L832" s="4" t="str">
        <f aca="false">IF(TRIM(LOWER(E832))=TRIM(LOWER(J832)),"Match","Different")</f>
        <v>Different</v>
      </c>
    </row>
    <row r="833" customFormat="false" ht="15" hidden="false" customHeight="false" outlineLevel="0" collapsed="false">
      <c r="A833" s="4" t="s">
        <v>3500</v>
      </c>
      <c r="B833" s="4" t="s">
        <v>3501</v>
      </c>
      <c r="C833" s="4" t="s">
        <v>3502</v>
      </c>
      <c r="D833" s="4" t="s">
        <v>3503</v>
      </c>
      <c r="E833" s="4" t="s">
        <v>64</v>
      </c>
      <c r="F833" s="4" t="s">
        <v>3504</v>
      </c>
      <c r="G833" s="4" t="s">
        <v>128</v>
      </c>
      <c r="H833" s="4" t="s">
        <v>39</v>
      </c>
      <c r="I833" s="4" t="s">
        <v>821</v>
      </c>
      <c r="J833" s="4" t="s">
        <v>64</v>
      </c>
      <c r="K833" s="4" t="s">
        <v>3505</v>
      </c>
      <c r="L833" s="4" t="str">
        <f aca="false">IF(TRIM(LOWER(E833))=TRIM(LOWER(J833)),"Match","Different")</f>
        <v>Match</v>
      </c>
    </row>
    <row r="834" customFormat="false" ht="15" hidden="false" customHeight="false" outlineLevel="0" collapsed="false">
      <c r="A834" s="4" t="s">
        <v>3506</v>
      </c>
      <c r="B834" s="4" t="s">
        <v>3501</v>
      </c>
      <c r="C834" s="4" t="s">
        <v>3507</v>
      </c>
      <c r="D834" s="4" t="s">
        <v>3508</v>
      </c>
      <c r="E834" s="4" t="s">
        <v>64</v>
      </c>
      <c r="F834" s="4" t="s">
        <v>3504</v>
      </c>
      <c r="G834" s="4" t="s">
        <v>128</v>
      </c>
      <c r="H834" s="4" t="s">
        <v>39</v>
      </c>
      <c r="I834" s="4" t="s">
        <v>821</v>
      </c>
      <c r="J834" s="4" t="s">
        <v>64</v>
      </c>
      <c r="K834" s="4" t="s">
        <v>3505</v>
      </c>
      <c r="L834" s="4" t="str">
        <f aca="false">IF(TRIM(LOWER(E834))=TRIM(LOWER(J834)),"Match","Different")</f>
        <v>Match</v>
      </c>
    </row>
    <row r="835" customFormat="false" ht="15" hidden="false" customHeight="false" outlineLevel="0" collapsed="false">
      <c r="A835" s="4" t="s">
        <v>3509</v>
      </c>
      <c r="B835" s="4" t="s">
        <v>3510</v>
      </c>
      <c r="C835" s="4"/>
      <c r="D835" s="4" t="s">
        <v>3511</v>
      </c>
      <c r="E835" s="4" t="s">
        <v>383</v>
      </c>
      <c r="F835" s="4" t="s">
        <v>3512</v>
      </c>
      <c r="G835" s="4" t="s">
        <v>98</v>
      </c>
      <c r="H835" s="4" t="s">
        <v>39</v>
      </c>
      <c r="I835" s="4" t="s">
        <v>531</v>
      </c>
      <c r="J835" s="4" t="s">
        <v>392</v>
      </c>
      <c r="K835" s="4" t="s">
        <v>3513</v>
      </c>
      <c r="L835" s="4" t="str">
        <f aca="false">IF(TRIM(LOWER(E835))=TRIM(LOWER(J835)),"Match","Different")</f>
        <v>Different</v>
      </c>
    </row>
    <row r="836" customFormat="false" ht="15" hidden="false" customHeight="false" outlineLevel="0" collapsed="false">
      <c r="A836" s="4" t="s">
        <v>3514</v>
      </c>
      <c r="B836" s="4" t="s">
        <v>3510</v>
      </c>
      <c r="C836" s="4" t="s">
        <v>3515</v>
      </c>
      <c r="D836" s="4" t="s">
        <v>3516</v>
      </c>
      <c r="E836" s="4" t="s">
        <v>25</v>
      </c>
      <c r="F836" s="4" t="s">
        <v>3512</v>
      </c>
      <c r="G836" s="4" t="s">
        <v>98</v>
      </c>
      <c r="H836" s="4" t="s">
        <v>39</v>
      </c>
      <c r="I836" s="4" t="s">
        <v>531</v>
      </c>
      <c r="J836" s="4" t="s">
        <v>392</v>
      </c>
      <c r="K836" s="4" t="s">
        <v>3513</v>
      </c>
      <c r="L836" s="4" t="str">
        <f aca="false">IF(TRIM(LOWER(E836))=TRIM(LOWER(J836)),"Match","Different")</f>
        <v>Different</v>
      </c>
    </row>
    <row r="837" customFormat="false" ht="15" hidden="false" customHeight="false" outlineLevel="0" collapsed="false">
      <c r="A837" s="4" t="s">
        <v>3517</v>
      </c>
      <c r="B837" s="4" t="s">
        <v>3510</v>
      </c>
      <c r="C837" s="4" t="s">
        <v>3513</v>
      </c>
      <c r="D837" s="4" t="s">
        <v>3518</v>
      </c>
      <c r="E837" s="4" t="s">
        <v>25</v>
      </c>
      <c r="F837" s="4" t="s">
        <v>3512</v>
      </c>
      <c r="G837" s="4" t="s">
        <v>98</v>
      </c>
      <c r="H837" s="4" t="s">
        <v>39</v>
      </c>
      <c r="I837" s="4" t="s">
        <v>531</v>
      </c>
      <c r="J837" s="4" t="s">
        <v>392</v>
      </c>
      <c r="K837" s="4" t="s">
        <v>3513</v>
      </c>
      <c r="L837" s="4" t="str">
        <f aca="false">IF(TRIM(LOWER(E837))=TRIM(LOWER(J837)),"Match","Different")</f>
        <v>Different</v>
      </c>
    </row>
    <row r="838" customFormat="false" ht="15" hidden="false" customHeight="false" outlineLevel="0" collapsed="false">
      <c r="A838" s="4" t="s">
        <v>3519</v>
      </c>
      <c r="B838" s="4" t="s">
        <v>3520</v>
      </c>
      <c r="C838" s="4" t="s">
        <v>3521</v>
      </c>
      <c r="D838" s="4"/>
      <c r="E838" s="4" t="s">
        <v>54</v>
      </c>
      <c r="F838" s="4" t="s">
        <v>3522</v>
      </c>
      <c r="G838" s="4" t="s">
        <v>27</v>
      </c>
      <c r="H838" s="4" t="s">
        <v>39</v>
      </c>
      <c r="I838" s="4" t="s">
        <v>147</v>
      </c>
      <c r="J838" s="4" t="s">
        <v>32</v>
      </c>
      <c r="K838" s="4" t="s">
        <v>3521</v>
      </c>
      <c r="L838" s="4" t="str">
        <f aca="false">IF(TRIM(LOWER(E838))=TRIM(LOWER(J838)),"Match","Different")</f>
        <v>Different</v>
      </c>
    </row>
    <row r="839" customFormat="false" ht="15" hidden="false" customHeight="false" outlineLevel="0" collapsed="false">
      <c r="A839" s="4" t="s">
        <v>3523</v>
      </c>
      <c r="B839" s="4" t="s">
        <v>3520</v>
      </c>
      <c r="C839" s="4" t="s">
        <v>3524</v>
      </c>
      <c r="D839" s="4"/>
      <c r="E839" s="4" t="s">
        <v>54</v>
      </c>
      <c r="F839" s="4" t="s">
        <v>3522</v>
      </c>
      <c r="G839" s="4" t="s">
        <v>27</v>
      </c>
      <c r="H839" s="4" t="s">
        <v>39</v>
      </c>
      <c r="I839" s="4" t="s">
        <v>147</v>
      </c>
      <c r="J839" s="4" t="s">
        <v>32</v>
      </c>
      <c r="K839" s="4" t="s">
        <v>3521</v>
      </c>
      <c r="L839" s="4" t="str">
        <f aca="false">IF(TRIM(LOWER(E839))=TRIM(LOWER(J839)),"Match","Different")</f>
        <v>Different</v>
      </c>
    </row>
    <row r="840" customFormat="false" ht="15" hidden="false" customHeight="false" outlineLevel="0" collapsed="false">
      <c r="A840" s="4" t="s">
        <v>3525</v>
      </c>
      <c r="B840" s="4" t="s">
        <v>3526</v>
      </c>
      <c r="C840" s="4" t="s">
        <v>3527</v>
      </c>
      <c r="D840" s="4" t="s">
        <v>3528</v>
      </c>
      <c r="E840" s="4" t="s">
        <v>89</v>
      </c>
      <c r="F840" s="4" t="s">
        <v>3529</v>
      </c>
      <c r="G840" s="4" t="s">
        <v>128</v>
      </c>
      <c r="H840" s="4" t="s">
        <v>39</v>
      </c>
      <c r="I840" s="4" t="s">
        <v>67</v>
      </c>
      <c r="J840" s="4" t="s">
        <v>92</v>
      </c>
      <c r="K840" s="4" t="s">
        <v>3530</v>
      </c>
      <c r="L840" s="4" t="str">
        <f aca="false">IF(TRIM(LOWER(E840))=TRIM(LOWER(J840)),"Match","Different")</f>
        <v>Different</v>
      </c>
    </row>
    <row r="841" customFormat="false" ht="15" hidden="false" customHeight="false" outlineLevel="0" collapsed="false">
      <c r="A841" s="4" t="s">
        <v>3531</v>
      </c>
      <c r="B841" s="4" t="s">
        <v>3532</v>
      </c>
      <c r="C841" s="4" t="s">
        <v>3533</v>
      </c>
      <c r="D841" s="4" t="s">
        <v>3534</v>
      </c>
      <c r="E841" s="4" t="s">
        <v>89</v>
      </c>
      <c r="F841" s="4" t="s">
        <v>3535</v>
      </c>
      <c r="G841" s="4" t="s">
        <v>359</v>
      </c>
      <c r="H841" s="4" t="s">
        <v>39</v>
      </c>
      <c r="I841" s="4" t="s">
        <v>39</v>
      </c>
      <c r="J841" s="4" t="s">
        <v>92</v>
      </c>
      <c r="K841" s="4"/>
      <c r="L841" s="4" t="str">
        <f aca="false">IF(TRIM(LOWER(E841))=TRIM(LOWER(J841)),"Match","Different")</f>
        <v>Different</v>
      </c>
    </row>
    <row r="842" customFormat="false" ht="15" hidden="false" customHeight="false" outlineLevel="0" collapsed="false">
      <c r="A842" s="4" t="s">
        <v>3536</v>
      </c>
      <c r="B842" s="4" t="s">
        <v>3537</v>
      </c>
      <c r="C842" s="4" t="s">
        <v>3538</v>
      </c>
      <c r="D842" s="4" t="s">
        <v>3539</v>
      </c>
      <c r="E842" s="4" t="s">
        <v>25</v>
      </c>
      <c r="F842" s="4" t="s">
        <v>3540</v>
      </c>
      <c r="G842" s="4" t="s">
        <v>38</v>
      </c>
      <c r="H842" s="4" t="s">
        <v>39</v>
      </c>
      <c r="I842" s="4" t="s">
        <v>99</v>
      </c>
      <c r="J842" s="4" t="s">
        <v>32</v>
      </c>
      <c r="K842" s="4" t="s">
        <v>3541</v>
      </c>
      <c r="L842" s="4" t="str">
        <f aca="false">IF(TRIM(LOWER(E842))=TRIM(LOWER(J842)),"Match","Different")</f>
        <v>Different</v>
      </c>
    </row>
    <row r="843" customFormat="false" ht="15" hidden="false" customHeight="false" outlineLevel="0" collapsed="false">
      <c r="A843" s="4" t="s">
        <v>3542</v>
      </c>
      <c r="B843" s="4" t="s">
        <v>3543</v>
      </c>
      <c r="C843" s="4" t="s">
        <v>3544</v>
      </c>
      <c r="D843" s="4" t="s">
        <v>3545</v>
      </c>
      <c r="E843" s="4" t="s">
        <v>64</v>
      </c>
      <c r="F843" s="4" t="s">
        <v>3546</v>
      </c>
      <c r="G843" s="4" t="s">
        <v>122</v>
      </c>
      <c r="H843" s="4" t="s">
        <v>39</v>
      </c>
      <c r="I843" s="4" t="s">
        <v>83</v>
      </c>
      <c r="J843" s="4" t="s">
        <v>64</v>
      </c>
      <c r="K843" s="4" t="s">
        <v>3544</v>
      </c>
      <c r="L843" s="4" t="str">
        <f aca="false">IF(TRIM(LOWER(E843))=TRIM(LOWER(J843)),"Match","Different")</f>
        <v>Match</v>
      </c>
    </row>
    <row r="844" customFormat="false" ht="15" hidden="false" customHeight="false" outlineLevel="0" collapsed="false">
      <c r="A844" s="4" t="s">
        <v>3547</v>
      </c>
      <c r="B844" s="4" t="s">
        <v>3543</v>
      </c>
      <c r="C844" s="4" t="s">
        <v>3548</v>
      </c>
      <c r="D844" s="4" t="s">
        <v>3549</v>
      </c>
      <c r="E844" s="4" t="s">
        <v>64</v>
      </c>
      <c r="F844" s="4" t="s">
        <v>3546</v>
      </c>
      <c r="G844" s="4" t="s">
        <v>122</v>
      </c>
      <c r="H844" s="4" t="s">
        <v>39</v>
      </c>
      <c r="I844" s="4" t="s">
        <v>83</v>
      </c>
      <c r="J844" s="4" t="s">
        <v>64</v>
      </c>
      <c r="K844" s="4" t="s">
        <v>3544</v>
      </c>
      <c r="L844" s="4" t="str">
        <f aca="false">IF(TRIM(LOWER(E844))=TRIM(LOWER(J844)),"Match","Different")</f>
        <v>Match</v>
      </c>
    </row>
    <row r="845" customFormat="false" ht="15" hidden="false" customHeight="false" outlineLevel="0" collapsed="false">
      <c r="A845" s="4" t="s">
        <v>3550</v>
      </c>
      <c r="B845" s="4" t="s">
        <v>3551</v>
      </c>
      <c r="C845" s="4" t="s">
        <v>3552</v>
      </c>
      <c r="D845" s="4"/>
      <c r="E845" s="4" t="s">
        <v>54</v>
      </c>
      <c r="F845" s="4" t="s">
        <v>3553</v>
      </c>
      <c r="G845" s="4" t="s">
        <v>27</v>
      </c>
      <c r="H845" s="4" t="s">
        <v>39</v>
      </c>
      <c r="I845" s="4" t="s">
        <v>993</v>
      </c>
      <c r="J845" s="4" t="s">
        <v>100</v>
      </c>
      <c r="K845" s="4" t="s">
        <v>3554</v>
      </c>
      <c r="L845" s="4" t="str">
        <f aca="false">IF(TRIM(LOWER(E845))=TRIM(LOWER(J845)),"Match","Different")</f>
        <v>Different</v>
      </c>
    </row>
    <row r="846" customFormat="false" ht="15" hidden="false" customHeight="false" outlineLevel="0" collapsed="false">
      <c r="A846" s="4" t="s">
        <v>3555</v>
      </c>
      <c r="B846" s="4" t="s">
        <v>3556</v>
      </c>
      <c r="C846" s="4" t="s">
        <v>3557</v>
      </c>
      <c r="D846" s="4" t="s">
        <v>3558</v>
      </c>
      <c r="E846" s="4" t="s">
        <v>104</v>
      </c>
      <c r="F846" s="4" t="s">
        <v>3559</v>
      </c>
      <c r="G846" s="4" t="s">
        <v>136</v>
      </c>
      <c r="H846" s="4" t="s">
        <v>28</v>
      </c>
      <c r="I846" s="4" t="s">
        <v>123</v>
      </c>
      <c r="J846" s="4" t="s">
        <v>30</v>
      </c>
      <c r="K846" s="4" t="s">
        <v>3557</v>
      </c>
      <c r="L846" s="4" t="str">
        <f aca="false">IF(TRIM(LOWER(E846))=TRIM(LOWER(J846)),"Match","Different")</f>
        <v>Different</v>
      </c>
    </row>
    <row r="847" customFormat="false" ht="15" hidden="false" customHeight="false" outlineLevel="0" collapsed="false">
      <c r="A847" s="4" t="s">
        <v>3560</v>
      </c>
      <c r="B847" s="4" t="s">
        <v>3561</v>
      </c>
      <c r="C847" s="4" t="s">
        <v>3562</v>
      </c>
      <c r="D847" s="4" t="s">
        <v>3563</v>
      </c>
      <c r="E847" s="4" t="s">
        <v>64</v>
      </c>
      <c r="F847" s="4" t="s">
        <v>3564</v>
      </c>
      <c r="G847" s="4" t="s">
        <v>122</v>
      </c>
      <c r="H847" s="4" t="s">
        <v>66</v>
      </c>
      <c r="I847" s="4" t="s">
        <v>91</v>
      </c>
      <c r="J847" s="4" t="s">
        <v>64</v>
      </c>
      <c r="K847" s="4" t="s">
        <v>3562</v>
      </c>
      <c r="L847" s="4" t="str">
        <f aca="false">IF(TRIM(LOWER(E847))=TRIM(LOWER(J847)),"Match","Different")</f>
        <v>Match</v>
      </c>
    </row>
    <row r="848" customFormat="false" ht="15" hidden="false" customHeight="false" outlineLevel="0" collapsed="false">
      <c r="A848" s="4" t="s">
        <v>3565</v>
      </c>
      <c r="B848" s="4" t="s">
        <v>3561</v>
      </c>
      <c r="C848" s="4"/>
      <c r="D848" s="4" t="s">
        <v>3563</v>
      </c>
      <c r="E848" s="4" t="s">
        <v>383</v>
      </c>
      <c r="F848" s="4" t="s">
        <v>3564</v>
      </c>
      <c r="G848" s="4" t="s">
        <v>122</v>
      </c>
      <c r="H848" s="4" t="s">
        <v>66</v>
      </c>
      <c r="I848" s="4" t="s">
        <v>91</v>
      </c>
      <c r="J848" s="4" t="s">
        <v>64</v>
      </c>
      <c r="K848" s="4" t="s">
        <v>3562</v>
      </c>
      <c r="L848" s="4" t="str">
        <f aca="false">IF(TRIM(LOWER(E848))=TRIM(LOWER(J848)),"Match","Different")</f>
        <v>Different</v>
      </c>
    </row>
    <row r="849" customFormat="false" ht="15" hidden="false" customHeight="false" outlineLevel="0" collapsed="false">
      <c r="A849" s="4" t="s">
        <v>3566</v>
      </c>
      <c r="B849" s="4" t="s">
        <v>3567</v>
      </c>
      <c r="C849" s="4" t="s">
        <v>3568</v>
      </c>
      <c r="D849" s="4" t="s">
        <v>3569</v>
      </c>
      <c r="E849" s="4" t="s">
        <v>104</v>
      </c>
      <c r="F849" s="4" t="s">
        <v>3570</v>
      </c>
      <c r="G849" s="4" t="s">
        <v>128</v>
      </c>
      <c r="H849" s="4" t="s">
        <v>39</v>
      </c>
      <c r="I849" s="4" t="s">
        <v>3571</v>
      </c>
      <c r="J849" s="4" t="s">
        <v>104</v>
      </c>
      <c r="K849" s="4" t="s">
        <v>3572</v>
      </c>
      <c r="L849" s="4" t="str">
        <f aca="false">IF(TRIM(LOWER(E849))=TRIM(LOWER(J849)),"Match","Different")</f>
        <v>Match</v>
      </c>
    </row>
    <row r="850" customFormat="false" ht="15" hidden="false" customHeight="false" outlineLevel="0" collapsed="false">
      <c r="A850" s="4" t="s">
        <v>3573</v>
      </c>
      <c r="B850" s="4" t="s">
        <v>3567</v>
      </c>
      <c r="C850" s="4"/>
      <c r="D850" s="4" t="s">
        <v>3574</v>
      </c>
      <c r="E850" s="4" t="s">
        <v>383</v>
      </c>
      <c r="F850" s="4" t="s">
        <v>3570</v>
      </c>
      <c r="G850" s="4" t="s">
        <v>128</v>
      </c>
      <c r="H850" s="4" t="s">
        <v>39</v>
      </c>
      <c r="I850" s="4" t="s">
        <v>3571</v>
      </c>
      <c r="J850" s="4" t="s">
        <v>104</v>
      </c>
      <c r="K850" s="4" t="s">
        <v>3572</v>
      </c>
      <c r="L850" s="4" t="str">
        <f aca="false">IF(TRIM(LOWER(E850))=TRIM(LOWER(J850)),"Match","Different")</f>
        <v>Different</v>
      </c>
    </row>
    <row r="851" customFormat="false" ht="15" hidden="false" customHeight="false" outlineLevel="0" collapsed="false">
      <c r="A851" s="4" t="s">
        <v>3575</v>
      </c>
      <c r="B851" s="4" t="s">
        <v>3576</v>
      </c>
      <c r="C851" s="4" t="s">
        <v>3577</v>
      </c>
      <c r="D851" s="4"/>
      <c r="E851" s="4" t="s">
        <v>50</v>
      </c>
      <c r="F851" s="4" t="s">
        <v>3578</v>
      </c>
      <c r="G851" s="4" t="s">
        <v>519</v>
      </c>
      <c r="H851" s="4" t="s">
        <v>39</v>
      </c>
      <c r="I851" s="4" t="s">
        <v>226</v>
      </c>
      <c r="J851" s="4" t="s">
        <v>30</v>
      </c>
      <c r="K851" s="4" t="s">
        <v>3579</v>
      </c>
      <c r="L851" s="4" t="str">
        <f aca="false">IF(TRIM(LOWER(E851))=TRIM(LOWER(J851)),"Match","Different")</f>
        <v>Different</v>
      </c>
    </row>
    <row r="852" customFormat="false" ht="15" hidden="false" customHeight="false" outlineLevel="0" collapsed="false">
      <c r="A852" s="4" t="s">
        <v>3580</v>
      </c>
      <c r="B852" s="4" t="s">
        <v>3581</v>
      </c>
      <c r="C852" s="4" t="s">
        <v>3582</v>
      </c>
      <c r="D852" s="4"/>
      <c r="E852" s="4" t="s">
        <v>341</v>
      </c>
      <c r="F852" s="4" t="s">
        <v>3583</v>
      </c>
      <c r="G852" s="4" t="s">
        <v>359</v>
      </c>
      <c r="H852" s="4" t="s">
        <v>28</v>
      </c>
      <c r="I852" s="4" t="s">
        <v>226</v>
      </c>
      <c r="J852" s="4" t="s">
        <v>30</v>
      </c>
      <c r="K852" s="4" t="s">
        <v>3582</v>
      </c>
      <c r="L852" s="4" t="str">
        <f aca="false">IF(TRIM(LOWER(E852))=TRIM(LOWER(J852)),"Match","Different")</f>
        <v>Different</v>
      </c>
    </row>
    <row r="853" customFormat="false" ht="15" hidden="false" customHeight="false" outlineLevel="0" collapsed="false">
      <c r="A853" s="4" t="s">
        <v>3584</v>
      </c>
      <c r="B853" s="4" t="s">
        <v>3585</v>
      </c>
      <c r="C853" s="4" t="s">
        <v>3586</v>
      </c>
      <c r="D853" s="4"/>
      <c r="E853" s="4" t="s">
        <v>341</v>
      </c>
      <c r="F853" s="4" t="s">
        <v>3587</v>
      </c>
      <c r="G853" s="4" t="s">
        <v>56</v>
      </c>
      <c r="H853" s="4" t="s">
        <v>39</v>
      </c>
      <c r="I853" s="4" t="s">
        <v>99</v>
      </c>
      <c r="J853" s="4" t="s">
        <v>50</v>
      </c>
      <c r="K853" s="4" t="s">
        <v>3586</v>
      </c>
      <c r="L853" s="4" t="str">
        <f aca="false">IF(TRIM(LOWER(E853))=TRIM(LOWER(J853)),"Match","Different")</f>
        <v>Different</v>
      </c>
    </row>
    <row r="854" customFormat="false" ht="15" hidden="false" customHeight="false" outlineLevel="0" collapsed="false">
      <c r="A854" s="4" t="s">
        <v>3588</v>
      </c>
      <c r="B854" s="4" t="s">
        <v>3589</v>
      </c>
      <c r="C854" s="4" t="s">
        <v>3590</v>
      </c>
      <c r="D854" s="4"/>
      <c r="E854" s="4" t="s">
        <v>54</v>
      </c>
      <c r="F854" s="4" t="s">
        <v>3591</v>
      </c>
      <c r="G854" s="4" t="s">
        <v>519</v>
      </c>
      <c r="H854" s="4" t="s">
        <v>39</v>
      </c>
      <c r="I854" s="4" t="s">
        <v>2169</v>
      </c>
      <c r="J854" s="4" t="s">
        <v>32</v>
      </c>
      <c r="K854" s="4" t="s">
        <v>3592</v>
      </c>
      <c r="L854" s="4" t="str">
        <f aca="false">IF(TRIM(LOWER(E854))=TRIM(LOWER(J854)),"Match","Different")</f>
        <v>Different</v>
      </c>
    </row>
    <row r="855" customFormat="false" ht="15" hidden="false" customHeight="false" outlineLevel="0" collapsed="false">
      <c r="A855" s="4" t="s">
        <v>3593</v>
      </c>
      <c r="B855" s="4" t="s">
        <v>3589</v>
      </c>
      <c r="C855" s="4" t="s">
        <v>3592</v>
      </c>
      <c r="D855" s="4"/>
      <c r="E855" s="4" t="s">
        <v>54</v>
      </c>
      <c r="F855" s="4" t="s">
        <v>3591</v>
      </c>
      <c r="G855" s="4" t="s">
        <v>519</v>
      </c>
      <c r="H855" s="4" t="s">
        <v>39</v>
      </c>
      <c r="I855" s="4" t="s">
        <v>2169</v>
      </c>
      <c r="J855" s="4" t="s">
        <v>32</v>
      </c>
      <c r="K855" s="4" t="s">
        <v>3592</v>
      </c>
      <c r="L855" s="4" t="str">
        <f aca="false">IF(TRIM(LOWER(E855))=TRIM(LOWER(J855)),"Match","Different")</f>
        <v>Different</v>
      </c>
    </row>
    <row r="856" customFormat="false" ht="15" hidden="false" customHeight="false" outlineLevel="0" collapsed="false">
      <c r="A856" s="4" t="s">
        <v>3594</v>
      </c>
      <c r="B856" s="4" t="s">
        <v>3595</v>
      </c>
      <c r="C856" s="4" t="s">
        <v>3596</v>
      </c>
      <c r="D856" s="4" t="s">
        <v>3597</v>
      </c>
      <c r="E856" s="4" t="s">
        <v>50</v>
      </c>
      <c r="F856" s="4" t="s">
        <v>3598</v>
      </c>
      <c r="G856" s="4" t="s">
        <v>38</v>
      </c>
      <c r="H856" s="4" t="s">
        <v>39</v>
      </c>
      <c r="I856" s="4" t="s">
        <v>99</v>
      </c>
      <c r="J856" s="4" t="s">
        <v>30</v>
      </c>
      <c r="K856" s="4" t="s">
        <v>3599</v>
      </c>
      <c r="L856" s="4" t="str">
        <f aca="false">IF(TRIM(LOWER(E856))=TRIM(LOWER(J856)),"Match","Different")</f>
        <v>Different</v>
      </c>
    </row>
    <row r="857" customFormat="false" ht="15" hidden="false" customHeight="false" outlineLevel="0" collapsed="false">
      <c r="A857" s="4" t="s">
        <v>3600</v>
      </c>
      <c r="B857" s="4" t="s">
        <v>3601</v>
      </c>
      <c r="C857" s="4" t="s">
        <v>3602</v>
      </c>
      <c r="D857" s="4" t="s">
        <v>3603</v>
      </c>
      <c r="E857" s="4" t="s">
        <v>64</v>
      </c>
      <c r="F857" s="4" t="s">
        <v>3604</v>
      </c>
      <c r="G857" s="4" t="s">
        <v>122</v>
      </c>
      <c r="H857" s="4" t="s">
        <v>28</v>
      </c>
      <c r="I857" s="4" t="s">
        <v>123</v>
      </c>
      <c r="J857" s="4" t="s">
        <v>100</v>
      </c>
      <c r="K857" s="4" t="s">
        <v>3605</v>
      </c>
      <c r="L857" s="4" t="str">
        <f aca="false">IF(TRIM(LOWER(E857))=TRIM(LOWER(J857)),"Match","Different")</f>
        <v>Different</v>
      </c>
    </row>
    <row r="858" customFormat="false" ht="15" hidden="false" customHeight="false" outlineLevel="0" collapsed="false">
      <c r="A858" s="4" t="s">
        <v>3606</v>
      </c>
      <c r="B858" s="4" t="s">
        <v>3607</v>
      </c>
      <c r="C858" s="4" t="s">
        <v>3608</v>
      </c>
      <c r="D858" s="4" t="s">
        <v>3609</v>
      </c>
      <c r="E858" s="4" t="s">
        <v>64</v>
      </c>
      <c r="F858" s="4" t="s">
        <v>3610</v>
      </c>
      <c r="G858" s="4" t="s">
        <v>122</v>
      </c>
      <c r="H858" s="4" t="s">
        <v>39</v>
      </c>
      <c r="I858" s="4" t="s">
        <v>3611</v>
      </c>
      <c r="J858" s="4" t="s">
        <v>64</v>
      </c>
      <c r="K858" s="4" t="s">
        <v>3612</v>
      </c>
      <c r="L858" s="4" t="str">
        <f aca="false">IF(TRIM(LOWER(E858))=TRIM(LOWER(J858)),"Match","Different")</f>
        <v>Match</v>
      </c>
    </row>
    <row r="859" customFormat="false" ht="15" hidden="false" customHeight="false" outlineLevel="0" collapsed="false">
      <c r="A859" s="4" t="s">
        <v>3613</v>
      </c>
      <c r="B859" s="4" t="s">
        <v>3614</v>
      </c>
      <c r="C859" s="4" t="s">
        <v>3615</v>
      </c>
      <c r="D859" s="4" t="s">
        <v>3616</v>
      </c>
      <c r="E859" s="4" t="s">
        <v>170</v>
      </c>
      <c r="F859" s="4" t="s">
        <v>3617</v>
      </c>
      <c r="G859" s="4" t="s">
        <v>56</v>
      </c>
      <c r="H859" s="4" t="s">
        <v>172</v>
      </c>
      <c r="I859" s="4" t="s">
        <v>3618</v>
      </c>
      <c r="J859" s="4" t="s">
        <v>174</v>
      </c>
      <c r="K859" s="4" t="s">
        <v>3619</v>
      </c>
      <c r="L859" s="4" t="str">
        <f aca="false">IF(TRIM(LOWER(E859))=TRIM(LOWER(J859)),"Match","Different")</f>
        <v>Different</v>
      </c>
    </row>
    <row r="860" customFormat="false" ht="15" hidden="false" customHeight="false" outlineLevel="0" collapsed="false">
      <c r="A860" s="4" t="s">
        <v>3620</v>
      </c>
      <c r="B860" s="4" t="s">
        <v>3614</v>
      </c>
      <c r="C860" s="4" t="s">
        <v>3621</v>
      </c>
      <c r="D860" s="4" t="s">
        <v>3622</v>
      </c>
      <c r="E860" s="4" t="s">
        <v>25</v>
      </c>
      <c r="F860" s="4" t="s">
        <v>3617</v>
      </c>
      <c r="G860" s="4" t="s">
        <v>56</v>
      </c>
      <c r="H860" s="4" t="s">
        <v>172</v>
      </c>
      <c r="I860" s="4" t="s">
        <v>3618</v>
      </c>
      <c r="J860" s="4" t="s">
        <v>174</v>
      </c>
      <c r="K860" s="4" t="s">
        <v>3619</v>
      </c>
      <c r="L860" s="4" t="str">
        <f aca="false">IF(TRIM(LOWER(E860))=TRIM(LOWER(J860)),"Match","Different")</f>
        <v>Different</v>
      </c>
    </row>
    <row r="861" customFormat="false" ht="15" hidden="false" customHeight="false" outlineLevel="0" collapsed="false">
      <c r="A861" s="4" t="s">
        <v>3620</v>
      </c>
      <c r="B861" s="4" t="s">
        <v>3614</v>
      </c>
      <c r="C861" s="4"/>
      <c r="D861" s="4"/>
      <c r="E861" s="4" t="s">
        <v>170</v>
      </c>
      <c r="F861" s="4" t="s">
        <v>3617</v>
      </c>
      <c r="G861" s="4" t="s">
        <v>56</v>
      </c>
      <c r="H861" s="4" t="s">
        <v>172</v>
      </c>
      <c r="I861" s="4" t="s">
        <v>3618</v>
      </c>
      <c r="J861" s="4" t="s">
        <v>174</v>
      </c>
      <c r="K861" s="4" t="s">
        <v>3619</v>
      </c>
      <c r="L861" s="4" t="str">
        <f aca="false">IF(TRIM(LOWER(E861))=TRIM(LOWER(J861)),"Match","Different")</f>
        <v>Different</v>
      </c>
    </row>
    <row r="862" customFormat="false" ht="15" hidden="false" customHeight="false" outlineLevel="0" collapsed="false">
      <c r="A862" s="4" t="s">
        <v>3623</v>
      </c>
      <c r="B862" s="4" t="s">
        <v>3624</v>
      </c>
      <c r="C862" s="4" t="s">
        <v>3625</v>
      </c>
      <c r="D862" s="4"/>
      <c r="E862" s="4" t="s">
        <v>50</v>
      </c>
      <c r="F862" s="4" t="s">
        <v>3626</v>
      </c>
      <c r="G862" s="4" t="s">
        <v>122</v>
      </c>
      <c r="H862" s="4" t="s">
        <v>66</v>
      </c>
      <c r="I862" s="4" t="s">
        <v>1087</v>
      </c>
      <c r="J862" s="4" t="s">
        <v>30</v>
      </c>
      <c r="K862" s="4" t="s">
        <v>3625</v>
      </c>
      <c r="L862" s="4" t="str">
        <f aca="false">IF(TRIM(LOWER(E862))=TRIM(LOWER(J862)),"Match","Different")</f>
        <v>Different</v>
      </c>
    </row>
    <row r="863" customFormat="false" ht="15" hidden="false" customHeight="false" outlineLevel="0" collapsed="false">
      <c r="A863" s="4" t="s">
        <v>3627</v>
      </c>
      <c r="B863" s="4" t="s">
        <v>3624</v>
      </c>
      <c r="C863" s="4" t="s">
        <v>3628</v>
      </c>
      <c r="D863" s="4"/>
      <c r="E863" s="4" t="s">
        <v>50</v>
      </c>
      <c r="F863" s="4" t="s">
        <v>3626</v>
      </c>
      <c r="G863" s="4" t="s">
        <v>122</v>
      </c>
      <c r="H863" s="4" t="s">
        <v>66</v>
      </c>
      <c r="I863" s="4" t="s">
        <v>1087</v>
      </c>
      <c r="J863" s="4" t="s">
        <v>30</v>
      </c>
      <c r="K863" s="4" t="s">
        <v>3625</v>
      </c>
      <c r="L863" s="4" t="str">
        <f aca="false">IF(TRIM(LOWER(E863))=TRIM(LOWER(J863)),"Match","Different")</f>
        <v>Different</v>
      </c>
    </row>
    <row r="864" customFormat="false" ht="15" hidden="false" customHeight="false" outlineLevel="0" collapsed="false">
      <c r="A864" s="4" t="s">
        <v>3629</v>
      </c>
      <c r="B864" s="4" t="s">
        <v>3630</v>
      </c>
      <c r="C864" s="4"/>
      <c r="D864" s="4" t="s">
        <v>3631</v>
      </c>
      <c r="E864" s="4" t="s">
        <v>3341</v>
      </c>
      <c r="F864" s="4" t="s">
        <v>3632</v>
      </c>
      <c r="G864" s="4" t="s">
        <v>38</v>
      </c>
      <c r="H864" s="4" t="s">
        <v>66</v>
      </c>
      <c r="I864" s="4" t="s">
        <v>40</v>
      </c>
      <c r="J864" s="4" t="s">
        <v>100</v>
      </c>
      <c r="K864" s="4" t="s">
        <v>3633</v>
      </c>
      <c r="L864" s="4" t="str">
        <f aca="false">IF(TRIM(LOWER(E864))=TRIM(LOWER(J864)),"Match","Different")</f>
        <v>Different</v>
      </c>
    </row>
    <row r="865" customFormat="false" ht="15" hidden="false" customHeight="false" outlineLevel="0" collapsed="false">
      <c r="A865" s="4" t="s">
        <v>3634</v>
      </c>
      <c r="B865" s="4" t="s">
        <v>3635</v>
      </c>
      <c r="C865" s="4" t="s">
        <v>3636</v>
      </c>
      <c r="D865" s="4" t="s">
        <v>3637</v>
      </c>
      <c r="E865" s="4" t="s">
        <v>89</v>
      </c>
      <c r="F865" s="4" t="s">
        <v>3638</v>
      </c>
      <c r="G865" s="4" t="s">
        <v>82</v>
      </c>
      <c r="H865" s="4" t="s">
        <v>66</v>
      </c>
      <c r="I865" s="4" t="s">
        <v>536</v>
      </c>
      <c r="J865" s="4" t="s">
        <v>100</v>
      </c>
      <c r="K865" s="4" t="s">
        <v>3639</v>
      </c>
      <c r="L865" s="4" t="str">
        <f aca="false">IF(TRIM(LOWER(E865))=TRIM(LOWER(J865)),"Match","Different")</f>
        <v>Different</v>
      </c>
    </row>
    <row r="866" customFormat="false" ht="15" hidden="false" customHeight="false" outlineLevel="0" collapsed="false">
      <c r="A866" s="4" t="s">
        <v>3640</v>
      </c>
      <c r="B866" s="4" t="s">
        <v>3641</v>
      </c>
      <c r="C866" s="4" t="s">
        <v>3642</v>
      </c>
      <c r="D866" s="4" t="s">
        <v>3643</v>
      </c>
      <c r="E866" s="4" t="s">
        <v>64</v>
      </c>
      <c r="F866" s="4" t="s">
        <v>3644</v>
      </c>
      <c r="G866" s="4" t="s">
        <v>122</v>
      </c>
      <c r="H866" s="4" t="s">
        <v>39</v>
      </c>
      <c r="I866" s="4" t="s">
        <v>67</v>
      </c>
      <c r="J866" s="4" t="s">
        <v>64</v>
      </c>
      <c r="K866" s="4" t="s">
        <v>3645</v>
      </c>
      <c r="L866" s="4" t="str">
        <f aca="false">IF(TRIM(LOWER(E866))=TRIM(LOWER(J866)),"Match","Different")</f>
        <v>Match</v>
      </c>
    </row>
    <row r="867" customFormat="false" ht="15" hidden="false" customHeight="false" outlineLevel="0" collapsed="false">
      <c r="A867" s="4" t="s">
        <v>3646</v>
      </c>
      <c r="B867" s="4" t="s">
        <v>3641</v>
      </c>
      <c r="C867" s="4" t="s">
        <v>3645</v>
      </c>
      <c r="D867" s="4" t="s">
        <v>3647</v>
      </c>
      <c r="E867" s="4" t="s">
        <v>64</v>
      </c>
      <c r="F867" s="4" t="s">
        <v>3644</v>
      </c>
      <c r="G867" s="4" t="s">
        <v>122</v>
      </c>
      <c r="H867" s="4" t="s">
        <v>39</v>
      </c>
      <c r="I867" s="4" t="s">
        <v>67</v>
      </c>
      <c r="J867" s="4" t="s">
        <v>64</v>
      </c>
      <c r="K867" s="4" t="s">
        <v>3645</v>
      </c>
      <c r="L867" s="4" t="str">
        <f aca="false">IF(TRIM(LOWER(E867))=TRIM(LOWER(J867)),"Match","Different")</f>
        <v>Match</v>
      </c>
    </row>
    <row r="868" customFormat="false" ht="15" hidden="false" customHeight="false" outlineLevel="0" collapsed="false">
      <c r="A868" s="4" t="s">
        <v>3648</v>
      </c>
      <c r="B868" s="4" t="s">
        <v>3649</v>
      </c>
      <c r="C868" s="4" t="s">
        <v>3650</v>
      </c>
      <c r="D868" s="4"/>
      <c r="E868" s="4" t="s">
        <v>341</v>
      </c>
      <c r="F868" s="4" t="s">
        <v>3651</v>
      </c>
      <c r="G868" s="4" t="s">
        <v>359</v>
      </c>
      <c r="H868" s="4" t="s">
        <v>498</v>
      </c>
      <c r="I868" s="4" t="s">
        <v>499</v>
      </c>
      <c r="J868" s="4" t="s">
        <v>32</v>
      </c>
      <c r="K868" s="4" t="s">
        <v>3650</v>
      </c>
      <c r="L868" s="4" t="str">
        <f aca="false">IF(TRIM(LOWER(E868))=TRIM(LOWER(J868)),"Match","Different")</f>
        <v>Different</v>
      </c>
    </row>
    <row r="869" customFormat="false" ht="15" hidden="false" customHeight="false" outlineLevel="0" collapsed="false">
      <c r="A869" s="4" t="s">
        <v>3652</v>
      </c>
      <c r="B869" s="4" t="s">
        <v>3653</v>
      </c>
      <c r="C869" s="4" t="s">
        <v>3654</v>
      </c>
      <c r="D869" s="4" t="s">
        <v>3655</v>
      </c>
      <c r="E869" s="4" t="s">
        <v>89</v>
      </c>
      <c r="F869" s="4" t="s">
        <v>3656</v>
      </c>
      <c r="G869" s="4" t="s">
        <v>27</v>
      </c>
      <c r="H869" s="4" t="s">
        <v>39</v>
      </c>
      <c r="I869" s="4" t="s">
        <v>91</v>
      </c>
      <c r="J869" s="4" t="s">
        <v>92</v>
      </c>
      <c r="K869" s="4" t="s">
        <v>3657</v>
      </c>
      <c r="L869" s="4" t="str">
        <f aca="false">IF(TRIM(LOWER(E869))=TRIM(LOWER(J869)),"Match","Different")</f>
        <v>Different</v>
      </c>
    </row>
    <row r="870" customFormat="false" ht="15" hidden="false" customHeight="false" outlineLevel="0" collapsed="false">
      <c r="A870" s="4" t="s">
        <v>3658</v>
      </c>
      <c r="B870" s="4" t="s">
        <v>3659</v>
      </c>
      <c r="C870" s="4" t="s">
        <v>3660</v>
      </c>
      <c r="D870" s="4" t="s">
        <v>3661</v>
      </c>
      <c r="E870" s="4" t="s">
        <v>25</v>
      </c>
      <c r="F870" s="4" t="s">
        <v>3662</v>
      </c>
      <c r="G870" s="4" t="s">
        <v>122</v>
      </c>
      <c r="H870" s="4" t="s">
        <v>28</v>
      </c>
      <c r="I870" s="4" t="s">
        <v>91</v>
      </c>
      <c r="J870" s="4" t="s">
        <v>50</v>
      </c>
      <c r="K870" s="4" t="s">
        <v>3660</v>
      </c>
      <c r="L870" s="4" t="str">
        <f aca="false">IF(TRIM(LOWER(E870))=TRIM(LOWER(J870)),"Match","Different")</f>
        <v>Different</v>
      </c>
    </row>
    <row r="871" customFormat="false" ht="15" hidden="false" customHeight="false" outlineLevel="0" collapsed="false">
      <c r="A871" s="4" t="s">
        <v>3663</v>
      </c>
      <c r="B871" s="4" t="s">
        <v>3664</v>
      </c>
      <c r="C871" s="4" t="s">
        <v>3665</v>
      </c>
      <c r="D871" s="4" t="s">
        <v>3666</v>
      </c>
      <c r="E871" s="4" t="s">
        <v>89</v>
      </c>
      <c r="F871" s="4" t="s">
        <v>3667</v>
      </c>
      <c r="G871" s="4" t="s">
        <v>27</v>
      </c>
      <c r="H871" s="4" t="s">
        <v>39</v>
      </c>
      <c r="I871" s="4" t="s">
        <v>821</v>
      </c>
      <c r="J871" s="4" t="s">
        <v>30</v>
      </c>
      <c r="K871" s="4" t="s">
        <v>3665</v>
      </c>
      <c r="L871" s="4" t="str">
        <f aca="false">IF(TRIM(LOWER(E871))=TRIM(LOWER(J871)),"Match","Different")</f>
        <v>Different</v>
      </c>
    </row>
    <row r="872" customFormat="false" ht="15" hidden="false" customHeight="false" outlineLevel="0" collapsed="false">
      <c r="A872" s="4" t="s">
        <v>3668</v>
      </c>
      <c r="B872" s="4" t="s">
        <v>3669</v>
      </c>
      <c r="C872" s="4" t="s">
        <v>3670</v>
      </c>
      <c r="D872" s="4"/>
      <c r="E872" s="4" t="s">
        <v>104</v>
      </c>
      <c r="F872" s="4" t="s">
        <v>3671</v>
      </c>
      <c r="G872" s="4" t="s">
        <v>38</v>
      </c>
      <c r="H872" s="4" t="s">
        <v>39</v>
      </c>
      <c r="I872" s="4" t="s">
        <v>99</v>
      </c>
      <c r="J872" s="4" t="s">
        <v>104</v>
      </c>
      <c r="K872" s="4" t="s">
        <v>3672</v>
      </c>
      <c r="L872" s="4" t="str">
        <f aca="false">IF(TRIM(LOWER(E872))=TRIM(LOWER(J872)),"Match","Different")</f>
        <v>Match</v>
      </c>
    </row>
    <row r="873" customFormat="false" ht="15" hidden="false" customHeight="false" outlineLevel="0" collapsed="false">
      <c r="A873" s="4" t="s">
        <v>3673</v>
      </c>
      <c r="B873" s="4" t="s">
        <v>3674</v>
      </c>
      <c r="C873" s="4" t="s">
        <v>3675</v>
      </c>
      <c r="D873" s="4" t="s">
        <v>3676</v>
      </c>
      <c r="E873" s="4" t="s">
        <v>25</v>
      </c>
      <c r="F873" s="4" t="s">
        <v>3677</v>
      </c>
      <c r="G873" s="4" t="s">
        <v>47</v>
      </c>
      <c r="H873" s="4" t="s">
        <v>743</v>
      </c>
      <c r="I873" s="4" t="s">
        <v>744</v>
      </c>
      <c r="J873" s="4" t="s">
        <v>112</v>
      </c>
      <c r="K873" s="4" t="s">
        <v>3678</v>
      </c>
      <c r="L873" s="4" t="str">
        <f aca="false">IF(TRIM(LOWER(E873))=TRIM(LOWER(J873)),"Match","Different")</f>
        <v>Different</v>
      </c>
    </row>
    <row r="874" customFormat="false" ht="15" hidden="false" customHeight="false" outlineLevel="0" collapsed="false">
      <c r="A874" s="4" t="s">
        <v>3679</v>
      </c>
      <c r="B874" s="4" t="s">
        <v>3674</v>
      </c>
      <c r="C874" s="4" t="s">
        <v>3680</v>
      </c>
      <c r="D874" s="4" t="s">
        <v>3681</v>
      </c>
      <c r="E874" s="4" t="s">
        <v>25</v>
      </c>
      <c r="F874" s="4" t="s">
        <v>3677</v>
      </c>
      <c r="G874" s="4" t="s">
        <v>47</v>
      </c>
      <c r="H874" s="4" t="s">
        <v>743</v>
      </c>
      <c r="I874" s="4" t="s">
        <v>744</v>
      </c>
      <c r="J874" s="4" t="s">
        <v>112</v>
      </c>
      <c r="K874" s="4" t="s">
        <v>3678</v>
      </c>
      <c r="L874" s="4" t="str">
        <f aca="false">IF(TRIM(LOWER(E874))=TRIM(LOWER(J874)),"Match","Different")</f>
        <v>Different</v>
      </c>
    </row>
    <row r="875" customFormat="false" ht="15" hidden="false" customHeight="false" outlineLevel="0" collapsed="false">
      <c r="A875" s="4" t="s">
        <v>3682</v>
      </c>
      <c r="B875" s="4" t="s">
        <v>3683</v>
      </c>
      <c r="C875" s="4" t="s">
        <v>3684</v>
      </c>
      <c r="D875" s="4"/>
      <c r="E875" s="4" t="s">
        <v>50</v>
      </c>
      <c r="F875" s="4" t="s">
        <v>3685</v>
      </c>
      <c r="G875" s="4" t="s">
        <v>27</v>
      </c>
      <c r="H875" s="4" t="s">
        <v>66</v>
      </c>
      <c r="I875" s="4" t="s">
        <v>536</v>
      </c>
      <c r="J875" s="4" t="s">
        <v>30</v>
      </c>
      <c r="K875" s="4" t="s">
        <v>3684</v>
      </c>
      <c r="L875" s="4" t="str">
        <f aca="false">IF(TRIM(LOWER(E875))=TRIM(LOWER(J875)),"Match","Different")</f>
        <v>Different</v>
      </c>
    </row>
    <row r="876" customFormat="false" ht="15" hidden="false" customHeight="false" outlineLevel="0" collapsed="false">
      <c r="A876" s="4" t="s">
        <v>3686</v>
      </c>
      <c r="B876" s="4" t="s">
        <v>3687</v>
      </c>
      <c r="C876" s="4" t="s">
        <v>3688</v>
      </c>
      <c r="D876" s="4"/>
      <c r="E876" s="4" t="s">
        <v>54</v>
      </c>
      <c r="F876" s="4" t="s">
        <v>3689</v>
      </c>
      <c r="G876" s="4" t="s">
        <v>207</v>
      </c>
      <c r="H876" s="4" t="s">
        <v>39</v>
      </c>
      <c r="I876" s="4" t="s">
        <v>57</v>
      </c>
      <c r="J876" s="4" t="s">
        <v>100</v>
      </c>
      <c r="K876" s="4" t="s">
        <v>3690</v>
      </c>
      <c r="L876" s="4" t="str">
        <f aca="false">IF(TRIM(LOWER(E876))=TRIM(LOWER(J876)),"Match","Different")</f>
        <v>Different</v>
      </c>
    </row>
    <row r="877" customFormat="false" ht="15" hidden="false" customHeight="false" outlineLevel="0" collapsed="false">
      <c r="A877" s="4" t="s">
        <v>3691</v>
      </c>
      <c r="B877" s="4" t="s">
        <v>3692</v>
      </c>
      <c r="C877" s="4" t="s">
        <v>3693</v>
      </c>
      <c r="D877" s="4" t="s">
        <v>3694</v>
      </c>
      <c r="E877" s="4" t="s">
        <v>64</v>
      </c>
      <c r="F877" s="4" t="s">
        <v>3695</v>
      </c>
      <c r="G877" s="4" t="s">
        <v>207</v>
      </c>
      <c r="H877" s="4" t="s">
        <v>39</v>
      </c>
      <c r="I877" s="4" t="s">
        <v>129</v>
      </c>
      <c r="J877" s="4" t="s">
        <v>30</v>
      </c>
      <c r="K877" s="4" t="s">
        <v>3696</v>
      </c>
      <c r="L877" s="4" t="str">
        <f aca="false">IF(TRIM(LOWER(E877))=TRIM(LOWER(J877)),"Match","Different")</f>
        <v>Different</v>
      </c>
    </row>
    <row r="878" customFormat="false" ht="15" hidden="false" customHeight="false" outlineLevel="0" collapsed="false">
      <c r="A878" s="4" t="s">
        <v>3697</v>
      </c>
      <c r="B878" s="4" t="s">
        <v>3698</v>
      </c>
      <c r="C878" s="4" t="s">
        <v>3699</v>
      </c>
      <c r="D878" s="4" t="s">
        <v>3700</v>
      </c>
      <c r="E878" s="4" t="s">
        <v>89</v>
      </c>
      <c r="F878" s="4" t="s">
        <v>3701</v>
      </c>
      <c r="G878" s="4" t="s">
        <v>56</v>
      </c>
      <c r="H878" s="4" t="s">
        <v>1268</v>
      </c>
      <c r="I878" s="4" t="s">
        <v>1295</v>
      </c>
      <c r="J878" s="4" t="s">
        <v>92</v>
      </c>
      <c r="K878" s="4" t="s">
        <v>3702</v>
      </c>
      <c r="L878" s="4" t="str">
        <f aca="false">IF(TRIM(LOWER(E878))=TRIM(LOWER(J878)),"Match","Different")</f>
        <v>Different</v>
      </c>
    </row>
    <row r="879" customFormat="false" ht="15" hidden="false" customHeight="false" outlineLevel="0" collapsed="false">
      <c r="A879" s="4" t="s">
        <v>3703</v>
      </c>
      <c r="B879" s="4" t="s">
        <v>3704</v>
      </c>
      <c r="C879" s="4" t="s">
        <v>3705</v>
      </c>
      <c r="D879" s="4"/>
      <c r="E879" s="4" t="s">
        <v>45</v>
      </c>
      <c r="F879" s="4" t="s">
        <v>3706</v>
      </c>
      <c r="G879" s="4" t="s">
        <v>359</v>
      </c>
      <c r="H879" s="4" t="s">
        <v>39</v>
      </c>
      <c r="I879" s="4" t="s">
        <v>129</v>
      </c>
      <c r="J879" s="4" t="s">
        <v>112</v>
      </c>
      <c r="K879" s="4" t="s">
        <v>3705</v>
      </c>
      <c r="L879" s="4" t="str">
        <f aca="false">IF(TRIM(LOWER(E879))=TRIM(LOWER(J879)),"Match","Different")</f>
        <v>Different</v>
      </c>
    </row>
    <row r="880" customFormat="false" ht="15" hidden="false" customHeight="false" outlineLevel="0" collapsed="false">
      <c r="A880" s="4" t="s">
        <v>3707</v>
      </c>
      <c r="B880" s="4" t="s">
        <v>3708</v>
      </c>
      <c r="C880" s="4" t="s">
        <v>3709</v>
      </c>
      <c r="D880" s="4" t="s">
        <v>3710</v>
      </c>
      <c r="E880" s="4" t="s">
        <v>104</v>
      </c>
      <c r="F880" s="4" t="s">
        <v>3711</v>
      </c>
      <c r="G880" s="4" t="s">
        <v>128</v>
      </c>
      <c r="H880" s="4" t="s">
        <v>39</v>
      </c>
      <c r="I880" s="4" t="s">
        <v>1188</v>
      </c>
      <c r="J880" s="4" t="s">
        <v>104</v>
      </c>
      <c r="K880" s="4" t="s">
        <v>3712</v>
      </c>
      <c r="L880" s="4" t="str">
        <f aca="false">IF(TRIM(LOWER(E880))=TRIM(LOWER(J880)),"Match","Different")</f>
        <v>Match</v>
      </c>
    </row>
    <row r="881" customFormat="false" ht="15" hidden="false" customHeight="false" outlineLevel="0" collapsed="false">
      <c r="A881" s="4" t="s">
        <v>3713</v>
      </c>
      <c r="B881" s="4" t="s">
        <v>3714</v>
      </c>
      <c r="C881" s="4" t="s">
        <v>3715</v>
      </c>
      <c r="D881" s="4"/>
      <c r="E881" s="4" t="s">
        <v>54</v>
      </c>
      <c r="F881" s="4" t="s">
        <v>3716</v>
      </c>
      <c r="G881" s="4" t="s">
        <v>207</v>
      </c>
      <c r="H881" s="4" t="s">
        <v>39</v>
      </c>
      <c r="I881" s="4" t="s">
        <v>83</v>
      </c>
      <c r="J881" s="4" t="s">
        <v>58</v>
      </c>
      <c r="K881" s="4" t="s">
        <v>3715</v>
      </c>
      <c r="L881" s="4" t="str">
        <f aca="false">IF(TRIM(LOWER(E881))=TRIM(LOWER(J881)),"Match","Different")</f>
        <v>Different</v>
      </c>
    </row>
    <row r="882" customFormat="false" ht="15" hidden="false" customHeight="false" outlineLevel="0" collapsed="false">
      <c r="A882" s="4" t="s">
        <v>3717</v>
      </c>
      <c r="B882" s="4" t="s">
        <v>3718</v>
      </c>
      <c r="C882" s="4" t="s">
        <v>3719</v>
      </c>
      <c r="D882" s="4" t="s">
        <v>3720</v>
      </c>
      <c r="E882" s="4" t="s">
        <v>64</v>
      </c>
      <c r="F882" s="4" t="s">
        <v>3721</v>
      </c>
      <c r="G882" s="4" t="s">
        <v>56</v>
      </c>
      <c r="H882" s="4" t="s">
        <v>39</v>
      </c>
      <c r="I882" s="4" t="s">
        <v>226</v>
      </c>
      <c r="J882" s="4" t="s">
        <v>64</v>
      </c>
      <c r="K882" s="4" t="s">
        <v>3722</v>
      </c>
      <c r="L882" s="4" t="str">
        <f aca="false">IF(TRIM(LOWER(E882))=TRIM(LOWER(J882)),"Match","Different")</f>
        <v>Match</v>
      </c>
    </row>
    <row r="883" customFormat="false" ht="15" hidden="false" customHeight="false" outlineLevel="0" collapsed="false">
      <c r="A883" s="4" t="s">
        <v>3717</v>
      </c>
      <c r="B883" s="4" t="s">
        <v>3718</v>
      </c>
      <c r="C883" s="4" t="s">
        <v>3723</v>
      </c>
      <c r="D883" s="4"/>
      <c r="E883" s="4" t="s">
        <v>341</v>
      </c>
      <c r="F883" s="4" t="s">
        <v>3721</v>
      </c>
      <c r="G883" s="4" t="s">
        <v>56</v>
      </c>
      <c r="H883" s="4" t="s">
        <v>39</v>
      </c>
      <c r="I883" s="4" t="s">
        <v>226</v>
      </c>
      <c r="J883" s="4" t="s">
        <v>64</v>
      </c>
      <c r="K883" s="4" t="s">
        <v>3722</v>
      </c>
      <c r="L883" s="4" t="str">
        <f aca="false">IF(TRIM(LOWER(E883))=TRIM(LOWER(J883)),"Match","Different")</f>
        <v>Different</v>
      </c>
    </row>
    <row r="884" customFormat="false" ht="15" hidden="false" customHeight="false" outlineLevel="0" collapsed="false">
      <c r="A884" s="4" t="s">
        <v>3724</v>
      </c>
      <c r="B884" s="4" t="s">
        <v>3725</v>
      </c>
      <c r="C884" s="4"/>
      <c r="D884" s="4"/>
      <c r="E884" s="4" t="s">
        <v>32</v>
      </c>
      <c r="F884" s="4" t="s">
        <v>3726</v>
      </c>
      <c r="G884" s="4" t="s">
        <v>56</v>
      </c>
      <c r="H884" s="4" t="s">
        <v>39</v>
      </c>
      <c r="I884" s="4" t="s">
        <v>123</v>
      </c>
      <c r="J884" s="4" t="s">
        <v>32</v>
      </c>
      <c r="K884" s="4" t="s">
        <v>3727</v>
      </c>
      <c r="L884" s="4" t="str">
        <f aca="false">IF(TRIM(LOWER(E884))=TRIM(LOWER(J884)),"Match","Different")</f>
        <v>Match</v>
      </c>
    </row>
    <row r="885" customFormat="false" ht="15" hidden="false" customHeight="false" outlineLevel="0" collapsed="false">
      <c r="A885" s="4" t="s">
        <v>3728</v>
      </c>
      <c r="B885" s="4" t="s">
        <v>3725</v>
      </c>
      <c r="C885" s="4" t="s">
        <v>3727</v>
      </c>
      <c r="D885" s="4"/>
      <c r="E885" s="4" t="s">
        <v>341</v>
      </c>
      <c r="F885" s="4" t="s">
        <v>3726</v>
      </c>
      <c r="G885" s="4" t="s">
        <v>56</v>
      </c>
      <c r="H885" s="4" t="s">
        <v>39</v>
      </c>
      <c r="I885" s="4" t="s">
        <v>123</v>
      </c>
      <c r="J885" s="4" t="s">
        <v>32</v>
      </c>
      <c r="K885" s="4" t="s">
        <v>3727</v>
      </c>
      <c r="L885" s="4" t="str">
        <f aca="false">IF(TRIM(LOWER(E885))=TRIM(LOWER(J885)),"Match","Different")</f>
        <v>Different</v>
      </c>
    </row>
    <row r="886" customFormat="false" ht="15" hidden="false" customHeight="false" outlineLevel="0" collapsed="false">
      <c r="A886" s="4" t="s">
        <v>3729</v>
      </c>
      <c r="B886" s="4" t="s">
        <v>3730</v>
      </c>
      <c r="C886" s="4" t="s">
        <v>3731</v>
      </c>
      <c r="D886" s="4" t="s">
        <v>3732</v>
      </c>
      <c r="E886" s="4" t="s">
        <v>89</v>
      </c>
      <c r="F886" s="4" t="s">
        <v>3733</v>
      </c>
      <c r="G886" s="4" t="s">
        <v>207</v>
      </c>
      <c r="H886" s="4" t="s">
        <v>39</v>
      </c>
      <c r="I886" s="4" t="s">
        <v>40</v>
      </c>
      <c r="J886" s="4" t="s">
        <v>100</v>
      </c>
      <c r="K886" s="4" t="s">
        <v>3734</v>
      </c>
      <c r="L886" s="4" t="str">
        <f aca="false">IF(TRIM(LOWER(E886))=TRIM(LOWER(J886)),"Match","Different")</f>
        <v>Different</v>
      </c>
    </row>
    <row r="887" customFormat="false" ht="15" hidden="false" customHeight="false" outlineLevel="0" collapsed="false">
      <c r="A887" s="4" t="s">
        <v>3735</v>
      </c>
      <c r="B887" s="4" t="s">
        <v>3736</v>
      </c>
      <c r="C887" s="4" t="s">
        <v>3737</v>
      </c>
      <c r="D887" s="4"/>
      <c r="E887" s="4" t="s">
        <v>54</v>
      </c>
      <c r="F887" s="4" t="s">
        <v>3738</v>
      </c>
      <c r="G887" s="4" t="s">
        <v>27</v>
      </c>
      <c r="H887" s="4" t="s">
        <v>66</v>
      </c>
      <c r="I887" s="4" t="s">
        <v>91</v>
      </c>
      <c r="J887" s="4" t="s">
        <v>30</v>
      </c>
      <c r="K887" s="4" t="s">
        <v>3737</v>
      </c>
      <c r="L887" s="4" t="str">
        <f aca="false">IF(TRIM(LOWER(E887))=TRIM(LOWER(J887)),"Match","Different")</f>
        <v>Different</v>
      </c>
    </row>
    <row r="888" customFormat="false" ht="15" hidden="false" customHeight="false" outlineLevel="0" collapsed="false">
      <c r="A888" s="4" t="s">
        <v>3739</v>
      </c>
      <c r="B888" s="4" t="s">
        <v>3740</v>
      </c>
      <c r="C888" s="4" t="s">
        <v>3741</v>
      </c>
      <c r="D888" s="4"/>
      <c r="E888" s="4" t="s">
        <v>104</v>
      </c>
      <c r="F888" s="4" t="s">
        <v>3742</v>
      </c>
      <c r="G888" s="4" t="s">
        <v>27</v>
      </c>
      <c r="H888" s="4" t="s">
        <v>28</v>
      </c>
      <c r="I888" s="4" t="s">
        <v>123</v>
      </c>
      <c r="J888" s="4" t="s">
        <v>104</v>
      </c>
      <c r="K888" s="4" t="s">
        <v>3743</v>
      </c>
      <c r="L888" s="4" t="str">
        <f aca="false">IF(TRIM(LOWER(E888))=TRIM(LOWER(J888)),"Match","Different")</f>
        <v>Match</v>
      </c>
    </row>
    <row r="889" customFormat="false" ht="15" hidden="false" customHeight="false" outlineLevel="0" collapsed="false">
      <c r="A889" s="4" t="s">
        <v>3744</v>
      </c>
      <c r="B889" s="4" t="s">
        <v>3745</v>
      </c>
      <c r="C889" s="4" t="s">
        <v>3746</v>
      </c>
      <c r="D889" s="4"/>
      <c r="E889" s="4" t="s">
        <v>104</v>
      </c>
      <c r="F889" s="4" t="s">
        <v>3747</v>
      </c>
      <c r="G889" s="4" t="s">
        <v>38</v>
      </c>
      <c r="H889" s="4" t="s">
        <v>39</v>
      </c>
      <c r="I889" s="4" t="s">
        <v>40</v>
      </c>
      <c r="J889" s="4" t="s">
        <v>104</v>
      </c>
      <c r="K889" s="4" t="s">
        <v>3746</v>
      </c>
      <c r="L889" s="4" t="str">
        <f aca="false">IF(TRIM(LOWER(E889))=TRIM(LOWER(J889)),"Match","Different")</f>
        <v>Match</v>
      </c>
    </row>
    <row r="890" customFormat="false" ht="15" hidden="false" customHeight="false" outlineLevel="0" collapsed="false">
      <c r="A890" s="4" t="s">
        <v>3748</v>
      </c>
      <c r="B890" s="4" t="s">
        <v>3749</v>
      </c>
      <c r="C890" s="4" t="s">
        <v>3750</v>
      </c>
      <c r="D890" s="4" t="s">
        <v>3751</v>
      </c>
      <c r="E890" s="4" t="s">
        <v>104</v>
      </c>
      <c r="F890" s="4" t="s">
        <v>3752</v>
      </c>
      <c r="G890" s="4" t="s">
        <v>128</v>
      </c>
      <c r="H890" s="4" t="s">
        <v>66</v>
      </c>
      <c r="I890" s="4" t="s">
        <v>297</v>
      </c>
      <c r="J890" s="4" t="s">
        <v>104</v>
      </c>
      <c r="K890" s="4" t="s">
        <v>3753</v>
      </c>
      <c r="L890" s="4" t="str">
        <f aca="false">IF(TRIM(LOWER(E890))=TRIM(LOWER(J890)),"Match","Different")</f>
        <v>Match</v>
      </c>
    </row>
    <row r="891" customFormat="false" ht="15" hidden="false" customHeight="false" outlineLevel="0" collapsed="false">
      <c r="A891" s="4" t="s">
        <v>3754</v>
      </c>
      <c r="B891" s="4" t="s">
        <v>3755</v>
      </c>
      <c r="C891" s="4" t="s">
        <v>3756</v>
      </c>
      <c r="D891" s="4" t="s">
        <v>3757</v>
      </c>
      <c r="E891" s="4" t="s">
        <v>25</v>
      </c>
      <c r="F891" s="4" t="s">
        <v>3758</v>
      </c>
      <c r="G891" s="4" t="s">
        <v>56</v>
      </c>
      <c r="H891" s="4" t="s">
        <v>498</v>
      </c>
      <c r="I891" s="4" t="s">
        <v>499</v>
      </c>
      <c r="J891" s="4" t="s">
        <v>50</v>
      </c>
      <c r="K891" s="4" t="s">
        <v>3759</v>
      </c>
      <c r="L891" s="4" t="str">
        <f aca="false">IF(TRIM(LOWER(E891))=TRIM(LOWER(J891)),"Match","Different")</f>
        <v>Different</v>
      </c>
    </row>
    <row r="892" customFormat="false" ht="15" hidden="false" customHeight="false" outlineLevel="0" collapsed="false">
      <c r="A892" s="4" t="s">
        <v>3760</v>
      </c>
      <c r="B892" s="4" t="s">
        <v>3755</v>
      </c>
      <c r="C892" s="4" t="s">
        <v>3761</v>
      </c>
      <c r="D892" s="4" t="s">
        <v>3762</v>
      </c>
      <c r="E892" s="4" t="s">
        <v>25</v>
      </c>
      <c r="F892" s="4" t="s">
        <v>3758</v>
      </c>
      <c r="G892" s="4" t="s">
        <v>56</v>
      </c>
      <c r="H892" s="4" t="s">
        <v>498</v>
      </c>
      <c r="I892" s="4" t="s">
        <v>499</v>
      </c>
      <c r="J892" s="4" t="s">
        <v>50</v>
      </c>
      <c r="K892" s="4" t="s">
        <v>3759</v>
      </c>
      <c r="L892" s="4" t="str">
        <f aca="false">IF(TRIM(LOWER(E892))=TRIM(LOWER(J892)),"Match","Different")</f>
        <v>Different</v>
      </c>
    </row>
    <row r="893" customFormat="false" ht="15" hidden="false" customHeight="false" outlineLevel="0" collapsed="false">
      <c r="A893" s="4" t="s">
        <v>3763</v>
      </c>
      <c r="B893" s="4" t="s">
        <v>3755</v>
      </c>
      <c r="C893" s="4" t="s">
        <v>3764</v>
      </c>
      <c r="D893" s="4" t="s">
        <v>3765</v>
      </c>
      <c r="E893" s="4" t="s">
        <v>25</v>
      </c>
      <c r="F893" s="4" t="s">
        <v>3758</v>
      </c>
      <c r="G893" s="4" t="s">
        <v>56</v>
      </c>
      <c r="H893" s="4" t="s">
        <v>498</v>
      </c>
      <c r="I893" s="4" t="s">
        <v>499</v>
      </c>
      <c r="J893" s="4" t="s">
        <v>50</v>
      </c>
      <c r="K893" s="4" t="s">
        <v>3759</v>
      </c>
      <c r="L893" s="4" t="str">
        <f aca="false">IF(TRIM(LOWER(E893))=TRIM(LOWER(J893)),"Match","Different")</f>
        <v>Different</v>
      </c>
    </row>
    <row r="894" customFormat="false" ht="15" hidden="false" customHeight="false" outlineLevel="0" collapsed="false">
      <c r="A894" s="4" t="s">
        <v>3766</v>
      </c>
      <c r="B894" s="4" t="s">
        <v>3755</v>
      </c>
      <c r="C894" s="4" t="s">
        <v>3767</v>
      </c>
      <c r="D894" s="4" t="s">
        <v>3768</v>
      </c>
      <c r="E894" s="4" t="s">
        <v>25</v>
      </c>
      <c r="F894" s="4" t="s">
        <v>3758</v>
      </c>
      <c r="G894" s="4" t="s">
        <v>56</v>
      </c>
      <c r="H894" s="4" t="s">
        <v>498</v>
      </c>
      <c r="I894" s="4" t="s">
        <v>499</v>
      </c>
      <c r="J894" s="4" t="s">
        <v>50</v>
      </c>
      <c r="K894" s="4" t="s">
        <v>3759</v>
      </c>
      <c r="L894" s="4" t="str">
        <f aca="false">IF(TRIM(LOWER(E894))=TRIM(LOWER(J894)),"Match","Different")</f>
        <v>Different</v>
      </c>
    </row>
    <row r="895" customFormat="false" ht="15" hidden="false" customHeight="false" outlineLevel="0" collapsed="false">
      <c r="A895" s="4" t="s">
        <v>3769</v>
      </c>
      <c r="B895" s="4" t="s">
        <v>3770</v>
      </c>
      <c r="C895" s="4" t="s">
        <v>3771</v>
      </c>
      <c r="D895" s="4"/>
      <c r="E895" s="4" t="s">
        <v>341</v>
      </c>
      <c r="F895" s="4" t="s">
        <v>3772</v>
      </c>
      <c r="G895" s="4" t="s">
        <v>56</v>
      </c>
      <c r="H895" s="4" t="s">
        <v>66</v>
      </c>
      <c r="I895" s="4" t="s">
        <v>262</v>
      </c>
      <c r="J895" s="4" t="s">
        <v>64</v>
      </c>
      <c r="K895" s="4" t="s">
        <v>3773</v>
      </c>
      <c r="L895" s="4" t="str">
        <f aca="false">IF(TRIM(LOWER(E895))=TRIM(LOWER(J895)),"Match","Different")</f>
        <v>Different</v>
      </c>
    </row>
    <row r="896" customFormat="false" ht="15" hidden="false" customHeight="false" outlineLevel="0" collapsed="false">
      <c r="A896" s="4" t="s">
        <v>3774</v>
      </c>
      <c r="B896" s="4" t="s">
        <v>3775</v>
      </c>
      <c r="C896" s="4" t="s">
        <v>3776</v>
      </c>
      <c r="D896" s="4" t="s">
        <v>3777</v>
      </c>
      <c r="E896" s="4" t="s">
        <v>89</v>
      </c>
      <c r="F896" s="4" t="s">
        <v>3778</v>
      </c>
      <c r="G896" s="4" t="s">
        <v>359</v>
      </c>
      <c r="H896" s="4" t="s">
        <v>39</v>
      </c>
      <c r="I896" s="4" t="s">
        <v>636</v>
      </c>
      <c r="J896" s="4" t="s">
        <v>92</v>
      </c>
      <c r="K896" s="4" t="s">
        <v>3776</v>
      </c>
      <c r="L896" s="4" t="str">
        <f aca="false">IF(TRIM(LOWER(E896))=TRIM(LOWER(J896)),"Match","Different")</f>
        <v>Different</v>
      </c>
    </row>
    <row r="897" customFormat="false" ht="15" hidden="false" customHeight="false" outlineLevel="0" collapsed="false">
      <c r="A897" s="4" t="s">
        <v>3779</v>
      </c>
      <c r="B897" s="4" t="s">
        <v>3780</v>
      </c>
      <c r="C897" s="4"/>
      <c r="D897" s="4" t="s">
        <v>3781</v>
      </c>
      <c r="E897" s="4" t="s">
        <v>170</v>
      </c>
      <c r="F897" s="4" t="s">
        <v>3782</v>
      </c>
      <c r="G897" s="4" t="s">
        <v>47</v>
      </c>
      <c r="H897" s="4" t="s">
        <v>172</v>
      </c>
      <c r="I897" s="4" t="s">
        <v>173</v>
      </c>
      <c r="J897" s="4" t="s">
        <v>174</v>
      </c>
      <c r="K897" s="4" t="s">
        <v>3783</v>
      </c>
      <c r="L897" s="4" t="str">
        <f aca="false">IF(TRIM(LOWER(E897))=TRIM(LOWER(J897)),"Match","Different")</f>
        <v>Different</v>
      </c>
    </row>
    <row r="898" customFormat="false" ht="15" hidden="false" customHeight="false" outlineLevel="0" collapsed="false">
      <c r="A898" s="4" t="s">
        <v>3784</v>
      </c>
      <c r="B898" s="4" t="s">
        <v>3780</v>
      </c>
      <c r="C898" s="4"/>
      <c r="D898" s="4" t="s">
        <v>3781</v>
      </c>
      <c r="E898" s="4" t="s">
        <v>170</v>
      </c>
      <c r="F898" s="4" t="s">
        <v>3782</v>
      </c>
      <c r="G898" s="4" t="s">
        <v>47</v>
      </c>
      <c r="H898" s="4" t="s">
        <v>172</v>
      </c>
      <c r="I898" s="4" t="s">
        <v>173</v>
      </c>
      <c r="J898" s="4" t="s">
        <v>174</v>
      </c>
      <c r="K898" s="4" t="s">
        <v>3783</v>
      </c>
      <c r="L898" s="4" t="str">
        <f aca="false">IF(TRIM(LOWER(E898))=TRIM(LOWER(J898)),"Match","Different")</f>
        <v>Different</v>
      </c>
    </row>
    <row r="899" customFormat="false" ht="15" hidden="false" customHeight="false" outlineLevel="0" collapsed="false">
      <c r="A899" s="4" t="s">
        <v>3785</v>
      </c>
      <c r="B899" s="4" t="s">
        <v>3780</v>
      </c>
      <c r="C899" s="4" t="s">
        <v>3786</v>
      </c>
      <c r="D899" s="4" t="s">
        <v>3787</v>
      </c>
      <c r="E899" s="4" t="s">
        <v>170</v>
      </c>
      <c r="F899" s="4" t="s">
        <v>3782</v>
      </c>
      <c r="G899" s="4" t="s">
        <v>47</v>
      </c>
      <c r="H899" s="4" t="s">
        <v>172</v>
      </c>
      <c r="I899" s="4" t="s">
        <v>173</v>
      </c>
      <c r="J899" s="4" t="s">
        <v>174</v>
      </c>
      <c r="K899" s="4" t="s">
        <v>3783</v>
      </c>
      <c r="L899" s="4" t="str">
        <f aca="false">IF(TRIM(LOWER(E899))=TRIM(LOWER(J899)),"Match","Different")</f>
        <v>Different</v>
      </c>
    </row>
    <row r="900" customFormat="false" ht="15" hidden="false" customHeight="false" outlineLevel="0" collapsed="false">
      <c r="A900" s="4" t="s">
        <v>3788</v>
      </c>
      <c r="B900" s="4" t="s">
        <v>3789</v>
      </c>
      <c r="C900" s="4" t="s">
        <v>3790</v>
      </c>
      <c r="D900" s="4"/>
      <c r="E900" s="4" t="s">
        <v>54</v>
      </c>
      <c r="F900" s="4" t="s">
        <v>3791</v>
      </c>
      <c r="G900" s="4" t="s">
        <v>27</v>
      </c>
      <c r="H900" s="4" t="s">
        <v>28</v>
      </c>
      <c r="I900" s="4" t="s">
        <v>123</v>
      </c>
      <c r="J900" s="4" t="s">
        <v>30</v>
      </c>
      <c r="K900" s="4" t="s">
        <v>3792</v>
      </c>
      <c r="L900" s="4" t="str">
        <f aca="false">IF(TRIM(LOWER(E900))=TRIM(LOWER(J900)),"Match","Different")</f>
        <v>Different</v>
      </c>
    </row>
    <row r="901" customFormat="false" ht="15" hidden="false" customHeight="false" outlineLevel="0" collapsed="false">
      <c r="A901" s="4" t="s">
        <v>3793</v>
      </c>
      <c r="B901" s="4" t="s">
        <v>3794</v>
      </c>
      <c r="C901" s="4" t="s">
        <v>3795</v>
      </c>
      <c r="D901" s="4" t="s">
        <v>3796</v>
      </c>
      <c r="E901" s="4" t="s">
        <v>64</v>
      </c>
      <c r="F901" s="4" t="s">
        <v>3797</v>
      </c>
      <c r="G901" s="4" t="s">
        <v>47</v>
      </c>
      <c r="H901" s="4" t="s">
        <v>39</v>
      </c>
      <c r="I901" s="4" t="s">
        <v>147</v>
      </c>
      <c r="J901" s="4" t="s">
        <v>64</v>
      </c>
      <c r="K901" s="4" t="s">
        <v>3798</v>
      </c>
      <c r="L901" s="4" t="str">
        <f aca="false">IF(TRIM(LOWER(E901))=TRIM(LOWER(J901)),"Match","Different")</f>
        <v>Match</v>
      </c>
    </row>
    <row r="902" customFormat="false" ht="15" hidden="false" customHeight="false" outlineLevel="0" collapsed="false">
      <c r="A902" s="4" t="s">
        <v>3799</v>
      </c>
      <c r="B902" s="4" t="s">
        <v>3794</v>
      </c>
      <c r="C902" s="4" t="s">
        <v>3798</v>
      </c>
      <c r="D902" s="4"/>
      <c r="E902" s="4" t="s">
        <v>64</v>
      </c>
      <c r="F902" s="4" t="s">
        <v>3797</v>
      </c>
      <c r="G902" s="4" t="s">
        <v>47</v>
      </c>
      <c r="H902" s="4" t="s">
        <v>39</v>
      </c>
      <c r="I902" s="4" t="s">
        <v>147</v>
      </c>
      <c r="J902" s="4" t="s">
        <v>64</v>
      </c>
      <c r="K902" s="4" t="s">
        <v>3798</v>
      </c>
      <c r="L902" s="4" t="str">
        <f aca="false">IF(TRIM(LOWER(E902))=TRIM(LOWER(J902)),"Match","Different")</f>
        <v>Match</v>
      </c>
    </row>
    <row r="903" customFormat="false" ht="15" hidden="false" customHeight="false" outlineLevel="0" collapsed="false">
      <c r="A903" s="4" t="s">
        <v>3800</v>
      </c>
      <c r="B903" s="4" t="s">
        <v>3801</v>
      </c>
      <c r="C903" s="4" t="s">
        <v>3802</v>
      </c>
      <c r="D903" s="4" t="s">
        <v>3803</v>
      </c>
      <c r="E903" s="4" t="s">
        <v>104</v>
      </c>
      <c r="F903" s="4" t="s">
        <v>3804</v>
      </c>
      <c r="G903" s="4" t="s">
        <v>47</v>
      </c>
      <c r="H903" s="4" t="s">
        <v>66</v>
      </c>
      <c r="I903" s="4" t="s">
        <v>147</v>
      </c>
      <c r="J903" s="4" t="s">
        <v>104</v>
      </c>
      <c r="K903" s="4" t="s">
        <v>3805</v>
      </c>
      <c r="L903" s="4" t="str">
        <f aca="false">IF(TRIM(LOWER(E903))=TRIM(LOWER(J903)),"Match","Different")</f>
        <v>Match</v>
      </c>
    </row>
    <row r="904" customFormat="false" ht="15" hidden="false" customHeight="false" outlineLevel="0" collapsed="false">
      <c r="A904" s="4" t="s">
        <v>3806</v>
      </c>
      <c r="B904" s="4" t="s">
        <v>3801</v>
      </c>
      <c r="C904" s="4" t="s">
        <v>3807</v>
      </c>
      <c r="D904" s="4" t="s">
        <v>3808</v>
      </c>
      <c r="E904" s="4" t="s">
        <v>104</v>
      </c>
      <c r="F904" s="4" t="s">
        <v>3804</v>
      </c>
      <c r="G904" s="4" t="s">
        <v>47</v>
      </c>
      <c r="H904" s="4" t="s">
        <v>66</v>
      </c>
      <c r="I904" s="4" t="s">
        <v>147</v>
      </c>
      <c r="J904" s="4" t="s">
        <v>104</v>
      </c>
      <c r="K904" s="4" t="s">
        <v>3805</v>
      </c>
      <c r="L904" s="4" t="str">
        <f aca="false">IF(TRIM(LOWER(E904))=TRIM(LOWER(J904)),"Match","Different")</f>
        <v>Match</v>
      </c>
    </row>
    <row r="905" customFormat="false" ht="15" hidden="false" customHeight="false" outlineLevel="0" collapsed="false">
      <c r="A905" s="4" t="s">
        <v>3809</v>
      </c>
      <c r="B905" s="4" t="s">
        <v>3810</v>
      </c>
      <c r="C905" s="4" t="s">
        <v>3811</v>
      </c>
      <c r="D905" s="4" t="s">
        <v>3812</v>
      </c>
      <c r="E905" s="4" t="s">
        <v>112</v>
      </c>
      <c r="F905" s="4" t="s">
        <v>3813</v>
      </c>
      <c r="G905" s="4" t="s">
        <v>56</v>
      </c>
      <c r="H905" s="4" t="s">
        <v>48</v>
      </c>
      <c r="I905" s="4" t="s">
        <v>194</v>
      </c>
      <c r="J905" s="4" t="s">
        <v>112</v>
      </c>
      <c r="K905" s="4" t="s">
        <v>3814</v>
      </c>
      <c r="L905" s="4" t="str">
        <f aca="false">IF(TRIM(LOWER(E905))=TRIM(LOWER(J905)),"Match","Different")</f>
        <v>Match</v>
      </c>
    </row>
    <row r="906" customFormat="false" ht="15" hidden="false" customHeight="false" outlineLevel="0" collapsed="false">
      <c r="A906" s="4" t="s">
        <v>3815</v>
      </c>
      <c r="B906" s="4" t="s">
        <v>3816</v>
      </c>
      <c r="C906" s="4" t="s">
        <v>3817</v>
      </c>
      <c r="D906" s="4"/>
      <c r="E906" s="4" t="s">
        <v>50</v>
      </c>
      <c r="F906" s="4" t="s">
        <v>3818</v>
      </c>
      <c r="G906" s="4" t="s">
        <v>136</v>
      </c>
      <c r="H906" s="4" t="s">
        <v>66</v>
      </c>
      <c r="I906" s="4" t="s">
        <v>91</v>
      </c>
      <c r="J906" s="4" t="s">
        <v>763</v>
      </c>
      <c r="K906" s="4" t="s">
        <v>3819</v>
      </c>
      <c r="L906" s="4" t="str">
        <f aca="false">IF(TRIM(LOWER(E906))=TRIM(LOWER(J906)),"Match","Different")</f>
        <v>Different</v>
      </c>
    </row>
    <row r="907" customFormat="false" ht="15" hidden="false" customHeight="false" outlineLevel="0" collapsed="false">
      <c r="A907" s="4" t="s">
        <v>3820</v>
      </c>
      <c r="B907" s="4" t="s">
        <v>3821</v>
      </c>
      <c r="C907" s="4" t="s">
        <v>3822</v>
      </c>
      <c r="D907" s="4" t="s">
        <v>3823</v>
      </c>
      <c r="E907" s="4" t="s">
        <v>50</v>
      </c>
      <c r="F907" s="4" t="s">
        <v>3824</v>
      </c>
      <c r="G907" s="4" t="s">
        <v>136</v>
      </c>
      <c r="H907" s="4" t="s">
        <v>39</v>
      </c>
      <c r="I907" s="4"/>
      <c r="J907" s="4" t="s">
        <v>100</v>
      </c>
      <c r="K907" s="4" t="s">
        <v>3822</v>
      </c>
      <c r="L907" s="4" t="str">
        <f aca="false">IF(TRIM(LOWER(E907))=TRIM(LOWER(J907)),"Match","Different")</f>
        <v>Different</v>
      </c>
    </row>
    <row r="908" customFormat="false" ht="15" hidden="false" customHeight="false" outlineLevel="0" collapsed="false">
      <c r="A908" s="4" t="s">
        <v>3825</v>
      </c>
      <c r="B908" s="4" t="s">
        <v>3826</v>
      </c>
      <c r="C908" s="4" t="s">
        <v>3827</v>
      </c>
      <c r="D908" s="4"/>
      <c r="E908" s="4" t="s">
        <v>341</v>
      </c>
      <c r="F908" s="4" t="s">
        <v>3828</v>
      </c>
      <c r="G908" s="4" t="s">
        <v>56</v>
      </c>
      <c r="H908" s="4" t="s">
        <v>48</v>
      </c>
      <c r="I908" s="4" t="s">
        <v>91</v>
      </c>
      <c r="J908" s="4" t="s">
        <v>112</v>
      </c>
      <c r="K908" s="4" t="s">
        <v>3829</v>
      </c>
      <c r="L908" s="4" t="str">
        <f aca="false">IF(TRIM(LOWER(E908))=TRIM(LOWER(J908)),"Match","Different")</f>
        <v>Different</v>
      </c>
    </row>
    <row r="909" customFormat="false" ht="15" hidden="false" customHeight="false" outlineLevel="0" collapsed="false">
      <c r="A909" s="4" t="s">
        <v>3830</v>
      </c>
      <c r="B909" s="4" t="s">
        <v>3831</v>
      </c>
      <c r="C909" s="4" t="s">
        <v>3832</v>
      </c>
      <c r="D909" s="4"/>
      <c r="E909" s="4" t="s">
        <v>64</v>
      </c>
      <c r="F909" s="4" t="s">
        <v>3833</v>
      </c>
      <c r="G909" s="4" t="s">
        <v>519</v>
      </c>
      <c r="H909" s="4" t="s">
        <v>66</v>
      </c>
      <c r="I909" s="4" t="s">
        <v>2225</v>
      </c>
      <c r="J909" s="4" t="s">
        <v>64</v>
      </c>
      <c r="K909" s="4" t="s">
        <v>3834</v>
      </c>
      <c r="L909" s="4" t="str">
        <f aca="false">IF(TRIM(LOWER(E909))=TRIM(LOWER(J909)),"Match","Different")</f>
        <v>Match</v>
      </c>
    </row>
    <row r="910" customFormat="false" ht="15" hidden="false" customHeight="false" outlineLevel="0" collapsed="false">
      <c r="A910" s="4" t="s">
        <v>3835</v>
      </c>
      <c r="B910" s="4" t="s">
        <v>3831</v>
      </c>
      <c r="C910" s="4" t="s">
        <v>3836</v>
      </c>
      <c r="D910" s="4" t="s">
        <v>3837</v>
      </c>
      <c r="E910" s="4" t="s">
        <v>64</v>
      </c>
      <c r="F910" s="4" t="s">
        <v>3833</v>
      </c>
      <c r="G910" s="4" t="s">
        <v>519</v>
      </c>
      <c r="H910" s="4" t="s">
        <v>66</v>
      </c>
      <c r="I910" s="4" t="s">
        <v>2225</v>
      </c>
      <c r="J910" s="4" t="s">
        <v>64</v>
      </c>
      <c r="K910" s="4" t="s">
        <v>3834</v>
      </c>
      <c r="L910" s="4" t="str">
        <f aca="false">IF(TRIM(LOWER(E910))=TRIM(LOWER(J910)),"Match","Different")</f>
        <v>Match</v>
      </c>
    </row>
    <row r="911" customFormat="false" ht="15" hidden="false" customHeight="false" outlineLevel="0" collapsed="false">
      <c r="A911" s="4" t="s">
        <v>3838</v>
      </c>
      <c r="B911" s="4" t="s">
        <v>3839</v>
      </c>
      <c r="C911" s="4" t="s">
        <v>3840</v>
      </c>
      <c r="D911" s="4"/>
      <c r="E911" s="4" t="s">
        <v>54</v>
      </c>
      <c r="F911" s="4" t="s">
        <v>3841</v>
      </c>
      <c r="G911" s="4" t="s">
        <v>56</v>
      </c>
      <c r="H911" s="4" t="s">
        <v>39</v>
      </c>
      <c r="I911" s="4" t="s">
        <v>636</v>
      </c>
      <c r="J911" s="4" t="s">
        <v>58</v>
      </c>
      <c r="K911" s="4" t="s">
        <v>3842</v>
      </c>
      <c r="L911" s="4" t="str">
        <f aca="false">IF(TRIM(LOWER(E911))=TRIM(LOWER(J911)),"Match","Different")</f>
        <v>Different</v>
      </c>
    </row>
    <row r="912" customFormat="false" ht="15" hidden="false" customHeight="false" outlineLevel="0" collapsed="false">
      <c r="A912" s="4" t="s">
        <v>3843</v>
      </c>
      <c r="B912" s="4" t="s">
        <v>3844</v>
      </c>
      <c r="C912" s="4" t="s">
        <v>3845</v>
      </c>
      <c r="D912" s="4" t="s">
        <v>3846</v>
      </c>
      <c r="E912" s="4" t="s">
        <v>64</v>
      </c>
      <c r="F912" s="4" t="s">
        <v>3847</v>
      </c>
      <c r="G912" s="4" t="s">
        <v>56</v>
      </c>
      <c r="H912" s="4" t="s">
        <v>39</v>
      </c>
      <c r="I912" s="4" t="s">
        <v>1188</v>
      </c>
      <c r="J912" s="4" t="s">
        <v>64</v>
      </c>
      <c r="K912" s="4" t="s">
        <v>3848</v>
      </c>
      <c r="L912" s="4" t="str">
        <f aca="false">IF(TRIM(LOWER(E912))=TRIM(LOWER(J912)),"Match","Different")</f>
        <v>Match</v>
      </c>
    </row>
    <row r="913" customFormat="false" ht="15" hidden="false" customHeight="false" outlineLevel="0" collapsed="false">
      <c r="A913" s="4" t="s">
        <v>3849</v>
      </c>
      <c r="B913" s="4" t="s">
        <v>3850</v>
      </c>
      <c r="C913" s="4" t="s">
        <v>3851</v>
      </c>
      <c r="D913" s="4" t="s">
        <v>3238</v>
      </c>
      <c r="E913" s="4" t="s">
        <v>25</v>
      </c>
      <c r="F913" s="4" t="s">
        <v>3852</v>
      </c>
      <c r="G913" s="4" t="s">
        <v>56</v>
      </c>
      <c r="H913" s="4" t="s">
        <v>28</v>
      </c>
      <c r="I913" s="4" t="s">
        <v>123</v>
      </c>
      <c r="J913" s="4" t="s">
        <v>392</v>
      </c>
      <c r="K913" s="4" t="s">
        <v>2770</v>
      </c>
      <c r="L913" s="4" t="str">
        <f aca="false">IF(TRIM(LOWER(E913))=TRIM(LOWER(J913)),"Match","Different")</f>
        <v>Different</v>
      </c>
    </row>
    <row r="914" customFormat="false" ht="15" hidden="false" customHeight="false" outlineLevel="0" collapsed="false">
      <c r="A914" s="4" t="s">
        <v>3853</v>
      </c>
      <c r="B914" s="4" t="s">
        <v>3850</v>
      </c>
      <c r="C914" s="4"/>
      <c r="D914" s="4" t="s">
        <v>3854</v>
      </c>
      <c r="E914" s="4" t="s">
        <v>383</v>
      </c>
      <c r="F914" s="4" t="s">
        <v>3852</v>
      </c>
      <c r="G914" s="4" t="s">
        <v>56</v>
      </c>
      <c r="H914" s="4" t="s">
        <v>28</v>
      </c>
      <c r="I914" s="4" t="s">
        <v>123</v>
      </c>
      <c r="J914" s="4" t="s">
        <v>392</v>
      </c>
      <c r="K914" s="4" t="s">
        <v>2770</v>
      </c>
      <c r="L914" s="4" t="str">
        <f aca="false">IF(TRIM(LOWER(E914))=TRIM(LOWER(J914)),"Match","Different")</f>
        <v>Different</v>
      </c>
    </row>
    <row r="915" customFormat="false" ht="15" hidden="false" customHeight="false" outlineLevel="0" collapsed="false">
      <c r="A915" s="4" t="s">
        <v>3855</v>
      </c>
      <c r="B915" s="4" t="s">
        <v>3856</v>
      </c>
      <c r="C915" s="4" t="s">
        <v>3857</v>
      </c>
      <c r="D915" s="4" t="s">
        <v>3858</v>
      </c>
      <c r="E915" s="4" t="s">
        <v>89</v>
      </c>
      <c r="F915" s="4" t="s">
        <v>3859</v>
      </c>
      <c r="G915" s="4" t="s">
        <v>56</v>
      </c>
      <c r="H915" s="4" t="s">
        <v>66</v>
      </c>
      <c r="I915" s="4" t="s">
        <v>2225</v>
      </c>
      <c r="J915" s="4" t="s">
        <v>92</v>
      </c>
      <c r="K915" s="4" t="s">
        <v>3860</v>
      </c>
      <c r="L915" s="4" t="str">
        <f aca="false">IF(TRIM(LOWER(E915))=TRIM(LOWER(J915)),"Match","Different")</f>
        <v>Different</v>
      </c>
    </row>
    <row r="916" customFormat="false" ht="15" hidden="false" customHeight="false" outlineLevel="0" collapsed="false">
      <c r="A916" s="4" t="s">
        <v>3855</v>
      </c>
      <c r="B916" s="4" t="s">
        <v>3856</v>
      </c>
      <c r="C916" s="4" t="s">
        <v>3861</v>
      </c>
      <c r="D916" s="4"/>
      <c r="E916" s="4" t="s">
        <v>341</v>
      </c>
      <c r="F916" s="4" t="s">
        <v>3859</v>
      </c>
      <c r="G916" s="4" t="s">
        <v>56</v>
      </c>
      <c r="H916" s="4" t="s">
        <v>66</v>
      </c>
      <c r="I916" s="4" t="s">
        <v>2225</v>
      </c>
      <c r="J916" s="4" t="s">
        <v>92</v>
      </c>
      <c r="K916" s="4" t="s">
        <v>3860</v>
      </c>
      <c r="L916" s="4" t="str">
        <f aca="false">IF(TRIM(LOWER(E916))=TRIM(LOWER(J916)),"Match","Different")</f>
        <v>Different</v>
      </c>
    </row>
    <row r="917" customFormat="false" ht="15" hidden="false" customHeight="false" outlineLevel="0" collapsed="false">
      <c r="A917" s="4" t="s">
        <v>3862</v>
      </c>
      <c r="B917" s="4" t="s">
        <v>3863</v>
      </c>
      <c r="C917" s="4" t="s">
        <v>3864</v>
      </c>
      <c r="D917" s="4"/>
      <c r="E917" s="4" t="s">
        <v>25</v>
      </c>
      <c r="F917" s="4" t="s">
        <v>3865</v>
      </c>
      <c r="G917" s="4" t="s">
        <v>136</v>
      </c>
      <c r="H917" s="4" t="s">
        <v>39</v>
      </c>
      <c r="I917" s="4" t="s">
        <v>2169</v>
      </c>
      <c r="J917" s="4" t="s">
        <v>30</v>
      </c>
      <c r="K917" s="4" t="s">
        <v>3864</v>
      </c>
      <c r="L917" s="4" t="str">
        <f aca="false">IF(TRIM(LOWER(E917))=TRIM(LOWER(J917)),"Match","Different")</f>
        <v>Different</v>
      </c>
    </row>
    <row r="918" customFormat="false" ht="15" hidden="false" customHeight="false" outlineLevel="0" collapsed="false">
      <c r="A918" s="4" t="s">
        <v>3866</v>
      </c>
      <c r="B918" s="4" t="s">
        <v>3867</v>
      </c>
      <c r="C918" s="4" t="s">
        <v>3868</v>
      </c>
      <c r="D918" s="4"/>
      <c r="E918" s="4" t="s">
        <v>54</v>
      </c>
      <c r="F918" s="4" t="s">
        <v>3869</v>
      </c>
      <c r="G918" s="4" t="s">
        <v>128</v>
      </c>
      <c r="H918" s="4" t="s">
        <v>39</v>
      </c>
      <c r="I918" s="4" t="s">
        <v>2169</v>
      </c>
      <c r="J918" s="4" t="s">
        <v>92</v>
      </c>
      <c r="K918" s="4" t="s">
        <v>3868</v>
      </c>
      <c r="L918" s="4" t="str">
        <f aca="false">IF(TRIM(LOWER(E918))=TRIM(LOWER(J918)),"Match","Different")</f>
        <v>Different</v>
      </c>
    </row>
    <row r="919" customFormat="false" ht="15" hidden="false" customHeight="false" outlineLevel="0" collapsed="false">
      <c r="A919" s="4" t="s">
        <v>3870</v>
      </c>
      <c r="B919" s="4" t="s">
        <v>3871</v>
      </c>
      <c r="C919" s="4" t="s">
        <v>3872</v>
      </c>
      <c r="D919" s="4"/>
      <c r="E919" s="4" t="s">
        <v>54</v>
      </c>
      <c r="F919" s="4" t="s">
        <v>3873</v>
      </c>
      <c r="G919" s="4" t="s">
        <v>82</v>
      </c>
      <c r="H919" s="4" t="s">
        <v>66</v>
      </c>
      <c r="I919" s="4" t="s">
        <v>91</v>
      </c>
      <c r="J919" s="4" t="s">
        <v>30</v>
      </c>
      <c r="K919" s="4" t="s">
        <v>3874</v>
      </c>
      <c r="L919" s="4" t="str">
        <f aca="false">IF(TRIM(LOWER(E919))=TRIM(LOWER(J919)),"Match","Different")</f>
        <v>Different</v>
      </c>
    </row>
    <row r="920" customFormat="false" ht="15" hidden="false" customHeight="false" outlineLevel="0" collapsed="false">
      <c r="A920" s="4" t="s">
        <v>3875</v>
      </c>
      <c r="B920" s="4" t="s">
        <v>3876</v>
      </c>
      <c r="C920" s="4" t="s">
        <v>3877</v>
      </c>
      <c r="D920" s="4" t="s">
        <v>3878</v>
      </c>
      <c r="E920" s="4" t="s">
        <v>50</v>
      </c>
      <c r="F920" s="4" t="s">
        <v>3879</v>
      </c>
      <c r="G920" s="4" t="s">
        <v>56</v>
      </c>
      <c r="H920" s="4" t="s">
        <v>39</v>
      </c>
      <c r="I920" s="4" t="s">
        <v>99</v>
      </c>
      <c r="J920" s="4" t="s">
        <v>30</v>
      </c>
      <c r="K920" s="4" t="s">
        <v>3880</v>
      </c>
      <c r="L920" s="4" t="str">
        <f aca="false">IF(TRIM(LOWER(E920))=TRIM(LOWER(J920)),"Match","Different")</f>
        <v>Different</v>
      </c>
    </row>
    <row r="921" customFormat="false" ht="15" hidden="false" customHeight="false" outlineLevel="0" collapsed="false">
      <c r="A921" s="4" t="s">
        <v>3881</v>
      </c>
      <c r="B921" s="4" t="s">
        <v>3882</v>
      </c>
      <c r="C921" s="4" t="s">
        <v>3883</v>
      </c>
      <c r="D921" s="4" t="s">
        <v>3884</v>
      </c>
      <c r="E921" s="4" t="s">
        <v>89</v>
      </c>
      <c r="F921" s="4" t="s">
        <v>3885</v>
      </c>
      <c r="G921" s="4" t="s">
        <v>122</v>
      </c>
      <c r="H921" s="4" t="s">
        <v>28</v>
      </c>
      <c r="I921" s="4" t="s">
        <v>123</v>
      </c>
      <c r="J921" s="4" t="s">
        <v>30</v>
      </c>
      <c r="K921" s="4" t="s">
        <v>3886</v>
      </c>
      <c r="L921" s="4" t="str">
        <f aca="false">IF(TRIM(LOWER(E921))=TRIM(LOWER(J921)),"Match","Different")</f>
        <v>Different</v>
      </c>
    </row>
    <row r="922" customFormat="false" ht="15" hidden="false" customHeight="false" outlineLevel="0" collapsed="false">
      <c r="A922" s="4" t="s">
        <v>3887</v>
      </c>
      <c r="B922" s="4" t="s">
        <v>3888</v>
      </c>
      <c r="C922" s="4" t="s">
        <v>3889</v>
      </c>
      <c r="D922" s="4" t="s">
        <v>3890</v>
      </c>
      <c r="E922" s="4" t="s">
        <v>64</v>
      </c>
      <c r="F922" s="4" t="s">
        <v>3891</v>
      </c>
      <c r="G922" s="4" t="s">
        <v>82</v>
      </c>
      <c r="H922" s="4" t="s">
        <v>66</v>
      </c>
      <c r="I922" s="4" t="s">
        <v>536</v>
      </c>
      <c r="J922" s="4" t="s">
        <v>30</v>
      </c>
      <c r="K922" s="4" t="s">
        <v>3892</v>
      </c>
      <c r="L922" s="4" t="str">
        <f aca="false">IF(TRIM(LOWER(E922))=TRIM(LOWER(J922)),"Match","Different")</f>
        <v>Different</v>
      </c>
    </row>
    <row r="923" customFormat="false" ht="15" hidden="false" customHeight="false" outlineLevel="0" collapsed="false">
      <c r="A923" s="4" t="s">
        <v>3893</v>
      </c>
      <c r="B923" s="4" t="s">
        <v>3894</v>
      </c>
      <c r="C923" s="4" t="s">
        <v>3895</v>
      </c>
      <c r="D923" s="4" t="s">
        <v>3896</v>
      </c>
      <c r="E923" s="4" t="s">
        <v>89</v>
      </c>
      <c r="F923" s="4" t="s">
        <v>3897</v>
      </c>
      <c r="G923" s="4" t="s">
        <v>27</v>
      </c>
      <c r="H923" s="4" t="s">
        <v>66</v>
      </c>
      <c r="I923" s="4" t="s">
        <v>262</v>
      </c>
      <c r="J923" s="4" t="s">
        <v>30</v>
      </c>
      <c r="K923" s="4" t="s">
        <v>3898</v>
      </c>
      <c r="L923" s="4" t="str">
        <f aca="false">IF(TRIM(LOWER(E923))=TRIM(LOWER(J923)),"Match","Different")</f>
        <v>Different</v>
      </c>
    </row>
    <row r="924" customFormat="false" ht="15" hidden="false" customHeight="false" outlineLevel="0" collapsed="false">
      <c r="A924" s="4" t="s">
        <v>3899</v>
      </c>
      <c r="B924" s="4" t="s">
        <v>3900</v>
      </c>
      <c r="C924" s="4" t="s">
        <v>3901</v>
      </c>
      <c r="D924" s="4" t="s">
        <v>3902</v>
      </c>
      <c r="E924" s="4" t="s">
        <v>64</v>
      </c>
      <c r="F924" s="4" t="s">
        <v>3903</v>
      </c>
      <c r="G924" s="4" t="s">
        <v>136</v>
      </c>
      <c r="H924" s="4" t="s">
        <v>28</v>
      </c>
      <c r="I924" s="4" t="s">
        <v>91</v>
      </c>
      <c r="J924" s="4" t="s">
        <v>64</v>
      </c>
      <c r="K924" s="4" t="s">
        <v>3904</v>
      </c>
      <c r="L924" s="4" t="str">
        <f aca="false">IF(TRIM(LOWER(E924))=TRIM(LOWER(J924)),"Match","Different")</f>
        <v>Match</v>
      </c>
    </row>
    <row r="925" customFormat="false" ht="15" hidden="false" customHeight="false" outlineLevel="0" collapsed="false">
      <c r="A925" s="4" t="s">
        <v>3905</v>
      </c>
      <c r="B925" s="4" t="s">
        <v>3906</v>
      </c>
      <c r="C925" s="4" t="s">
        <v>3907</v>
      </c>
      <c r="D925" s="4" t="s">
        <v>3908</v>
      </c>
      <c r="E925" s="4" t="s">
        <v>89</v>
      </c>
      <c r="F925" s="4" t="s">
        <v>3909</v>
      </c>
      <c r="G925" s="4" t="s">
        <v>82</v>
      </c>
      <c r="H925" s="4" t="s">
        <v>66</v>
      </c>
      <c r="I925" s="4" t="s">
        <v>536</v>
      </c>
      <c r="J925" s="4" t="s">
        <v>92</v>
      </c>
      <c r="K925" s="4" t="s">
        <v>3910</v>
      </c>
      <c r="L925" s="4" t="str">
        <f aca="false">IF(TRIM(LOWER(E925))=TRIM(LOWER(J925)),"Match","Different")</f>
        <v>Different</v>
      </c>
    </row>
    <row r="926" customFormat="false" ht="15" hidden="false" customHeight="false" outlineLevel="0" collapsed="false">
      <c r="A926" s="4" t="s">
        <v>3905</v>
      </c>
      <c r="B926" s="4" t="s">
        <v>3906</v>
      </c>
      <c r="C926" s="4" t="s">
        <v>3911</v>
      </c>
      <c r="D926" s="4" t="s">
        <v>3908</v>
      </c>
      <c r="E926" s="4" t="s">
        <v>89</v>
      </c>
      <c r="F926" s="4" t="s">
        <v>3909</v>
      </c>
      <c r="G926" s="4" t="s">
        <v>82</v>
      </c>
      <c r="H926" s="4" t="s">
        <v>66</v>
      </c>
      <c r="I926" s="4" t="s">
        <v>536</v>
      </c>
      <c r="J926" s="4" t="s">
        <v>92</v>
      </c>
      <c r="K926" s="4" t="s">
        <v>3910</v>
      </c>
      <c r="L926" s="4" t="str">
        <f aca="false">IF(TRIM(LOWER(E926))=TRIM(LOWER(J926)),"Match","Different")</f>
        <v>Different</v>
      </c>
    </row>
    <row r="927" customFormat="false" ht="15" hidden="false" customHeight="false" outlineLevel="0" collapsed="false">
      <c r="A927" s="4" t="s">
        <v>3912</v>
      </c>
      <c r="B927" s="4" t="s">
        <v>3913</v>
      </c>
      <c r="C927" s="4" t="s">
        <v>3914</v>
      </c>
      <c r="D927" s="4"/>
      <c r="E927" s="4" t="s">
        <v>54</v>
      </c>
      <c r="F927" s="4" t="s">
        <v>3915</v>
      </c>
      <c r="G927" s="4" t="s">
        <v>82</v>
      </c>
      <c r="H927" s="4" t="s">
        <v>39</v>
      </c>
      <c r="I927" s="4" t="s">
        <v>83</v>
      </c>
      <c r="J927" s="4" t="s">
        <v>30</v>
      </c>
      <c r="K927" s="4" t="s">
        <v>3914</v>
      </c>
      <c r="L927" s="4" t="str">
        <f aca="false">IF(TRIM(LOWER(E927))=TRIM(LOWER(J927)),"Match","Different")</f>
        <v>Different</v>
      </c>
    </row>
    <row r="928" customFormat="false" ht="15" hidden="false" customHeight="false" outlineLevel="0" collapsed="false">
      <c r="A928" s="4" t="s">
        <v>3912</v>
      </c>
      <c r="B928" s="4" t="s">
        <v>3913</v>
      </c>
      <c r="C928" s="4"/>
      <c r="D928" s="4" t="s">
        <v>3916</v>
      </c>
      <c r="E928" s="4" t="s">
        <v>383</v>
      </c>
      <c r="F928" s="4" t="s">
        <v>3915</v>
      </c>
      <c r="G928" s="4" t="s">
        <v>82</v>
      </c>
      <c r="H928" s="4" t="s">
        <v>39</v>
      </c>
      <c r="I928" s="4" t="s">
        <v>83</v>
      </c>
      <c r="J928" s="4" t="s">
        <v>30</v>
      </c>
      <c r="K928" s="4" t="s">
        <v>3914</v>
      </c>
      <c r="L928" s="4" t="str">
        <f aca="false">IF(TRIM(LOWER(E928))=TRIM(LOWER(J928)),"Match","Different")</f>
        <v>Different</v>
      </c>
    </row>
    <row r="929" customFormat="false" ht="15" hidden="false" customHeight="false" outlineLevel="0" collapsed="false">
      <c r="A929" s="4" t="s">
        <v>3917</v>
      </c>
      <c r="B929" s="4" t="s">
        <v>3918</v>
      </c>
      <c r="C929" s="4" t="s">
        <v>3919</v>
      </c>
      <c r="D929" s="4" t="s">
        <v>3920</v>
      </c>
      <c r="E929" s="4" t="s">
        <v>89</v>
      </c>
      <c r="F929" s="4" t="s">
        <v>3921</v>
      </c>
      <c r="G929" s="4" t="s">
        <v>82</v>
      </c>
      <c r="H929" s="4" t="s">
        <v>39</v>
      </c>
      <c r="I929" s="4" t="s">
        <v>821</v>
      </c>
      <c r="J929" s="4" t="s">
        <v>30</v>
      </c>
      <c r="K929" s="4" t="s">
        <v>3919</v>
      </c>
      <c r="L929" s="4" t="str">
        <f aca="false">IF(TRIM(LOWER(E929))=TRIM(LOWER(J929)),"Match","Different")</f>
        <v>Different</v>
      </c>
    </row>
    <row r="930" customFormat="false" ht="15" hidden="false" customHeight="false" outlineLevel="0" collapsed="false">
      <c r="A930" s="4" t="s">
        <v>3922</v>
      </c>
      <c r="B930" s="4" t="s">
        <v>3923</v>
      </c>
      <c r="C930" s="4"/>
      <c r="D930" s="4" t="s">
        <v>3924</v>
      </c>
      <c r="E930" s="4" t="s">
        <v>383</v>
      </c>
      <c r="F930" s="4" t="s">
        <v>3925</v>
      </c>
      <c r="G930" s="4" t="s">
        <v>359</v>
      </c>
      <c r="H930" s="4" t="s">
        <v>39</v>
      </c>
      <c r="I930" s="4" t="s">
        <v>208</v>
      </c>
      <c r="J930" s="4" t="s">
        <v>30</v>
      </c>
      <c r="K930" s="4" t="s">
        <v>3440</v>
      </c>
      <c r="L930" s="4" t="str">
        <f aca="false">IF(TRIM(LOWER(E930))=TRIM(LOWER(J930)),"Match","Different")</f>
        <v>Different</v>
      </c>
    </row>
    <row r="931" customFormat="false" ht="15" hidden="false" customHeight="false" outlineLevel="0" collapsed="false">
      <c r="A931" s="4" t="s">
        <v>3926</v>
      </c>
      <c r="B931" s="4" t="s">
        <v>3927</v>
      </c>
      <c r="C931" s="4" t="s">
        <v>3928</v>
      </c>
      <c r="D931" s="4"/>
      <c r="E931" s="4" t="s">
        <v>25</v>
      </c>
      <c r="F931" s="4" t="s">
        <v>3929</v>
      </c>
      <c r="G931" s="4" t="s">
        <v>56</v>
      </c>
      <c r="H931" s="4" t="s">
        <v>39</v>
      </c>
      <c r="I931" s="4" t="s">
        <v>636</v>
      </c>
      <c r="J931" s="4" t="s">
        <v>392</v>
      </c>
      <c r="K931" s="4" t="s">
        <v>3930</v>
      </c>
      <c r="L931" s="4" t="str">
        <f aca="false">IF(TRIM(LOWER(E931))=TRIM(LOWER(J931)),"Match","Different")</f>
        <v>Different</v>
      </c>
    </row>
    <row r="932" customFormat="false" ht="15" hidden="false" customHeight="false" outlineLevel="0" collapsed="false">
      <c r="A932" s="4" t="s">
        <v>3931</v>
      </c>
      <c r="B932" s="4" t="s">
        <v>3927</v>
      </c>
      <c r="C932" s="4" t="s">
        <v>3932</v>
      </c>
      <c r="D932" s="4"/>
      <c r="E932" s="4" t="s">
        <v>341</v>
      </c>
      <c r="F932" s="4" t="s">
        <v>3929</v>
      </c>
      <c r="G932" s="4" t="s">
        <v>56</v>
      </c>
      <c r="H932" s="4" t="s">
        <v>39</v>
      </c>
      <c r="I932" s="4" t="s">
        <v>636</v>
      </c>
      <c r="J932" s="4" t="s">
        <v>392</v>
      </c>
      <c r="K932" s="4" t="s">
        <v>3930</v>
      </c>
      <c r="L932" s="4" t="str">
        <f aca="false">IF(TRIM(LOWER(E932))=TRIM(LOWER(J932)),"Match","Different")</f>
        <v>Different</v>
      </c>
    </row>
    <row r="933" customFormat="false" ht="15" hidden="false" customHeight="false" outlineLevel="0" collapsed="false">
      <c r="A933" s="4" t="s">
        <v>3933</v>
      </c>
      <c r="B933" s="4" t="s">
        <v>3927</v>
      </c>
      <c r="C933" s="4" t="s">
        <v>3934</v>
      </c>
      <c r="D933" s="4" t="s">
        <v>3935</v>
      </c>
      <c r="E933" s="4" t="s">
        <v>25</v>
      </c>
      <c r="F933" s="4" t="s">
        <v>3929</v>
      </c>
      <c r="G933" s="4" t="s">
        <v>56</v>
      </c>
      <c r="H933" s="4" t="s">
        <v>39</v>
      </c>
      <c r="I933" s="4" t="s">
        <v>636</v>
      </c>
      <c r="J933" s="4" t="s">
        <v>392</v>
      </c>
      <c r="K933" s="4" t="s">
        <v>3930</v>
      </c>
      <c r="L933" s="4" t="str">
        <f aca="false">IF(TRIM(LOWER(E933))=TRIM(LOWER(J933)),"Match","Different")</f>
        <v>Different</v>
      </c>
    </row>
    <row r="934" customFormat="false" ht="15" hidden="false" customHeight="false" outlineLevel="0" collapsed="false">
      <c r="A934" s="4" t="s">
        <v>3933</v>
      </c>
      <c r="B934" s="4" t="s">
        <v>3927</v>
      </c>
      <c r="C934" s="4" t="s">
        <v>3936</v>
      </c>
      <c r="D934" s="4" t="s">
        <v>3937</v>
      </c>
      <c r="E934" s="4" t="s">
        <v>25</v>
      </c>
      <c r="F934" s="4" t="s">
        <v>3929</v>
      </c>
      <c r="G934" s="4" t="s">
        <v>56</v>
      </c>
      <c r="H934" s="4" t="s">
        <v>39</v>
      </c>
      <c r="I934" s="4" t="s">
        <v>636</v>
      </c>
      <c r="J934" s="4" t="s">
        <v>392</v>
      </c>
      <c r="K934" s="4" t="s">
        <v>3930</v>
      </c>
      <c r="L934" s="4" t="str">
        <f aca="false">IF(TRIM(LOWER(E934))=TRIM(LOWER(J934)),"Match","Different")</f>
        <v>Different</v>
      </c>
    </row>
    <row r="935" customFormat="false" ht="15" hidden="false" customHeight="false" outlineLevel="0" collapsed="false">
      <c r="A935" s="4" t="s">
        <v>3938</v>
      </c>
      <c r="B935" s="4" t="s">
        <v>3927</v>
      </c>
      <c r="C935" s="4" t="s">
        <v>3939</v>
      </c>
      <c r="D935" s="4" t="s">
        <v>3940</v>
      </c>
      <c r="E935" s="4" t="s">
        <v>25</v>
      </c>
      <c r="F935" s="4" t="s">
        <v>3929</v>
      </c>
      <c r="G935" s="4" t="s">
        <v>56</v>
      </c>
      <c r="H935" s="4" t="s">
        <v>39</v>
      </c>
      <c r="I935" s="4" t="s">
        <v>636</v>
      </c>
      <c r="J935" s="4" t="s">
        <v>392</v>
      </c>
      <c r="K935" s="4" t="s">
        <v>3930</v>
      </c>
      <c r="L935" s="4" t="str">
        <f aca="false">IF(TRIM(LOWER(E935))=TRIM(LOWER(J935)),"Match","Different")</f>
        <v>Different</v>
      </c>
    </row>
    <row r="936" customFormat="false" ht="15" hidden="false" customHeight="false" outlineLevel="0" collapsed="false">
      <c r="A936" s="4" t="s">
        <v>3941</v>
      </c>
      <c r="B936" s="4" t="s">
        <v>3942</v>
      </c>
      <c r="C936" s="4" t="s">
        <v>3943</v>
      </c>
      <c r="D936" s="4"/>
      <c r="E936" s="4" t="s">
        <v>54</v>
      </c>
      <c r="F936" s="4" t="s">
        <v>3944</v>
      </c>
      <c r="G936" s="4" t="s">
        <v>56</v>
      </c>
      <c r="H936" s="4" t="s">
        <v>66</v>
      </c>
      <c r="I936" s="4" t="s">
        <v>1206</v>
      </c>
      <c r="J936" s="4" t="s">
        <v>30</v>
      </c>
      <c r="K936" s="4" t="s">
        <v>3945</v>
      </c>
      <c r="L936" s="4" t="str">
        <f aca="false">IF(TRIM(LOWER(E936))=TRIM(LOWER(J936)),"Match","Different")</f>
        <v>Different</v>
      </c>
    </row>
    <row r="937" customFormat="false" ht="15" hidden="false" customHeight="false" outlineLevel="0" collapsed="false">
      <c r="A937" s="4" t="s">
        <v>3946</v>
      </c>
      <c r="B937" s="4" t="s">
        <v>3947</v>
      </c>
      <c r="C937" s="4" t="s">
        <v>3948</v>
      </c>
      <c r="D937" s="4" t="s">
        <v>3949</v>
      </c>
      <c r="E937" s="4" t="s">
        <v>892</v>
      </c>
      <c r="F937" s="4" t="s">
        <v>3950</v>
      </c>
      <c r="G937" s="4" t="s">
        <v>136</v>
      </c>
      <c r="H937" s="4" t="s">
        <v>66</v>
      </c>
      <c r="I937" s="4" t="s">
        <v>297</v>
      </c>
      <c r="J937" s="4" t="s">
        <v>30</v>
      </c>
      <c r="K937" s="4" t="s">
        <v>3951</v>
      </c>
      <c r="L937" s="4" t="str">
        <f aca="false">IF(TRIM(LOWER(E937))=TRIM(LOWER(J937)),"Match","Different")</f>
        <v>Different</v>
      </c>
    </row>
    <row r="938" customFormat="false" ht="15" hidden="false" customHeight="false" outlineLevel="0" collapsed="false">
      <c r="A938" s="4" t="s">
        <v>3952</v>
      </c>
      <c r="B938" s="4" t="s">
        <v>3953</v>
      </c>
      <c r="C938" s="4" t="s">
        <v>3954</v>
      </c>
      <c r="D938" s="4" t="s">
        <v>3955</v>
      </c>
      <c r="E938" s="4" t="s">
        <v>25</v>
      </c>
      <c r="F938" s="4" t="s">
        <v>3956</v>
      </c>
      <c r="G938" s="4" t="s">
        <v>136</v>
      </c>
      <c r="H938" s="4" t="s">
        <v>66</v>
      </c>
      <c r="I938" s="4" t="s">
        <v>91</v>
      </c>
      <c r="J938" s="4" t="s">
        <v>100</v>
      </c>
      <c r="K938" s="4" t="s">
        <v>3957</v>
      </c>
      <c r="L938" s="4" t="str">
        <f aca="false">IF(TRIM(LOWER(E938))=TRIM(LOWER(J938)),"Match","Different")</f>
        <v>Different</v>
      </c>
    </row>
    <row r="939" customFormat="false" ht="15" hidden="false" customHeight="false" outlineLevel="0" collapsed="false">
      <c r="A939" s="4" t="s">
        <v>3958</v>
      </c>
      <c r="B939" s="4" t="s">
        <v>3959</v>
      </c>
      <c r="C939" s="4" t="s">
        <v>3960</v>
      </c>
      <c r="D939" s="4" t="s">
        <v>3961</v>
      </c>
      <c r="E939" s="4" t="s">
        <v>170</v>
      </c>
      <c r="F939" s="4" t="s">
        <v>3962</v>
      </c>
      <c r="G939" s="4" t="s">
        <v>56</v>
      </c>
      <c r="H939" s="4" t="s">
        <v>172</v>
      </c>
      <c r="I939" s="4" t="s">
        <v>3963</v>
      </c>
      <c r="J939" s="4" t="s">
        <v>174</v>
      </c>
      <c r="K939" s="4" t="s">
        <v>3964</v>
      </c>
      <c r="L939" s="4" t="str">
        <f aca="false">IF(TRIM(LOWER(E939))=TRIM(LOWER(J939)),"Match","Different")</f>
        <v>Different</v>
      </c>
    </row>
    <row r="940" customFormat="false" ht="15" hidden="false" customHeight="false" outlineLevel="0" collapsed="false">
      <c r="A940" s="4" t="s">
        <v>3965</v>
      </c>
      <c r="B940" s="4" t="s">
        <v>3959</v>
      </c>
      <c r="C940" s="4"/>
      <c r="D940" s="4" t="s">
        <v>3966</v>
      </c>
      <c r="E940" s="4" t="s">
        <v>170</v>
      </c>
      <c r="F940" s="4" t="s">
        <v>3962</v>
      </c>
      <c r="G940" s="4" t="s">
        <v>56</v>
      </c>
      <c r="H940" s="4" t="s">
        <v>172</v>
      </c>
      <c r="I940" s="4" t="s">
        <v>3963</v>
      </c>
      <c r="J940" s="4" t="s">
        <v>174</v>
      </c>
      <c r="K940" s="4" t="s">
        <v>3964</v>
      </c>
      <c r="L940" s="4" t="str">
        <f aca="false">IF(TRIM(LOWER(E940))=TRIM(LOWER(J940)),"Match","Different")</f>
        <v>Different</v>
      </c>
    </row>
    <row r="941" customFormat="false" ht="15" hidden="false" customHeight="false" outlineLevel="0" collapsed="false">
      <c r="A941" s="4" t="s">
        <v>3967</v>
      </c>
      <c r="B941" s="4" t="s">
        <v>3959</v>
      </c>
      <c r="C941" s="4"/>
      <c r="D941" s="4" t="s">
        <v>3968</v>
      </c>
      <c r="E941" s="4" t="s">
        <v>170</v>
      </c>
      <c r="F941" s="4" t="s">
        <v>3962</v>
      </c>
      <c r="G941" s="4" t="s">
        <v>56</v>
      </c>
      <c r="H941" s="4" t="s">
        <v>172</v>
      </c>
      <c r="I941" s="4" t="s">
        <v>3963</v>
      </c>
      <c r="J941" s="4" t="s">
        <v>174</v>
      </c>
      <c r="K941" s="4" t="s">
        <v>3964</v>
      </c>
      <c r="L941" s="4" t="str">
        <f aca="false">IF(TRIM(LOWER(E941))=TRIM(LOWER(J941)),"Match","Different")</f>
        <v>Different</v>
      </c>
    </row>
    <row r="942" customFormat="false" ht="15" hidden="false" customHeight="false" outlineLevel="0" collapsed="false">
      <c r="A942" s="4" t="s">
        <v>3969</v>
      </c>
      <c r="B942" s="4" t="s">
        <v>3970</v>
      </c>
      <c r="C942" s="4" t="s">
        <v>3971</v>
      </c>
      <c r="D942" s="4" t="s">
        <v>3972</v>
      </c>
      <c r="E942" s="4" t="s">
        <v>64</v>
      </c>
      <c r="F942" s="4" t="s">
        <v>3973</v>
      </c>
      <c r="G942" s="4" t="s">
        <v>38</v>
      </c>
      <c r="H942" s="4" t="s">
        <v>39</v>
      </c>
      <c r="I942" s="4" t="s">
        <v>514</v>
      </c>
      <c r="J942" s="4" t="s">
        <v>64</v>
      </c>
      <c r="K942" s="4" t="s">
        <v>3971</v>
      </c>
      <c r="L942" s="4" t="str">
        <f aca="false">IF(TRIM(LOWER(E942))=TRIM(LOWER(J942)),"Match","Different")</f>
        <v>Match</v>
      </c>
    </row>
    <row r="943" customFormat="false" ht="15" hidden="false" customHeight="false" outlineLevel="0" collapsed="false">
      <c r="A943" s="4" t="s">
        <v>3974</v>
      </c>
      <c r="B943" s="4" t="s">
        <v>3975</v>
      </c>
      <c r="C943" s="4" t="s">
        <v>3976</v>
      </c>
      <c r="D943" s="4" t="s">
        <v>3977</v>
      </c>
      <c r="E943" s="4" t="s">
        <v>89</v>
      </c>
      <c r="F943" s="4" t="s">
        <v>3978</v>
      </c>
      <c r="G943" s="4" t="s">
        <v>136</v>
      </c>
      <c r="H943" s="4" t="s">
        <v>39</v>
      </c>
      <c r="I943" s="4" t="s">
        <v>67</v>
      </c>
      <c r="J943" s="4" t="s">
        <v>30</v>
      </c>
      <c r="K943" s="4" t="s">
        <v>3976</v>
      </c>
      <c r="L943" s="4" t="str">
        <f aca="false">IF(TRIM(LOWER(E943))=TRIM(LOWER(J943)),"Match","Different")</f>
        <v>Different</v>
      </c>
    </row>
    <row r="944" customFormat="false" ht="15" hidden="false" customHeight="false" outlineLevel="0" collapsed="false">
      <c r="A944" s="4" t="s">
        <v>3979</v>
      </c>
      <c r="B944" s="4" t="s">
        <v>3980</v>
      </c>
      <c r="C944" s="4" t="s">
        <v>3981</v>
      </c>
      <c r="D944" s="4" t="s">
        <v>3982</v>
      </c>
      <c r="E944" s="4" t="s">
        <v>89</v>
      </c>
      <c r="F944" s="4" t="s">
        <v>3983</v>
      </c>
      <c r="G944" s="4" t="s">
        <v>27</v>
      </c>
      <c r="H944" s="4" t="s">
        <v>39</v>
      </c>
      <c r="I944" s="4" t="s">
        <v>3611</v>
      </c>
      <c r="J944" s="4" t="s">
        <v>30</v>
      </c>
      <c r="K944" s="4" t="s">
        <v>3981</v>
      </c>
      <c r="L944" s="4" t="str">
        <f aca="false">IF(TRIM(LOWER(E944))=TRIM(LOWER(J944)),"Match","Different")</f>
        <v>Different</v>
      </c>
    </row>
    <row r="945" customFormat="false" ht="15" hidden="false" customHeight="false" outlineLevel="0" collapsed="false">
      <c r="A945" s="4" t="s">
        <v>3984</v>
      </c>
      <c r="B945" s="4" t="s">
        <v>3985</v>
      </c>
      <c r="C945" s="4" t="s">
        <v>3986</v>
      </c>
      <c r="D945" s="4"/>
      <c r="E945" s="4" t="s">
        <v>25</v>
      </c>
      <c r="F945" s="4" t="s">
        <v>3987</v>
      </c>
      <c r="G945" s="4" t="s">
        <v>207</v>
      </c>
      <c r="H945" s="4" t="s">
        <v>66</v>
      </c>
      <c r="I945" s="4" t="s">
        <v>3988</v>
      </c>
      <c r="J945" s="4" t="s">
        <v>32</v>
      </c>
      <c r="K945" s="4" t="s">
        <v>3986</v>
      </c>
      <c r="L945" s="4" t="str">
        <f aca="false">IF(TRIM(LOWER(E945))=TRIM(LOWER(J945)),"Match","Different")</f>
        <v>Different</v>
      </c>
    </row>
    <row r="946" customFormat="false" ht="15" hidden="false" customHeight="false" outlineLevel="0" collapsed="false">
      <c r="A946" s="4" t="s">
        <v>3989</v>
      </c>
      <c r="B946" s="4" t="s">
        <v>3990</v>
      </c>
      <c r="C946" s="4"/>
      <c r="D946" s="4"/>
      <c r="E946" s="4" t="s">
        <v>32</v>
      </c>
      <c r="F946" s="4" t="s">
        <v>3991</v>
      </c>
      <c r="G946" s="4" t="s">
        <v>136</v>
      </c>
      <c r="H946" s="4" t="s">
        <v>66</v>
      </c>
      <c r="I946" s="4" t="s">
        <v>91</v>
      </c>
      <c r="J946" s="4" t="s">
        <v>32</v>
      </c>
      <c r="K946" s="4" t="s">
        <v>3992</v>
      </c>
      <c r="L946" s="4" t="str">
        <f aca="false">IF(TRIM(LOWER(E946))=TRIM(LOWER(J946)),"Match","Different")</f>
        <v>Match</v>
      </c>
    </row>
    <row r="947" customFormat="false" ht="15" hidden="false" customHeight="false" outlineLevel="0" collapsed="false">
      <c r="A947" s="4" t="s">
        <v>3993</v>
      </c>
      <c r="B947" s="4" t="s">
        <v>3994</v>
      </c>
      <c r="C947" s="4" t="s">
        <v>3995</v>
      </c>
      <c r="D947" s="4" t="s">
        <v>3996</v>
      </c>
      <c r="E947" s="4" t="s">
        <v>50</v>
      </c>
      <c r="F947" s="4" t="s">
        <v>3997</v>
      </c>
      <c r="G947" s="4" t="s">
        <v>207</v>
      </c>
      <c r="H947" s="4" t="s">
        <v>39</v>
      </c>
      <c r="I947" s="4" t="s">
        <v>636</v>
      </c>
      <c r="J947" s="4" t="s">
        <v>50</v>
      </c>
      <c r="K947" s="4" t="s">
        <v>3998</v>
      </c>
      <c r="L947" s="4" t="str">
        <f aca="false">IF(TRIM(LOWER(E947))=TRIM(LOWER(J947)),"Match","Different")</f>
        <v>Match</v>
      </c>
    </row>
    <row r="948" customFormat="false" ht="15" hidden="false" customHeight="false" outlineLevel="0" collapsed="false">
      <c r="A948" s="4" t="s">
        <v>3999</v>
      </c>
      <c r="B948" s="4" t="s">
        <v>4000</v>
      </c>
      <c r="C948" s="4" t="s">
        <v>4001</v>
      </c>
      <c r="D948" s="4" t="s">
        <v>4002</v>
      </c>
      <c r="E948" s="4" t="s">
        <v>50</v>
      </c>
      <c r="F948" s="4" t="s">
        <v>4003</v>
      </c>
      <c r="G948" s="4" t="s">
        <v>27</v>
      </c>
      <c r="H948" s="4" t="s">
        <v>39</v>
      </c>
      <c r="I948" s="4" t="s">
        <v>4004</v>
      </c>
      <c r="J948" s="4" t="s">
        <v>32</v>
      </c>
      <c r="K948" s="4" t="s">
        <v>4005</v>
      </c>
      <c r="L948" s="4" t="str">
        <f aca="false">IF(TRIM(LOWER(E948))=TRIM(LOWER(J948)),"Match","Different")</f>
        <v>Different</v>
      </c>
    </row>
    <row r="949" customFormat="false" ht="15" hidden="false" customHeight="false" outlineLevel="0" collapsed="false">
      <c r="A949" s="4" t="s">
        <v>4006</v>
      </c>
      <c r="B949" s="4" t="s">
        <v>4000</v>
      </c>
      <c r="C949" s="4"/>
      <c r="D949" s="4"/>
      <c r="E949" s="4" t="s">
        <v>32</v>
      </c>
      <c r="F949" s="4" t="s">
        <v>4003</v>
      </c>
      <c r="G949" s="4" t="s">
        <v>27</v>
      </c>
      <c r="H949" s="4" t="s">
        <v>39</v>
      </c>
      <c r="I949" s="4" t="s">
        <v>4004</v>
      </c>
      <c r="J949" s="4" t="s">
        <v>32</v>
      </c>
      <c r="K949" s="4" t="s">
        <v>4005</v>
      </c>
      <c r="L949" s="4" t="str">
        <f aca="false">IF(TRIM(LOWER(E949))=TRIM(LOWER(J949)),"Match","Different")</f>
        <v>Match</v>
      </c>
    </row>
    <row r="950" customFormat="false" ht="15" hidden="false" customHeight="false" outlineLevel="0" collapsed="false">
      <c r="A950" s="4" t="s">
        <v>4007</v>
      </c>
      <c r="B950" s="4" t="s">
        <v>4000</v>
      </c>
      <c r="C950" s="4"/>
      <c r="D950" s="4" t="s">
        <v>4008</v>
      </c>
      <c r="E950" s="4" t="s">
        <v>383</v>
      </c>
      <c r="F950" s="4" t="s">
        <v>4003</v>
      </c>
      <c r="G950" s="4" t="s">
        <v>27</v>
      </c>
      <c r="H950" s="4" t="s">
        <v>39</v>
      </c>
      <c r="I950" s="4" t="s">
        <v>4004</v>
      </c>
      <c r="J950" s="4" t="s">
        <v>32</v>
      </c>
      <c r="K950" s="4" t="s">
        <v>4005</v>
      </c>
      <c r="L950" s="4" t="str">
        <f aca="false">IF(TRIM(LOWER(E950))=TRIM(LOWER(J950)),"Match","Different")</f>
        <v>Different</v>
      </c>
    </row>
    <row r="951" customFormat="false" ht="15" hidden="false" customHeight="false" outlineLevel="0" collapsed="false">
      <c r="A951" s="4" t="s">
        <v>4009</v>
      </c>
      <c r="B951" s="4" t="s">
        <v>4010</v>
      </c>
      <c r="C951" s="4" t="s">
        <v>4011</v>
      </c>
      <c r="D951" s="4"/>
      <c r="E951" s="4" t="s">
        <v>50</v>
      </c>
      <c r="F951" s="4" t="s">
        <v>4012</v>
      </c>
      <c r="G951" s="4" t="s">
        <v>1324</v>
      </c>
      <c r="H951" s="4" t="s">
        <v>39</v>
      </c>
      <c r="I951" s="4" t="s">
        <v>1105</v>
      </c>
      <c r="J951" s="4" t="s">
        <v>50</v>
      </c>
      <c r="K951" s="4" t="s">
        <v>4011</v>
      </c>
      <c r="L951" s="4" t="str">
        <f aca="false">IF(TRIM(LOWER(E951))=TRIM(LOWER(J951)),"Match","Different")</f>
        <v>Match</v>
      </c>
    </row>
    <row r="952" customFormat="false" ht="15" hidden="false" customHeight="false" outlineLevel="0" collapsed="false">
      <c r="A952" s="4" t="s">
        <v>4013</v>
      </c>
      <c r="B952" s="4" t="s">
        <v>4014</v>
      </c>
      <c r="C952" s="4" t="s">
        <v>4015</v>
      </c>
      <c r="D952" s="4"/>
      <c r="E952" s="4" t="s">
        <v>50</v>
      </c>
      <c r="F952" s="4" t="s">
        <v>4016</v>
      </c>
      <c r="G952" s="4" t="s">
        <v>27</v>
      </c>
      <c r="H952" s="4" t="s">
        <v>39</v>
      </c>
      <c r="I952" s="4" t="s">
        <v>162</v>
      </c>
      <c r="J952" s="4" t="s">
        <v>100</v>
      </c>
      <c r="K952" s="4" t="s">
        <v>4015</v>
      </c>
      <c r="L952" s="4" t="str">
        <f aca="false">IF(TRIM(LOWER(E952))=TRIM(LOWER(J952)),"Match","Different")</f>
        <v>Different</v>
      </c>
    </row>
    <row r="953" customFormat="false" ht="15" hidden="false" customHeight="false" outlineLevel="0" collapsed="false">
      <c r="A953" s="4" t="s">
        <v>3122</v>
      </c>
      <c r="B953" s="4" t="s">
        <v>4017</v>
      </c>
      <c r="C953" s="4" t="s">
        <v>4018</v>
      </c>
      <c r="D953" s="4" t="s">
        <v>4019</v>
      </c>
      <c r="E953" s="4" t="s">
        <v>25</v>
      </c>
      <c r="F953" s="4" t="s">
        <v>4020</v>
      </c>
      <c r="G953" s="4" t="s">
        <v>27</v>
      </c>
      <c r="H953" s="4" t="s">
        <v>498</v>
      </c>
      <c r="I953" s="4" t="s">
        <v>1585</v>
      </c>
      <c r="J953" s="4" t="s">
        <v>32</v>
      </c>
      <c r="K953" s="4" t="s">
        <v>4021</v>
      </c>
      <c r="L953" s="4" t="str">
        <f aca="false">IF(TRIM(LOWER(E953))=TRIM(LOWER(J953)),"Match","Different")</f>
        <v>Different</v>
      </c>
    </row>
    <row r="954" customFormat="false" ht="15" hidden="false" customHeight="false" outlineLevel="0" collapsed="false">
      <c r="A954" s="4" t="s">
        <v>3122</v>
      </c>
      <c r="B954" s="4" t="s">
        <v>4017</v>
      </c>
      <c r="C954" s="4"/>
      <c r="D954" s="4"/>
      <c r="E954" s="4" t="s">
        <v>32</v>
      </c>
      <c r="F954" s="4" t="s">
        <v>4020</v>
      </c>
      <c r="G954" s="4" t="s">
        <v>27</v>
      </c>
      <c r="H954" s="4" t="s">
        <v>498</v>
      </c>
      <c r="I954" s="4" t="s">
        <v>1585</v>
      </c>
      <c r="J954" s="4" t="s">
        <v>32</v>
      </c>
      <c r="K954" s="4" t="s">
        <v>4021</v>
      </c>
      <c r="L954" s="4" t="str">
        <f aca="false">IF(TRIM(LOWER(E954))=TRIM(LOWER(J954)),"Match","Different")</f>
        <v>Match</v>
      </c>
    </row>
    <row r="955" customFormat="false" ht="15" hidden="false" customHeight="false" outlineLevel="0" collapsed="false">
      <c r="A955" s="4" t="s">
        <v>4022</v>
      </c>
      <c r="B955" s="4" t="s">
        <v>4023</v>
      </c>
      <c r="C955" s="4"/>
      <c r="D955" s="4" t="s">
        <v>4024</v>
      </c>
      <c r="E955" s="4" t="s">
        <v>30</v>
      </c>
      <c r="F955" s="4" t="s">
        <v>4025</v>
      </c>
      <c r="G955" s="4" t="s">
        <v>27</v>
      </c>
      <c r="H955" s="4" t="s">
        <v>66</v>
      </c>
      <c r="I955" s="4" t="s">
        <v>1081</v>
      </c>
      <c r="J955" s="4" t="s">
        <v>30</v>
      </c>
      <c r="K955" s="4" t="s">
        <v>4026</v>
      </c>
      <c r="L955" s="4" t="str">
        <f aca="false">IF(TRIM(LOWER(E955))=TRIM(LOWER(J955)),"Match","Different")</f>
        <v>Match</v>
      </c>
    </row>
    <row r="956" customFormat="false" ht="15" hidden="false" customHeight="false" outlineLevel="0" collapsed="false">
      <c r="A956" s="4" t="s">
        <v>4027</v>
      </c>
      <c r="B956" s="4" t="s">
        <v>4023</v>
      </c>
      <c r="C956" s="4" t="s">
        <v>4026</v>
      </c>
      <c r="D956" s="4"/>
      <c r="E956" s="4" t="s">
        <v>50</v>
      </c>
      <c r="F956" s="4" t="s">
        <v>4025</v>
      </c>
      <c r="G956" s="4" t="s">
        <v>27</v>
      </c>
      <c r="H956" s="4" t="s">
        <v>66</v>
      </c>
      <c r="I956" s="4" t="s">
        <v>1081</v>
      </c>
      <c r="J956" s="4" t="s">
        <v>30</v>
      </c>
      <c r="K956" s="4" t="s">
        <v>4026</v>
      </c>
      <c r="L956" s="4" t="str">
        <f aca="false">IF(TRIM(LOWER(E956))=TRIM(LOWER(J956)),"Match","Different")</f>
        <v>Different</v>
      </c>
    </row>
    <row r="957" customFormat="false" ht="15" hidden="false" customHeight="false" outlineLevel="0" collapsed="false">
      <c r="A957" s="4" t="s">
        <v>4028</v>
      </c>
      <c r="B957" s="4" t="s">
        <v>4023</v>
      </c>
      <c r="C957" s="4"/>
      <c r="D957" s="4"/>
      <c r="E957" s="4" t="s">
        <v>32</v>
      </c>
      <c r="F957" s="4" t="s">
        <v>4025</v>
      </c>
      <c r="G957" s="4" t="s">
        <v>27</v>
      </c>
      <c r="H957" s="4" t="s">
        <v>66</v>
      </c>
      <c r="I957" s="4" t="s">
        <v>1081</v>
      </c>
      <c r="J957" s="4" t="s">
        <v>30</v>
      </c>
      <c r="K957" s="4" t="s">
        <v>4026</v>
      </c>
      <c r="L957" s="4" t="str">
        <f aca="false">IF(TRIM(LOWER(E957))=TRIM(LOWER(J957)),"Match","Different")</f>
        <v>Different</v>
      </c>
    </row>
    <row r="958" customFormat="false" ht="15" hidden="false" customHeight="false" outlineLevel="0" collapsed="false">
      <c r="A958" s="4" t="s">
        <v>4029</v>
      </c>
      <c r="B958" s="4" t="s">
        <v>4030</v>
      </c>
      <c r="C958" s="4" t="s">
        <v>4031</v>
      </c>
      <c r="D958" s="4"/>
      <c r="E958" s="4" t="s">
        <v>341</v>
      </c>
      <c r="F958" s="4" t="s">
        <v>4032</v>
      </c>
      <c r="G958" s="4" t="s">
        <v>359</v>
      </c>
      <c r="H958" s="4" t="s">
        <v>48</v>
      </c>
      <c r="I958" s="4" t="s">
        <v>194</v>
      </c>
      <c r="J958" s="4" t="s">
        <v>112</v>
      </c>
      <c r="K958" s="4" t="s">
        <v>4031</v>
      </c>
      <c r="L958" s="4" t="str">
        <f aca="false">IF(TRIM(LOWER(E958))=TRIM(LOWER(J958)),"Match","Different")</f>
        <v>Different</v>
      </c>
    </row>
    <row r="959" customFormat="false" ht="15" hidden="false" customHeight="false" outlineLevel="0" collapsed="false">
      <c r="A959" s="4" t="s">
        <v>4033</v>
      </c>
      <c r="B959" s="4" t="s">
        <v>4034</v>
      </c>
      <c r="C959" s="4" t="s">
        <v>4035</v>
      </c>
      <c r="D959" s="4"/>
      <c r="E959" s="4" t="s">
        <v>64</v>
      </c>
      <c r="F959" s="4" t="s">
        <v>4036</v>
      </c>
      <c r="G959" s="4" t="s">
        <v>56</v>
      </c>
      <c r="H959" s="4" t="s">
        <v>39</v>
      </c>
      <c r="I959" s="4" t="s">
        <v>99</v>
      </c>
      <c r="J959" s="4" t="s">
        <v>30</v>
      </c>
      <c r="K959" s="4" t="s">
        <v>4037</v>
      </c>
      <c r="L959" s="4" t="str">
        <f aca="false">IF(TRIM(LOWER(E959))=TRIM(LOWER(J959)),"Match","Different")</f>
        <v>Different</v>
      </c>
    </row>
    <row r="960" customFormat="false" ht="15" hidden="false" customHeight="false" outlineLevel="0" collapsed="false">
      <c r="A960" s="4" t="s">
        <v>4038</v>
      </c>
      <c r="B960" s="4" t="s">
        <v>4034</v>
      </c>
      <c r="C960" s="4" t="s">
        <v>4039</v>
      </c>
      <c r="D960" s="4" t="s">
        <v>4040</v>
      </c>
      <c r="E960" s="4" t="s">
        <v>64</v>
      </c>
      <c r="F960" s="4" t="s">
        <v>4036</v>
      </c>
      <c r="G960" s="4" t="s">
        <v>56</v>
      </c>
      <c r="H960" s="4" t="s">
        <v>39</v>
      </c>
      <c r="I960" s="4" t="s">
        <v>99</v>
      </c>
      <c r="J960" s="4" t="s">
        <v>30</v>
      </c>
      <c r="K960" s="4" t="s">
        <v>4037</v>
      </c>
      <c r="L960" s="4" t="str">
        <f aca="false">IF(TRIM(LOWER(E960))=TRIM(LOWER(J960)),"Match","Different")</f>
        <v>Different</v>
      </c>
    </row>
    <row r="961" customFormat="false" ht="15" hidden="false" customHeight="false" outlineLevel="0" collapsed="false">
      <c r="A961" s="4" t="s">
        <v>4041</v>
      </c>
      <c r="B961" s="4" t="s">
        <v>4034</v>
      </c>
      <c r="C961" s="4" t="s">
        <v>4042</v>
      </c>
      <c r="D961" s="4" t="s">
        <v>4043</v>
      </c>
      <c r="E961" s="4" t="s">
        <v>64</v>
      </c>
      <c r="F961" s="4" t="s">
        <v>4036</v>
      </c>
      <c r="G961" s="4" t="s">
        <v>56</v>
      </c>
      <c r="H961" s="4" t="s">
        <v>39</v>
      </c>
      <c r="I961" s="4" t="s">
        <v>99</v>
      </c>
      <c r="J961" s="4" t="s">
        <v>30</v>
      </c>
      <c r="K961" s="4" t="s">
        <v>4037</v>
      </c>
      <c r="L961" s="4" t="str">
        <f aca="false">IF(TRIM(LOWER(E961))=TRIM(LOWER(J961)),"Match","Different")</f>
        <v>Different</v>
      </c>
    </row>
    <row r="962" customFormat="false" ht="15" hidden="false" customHeight="false" outlineLevel="0" collapsed="false">
      <c r="A962" s="4" t="s">
        <v>4044</v>
      </c>
      <c r="B962" s="4" t="s">
        <v>4045</v>
      </c>
      <c r="C962" s="4" t="s">
        <v>4046</v>
      </c>
      <c r="D962" s="4" t="s">
        <v>4047</v>
      </c>
      <c r="E962" s="4" t="s">
        <v>45</v>
      </c>
      <c r="F962" s="4" t="s">
        <v>4048</v>
      </c>
      <c r="G962" s="4" t="s">
        <v>1324</v>
      </c>
      <c r="H962" s="4" t="s">
        <v>39</v>
      </c>
      <c r="I962" s="4" t="s">
        <v>732</v>
      </c>
      <c r="J962" s="4" t="s">
        <v>30</v>
      </c>
      <c r="K962" s="4" t="s">
        <v>4049</v>
      </c>
      <c r="L962" s="4" t="str">
        <f aca="false">IF(TRIM(LOWER(E962))=TRIM(LOWER(J962)),"Match","Different")</f>
        <v>Different</v>
      </c>
    </row>
    <row r="963" customFormat="false" ht="15" hidden="false" customHeight="false" outlineLevel="0" collapsed="false">
      <c r="A963" s="4" t="s">
        <v>4050</v>
      </c>
      <c r="B963" s="4" t="s">
        <v>4045</v>
      </c>
      <c r="C963" s="4"/>
      <c r="D963" s="4" t="s">
        <v>4051</v>
      </c>
      <c r="E963" s="4" t="s">
        <v>32</v>
      </c>
      <c r="F963" s="4" t="s">
        <v>4048</v>
      </c>
      <c r="G963" s="4" t="s">
        <v>1324</v>
      </c>
      <c r="H963" s="4" t="s">
        <v>39</v>
      </c>
      <c r="I963" s="4" t="s">
        <v>732</v>
      </c>
      <c r="J963" s="4" t="s">
        <v>30</v>
      </c>
      <c r="K963" s="4" t="s">
        <v>4049</v>
      </c>
      <c r="L963" s="4" t="str">
        <f aca="false">IF(TRIM(LOWER(E963))=TRIM(LOWER(J963)),"Match","Different")</f>
        <v>Different</v>
      </c>
    </row>
    <row r="964" customFormat="false" ht="15" hidden="false" customHeight="false" outlineLevel="0" collapsed="false">
      <c r="A964" s="4" t="s">
        <v>4052</v>
      </c>
      <c r="B964" s="4" t="s">
        <v>4053</v>
      </c>
      <c r="C964" s="4" t="s">
        <v>4054</v>
      </c>
      <c r="D964" s="4"/>
      <c r="E964" s="4" t="s">
        <v>45</v>
      </c>
      <c r="F964" s="4" t="s">
        <v>4055</v>
      </c>
      <c r="G964" s="4" t="s">
        <v>122</v>
      </c>
      <c r="H964" s="4" t="s">
        <v>66</v>
      </c>
      <c r="I964" s="4" t="s">
        <v>712</v>
      </c>
      <c r="J964" s="4" t="s">
        <v>30</v>
      </c>
      <c r="K964" s="4" t="s">
        <v>4054</v>
      </c>
      <c r="L964" s="4" t="str">
        <f aca="false">IF(TRIM(LOWER(E964))=TRIM(LOWER(J964)),"Match","Different")</f>
        <v>Different</v>
      </c>
    </row>
    <row r="965" customFormat="false" ht="15" hidden="false" customHeight="false" outlineLevel="0" collapsed="false">
      <c r="A965" s="4" t="s">
        <v>4056</v>
      </c>
      <c r="B965" s="4" t="s">
        <v>4057</v>
      </c>
      <c r="C965" s="4" t="s">
        <v>4058</v>
      </c>
      <c r="D965" s="4"/>
      <c r="E965" s="4" t="s">
        <v>89</v>
      </c>
      <c r="F965" s="4" t="s">
        <v>4059</v>
      </c>
      <c r="G965" s="4" t="s">
        <v>47</v>
      </c>
      <c r="H965" s="4" t="s">
        <v>66</v>
      </c>
      <c r="I965" s="4" t="s">
        <v>91</v>
      </c>
      <c r="J965" s="4" t="s">
        <v>30</v>
      </c>
      <c r="K965" s="4" t="s">
        <v>4058</v>
      </c>
      <c r="L965" s="4" t="str">
        <f aca="false">IF(TRIM(LOWER(E965))=TRIM(LOWER(J965)),"Match","Different")</f>
        <v>Different</v>
      </c>
    </row>
    <row r="966" customFormat="false" ht="15" hidden="false" customHeight="false" outlineLevel="0" collapsed="false">
      <c r="A966" s="4" t="s">
        <v>4060</v>
      </c>
      <c r="B966" s="4" t="s">
        <v>4061</v>
      </c>
      <c r="C966" s="4" t="s">
        <v>4062</v>
      </c>
      <c r="D966" s="4"/>
      <c r="E966" s="4" t="s">
        <v>45</v>
      </c>
      <c r="F966" s="4" t="s">
        <v>4063</v>
      </c>
      <c r="G966" s="4" t="s">
        <v>27</v>
      </c>
      <c r="H966" s="4" t="s">
        <v>66</v>
      </c>
      <c r="I966" s="4" t="s">
        <v>99</v>
      </c>
      <c r="J966" s="4" t="s">
        <v>104</v>
      </c>
      <c r="K966" s="4" t="s">
        <v>4064</v>
      </c>
      <c r="L966" s="4" t="str">
        <f aca="false">IF(TRIM(LOWER(E966))=TRIM(LOWER(J966)),"Match","Different")</f>
        <v>Different</v>
      </c>
    </row>
    <row r="967" customFormat="false" ht="15" hidden="false" customHeight="false" outlineLevel="0" collapsed="false">
      <c r="A967" s="4" t="s">
        <v>4065</v>
      </c>
      <c r="B967" s="4" t="s">
        <v>4061</v>
      </c>
      <c r="C967" s="4" t="s">
        <v>4066</v>
      </c>
      <c r="D967" s="4" t="s">
        <v>4067</v>
      </c>
      <c r="E967" s="4" t="s">
        <v>89</v>
      </c>
      <c r="F967" s="4" t="s">
        <v>4063</v>
      </c>
      <c r="G967" s="4" t="s">
        <v>27</v>
      </c>
      <c r="H967" s="4" t="s">
        <v>66</v>
      </c>
      <c r="I967" s="4" t="s">
        <v>99</v>
      </c>
      <c r="J967" s="4" t="s">
        <v>104</v>
      </c>
      <c r="K967" s="4" t="s">
        <v>4064</v>
      </c>
      <c r="L967" s="4" t="str">
        <f aca="false">IF(TRIM(LOWER(E967))=TRIM(LOWER(J967)),"Match","Different")</f>
        <v>Different</v>
      </c>
    </row>
    <row r="968" customFormat="false" ht="15" hidden="false" customHeight="false" outlineLevel="0" collapsed="false">
      <c r="A968" s="4" t="s">
        <v>4068</v>
      </c>
      <c r="B968" s="4" t="s">
        <v>4069</v>
      </c>
      <c r="C968" s="4" t="s">
        <v>4070</v>
      </c>
      <c r="D968" s="4" t="s">
        <v>4071</v>
      </c>
      <c r="E968" s="4" t="s">
        <v>89</v>
      </c>
      <c r="F968" s="4" t="s">
        <v>4072</v>
      </c>
      <c r="G968" s="4" t="s">
        <v>27</v>
      </c>
      <c r="H968" s="4" t="s">
        <v>1104</v>
      </c>
      <c r="I968" s="4" t="s">
        <v>1105</v>
      </c>
      <c r="J968" s="4" t="s">
        <v>763</v>
      </c>
      <c r="K968" s="4" t="s">
        <v>4070</v>
      </c>
      <c r="L968" s="4" t="str">
        <f aca="false">IF(TRIM(LOWER(E968))=TRIM(LOWER(J968)),"Match","Different")</f>
        <v>Different</v>
      </c>
    </row>
    <row r="969" customFormat="false" ht="15" hidden="false" customHeight="false" outlineLevel="0" collapsed="false">
      <c r="A969" s="4" t="s">
        <v>2165</v>
      </c>
      <c r="B969" s="4" t="s">
        <v>4073</v>
      </c>
      <c r="C969" s="4" t="s">
        <v>4074</v>
      </c>
      <c r="D969" s="4" t="s">
        <v>4075</v>
      </c>
      <c r="E969" s="4" t="s">
        <v>50</v>
      </c>
      <c r="F969" s="4" t="s">
        <v>4076</v>
      </c>
      <c r="G969" s="4" t="s">
        <v>1324</v>
      </c>
      <c r="H969" s="4" t="s">
        <v>39</v>
      </c>
      <c r="I969" s="4" t="s">
        <v>99</v>
      </c>
      <c r="J969" s="4" t="s">
        <v>50</v>
      </c>
      <c r="K969" s="4" t="s">
        <v>4077</v>
      </c>
      <c r="L969" s="4" t="str">
        <f aca="false">IF(TRIM(LOWER(E969))=TRIM(LOWER(J969)),"Match","Different")</f>
        <v>Match</v>
      </c>
    </row>
    <row r="970" customFormat="false" ht="15" hidden="false" customHeight="false" outlineLevel="0" collapsed="false">
      <c r="A970" s="4" t="s">
        <v>4078</v>
      </c>
      <c r="B970" s="4" t="s">
        <v>4079</v>
      </c>
      <c r="C970" s="4" t="s">
        <v>4080</v>
      </c>
      <c r="D970" s="4"/>
      <c r="E970" s="4" t="s">
        <v>341</v>
      </c>
      <c r="F970" s="4" t="s">
        <v>4081</v>
      </c>
      <c r="G970" s="4" t="s">
        <v>56</v>
      </c>
      <c r="H970" s="4" t="s">
        <v>39</v>
      </c>
      <c r="I970" s="4" t="s">
        <v>147</v>
      </c>
      <c r="J970" s="4" t="s">
        <v>32</v>
      </c>
      <c r="K970" s="4" t="s">
        <v>4082</v>
      </c>
      <c r="L970" s="4" t="str">
        <f aca="false">IF(TRIM(LOWER(E970))=TRIM(LOWER(J970)),"Match","Different")</f>
        <v>Different</v>
      </c>
    </row>
    <row r="971" customFormat="false" ht="15" hidden="false" customHeight="false" outlineLevel="0" collapsed="false">
      <c r="A971" s="4" t="s">
        <v>4083</v>
      </c>
      <c r="B971" s="4" t="s">
        <v>4079</v>
      </c>
      <c r="C971" s="4" t="s">
        <v>4082</v>
      </c>
      <c r="D971" s="4"/>
      <c r="E971" s="4" t="s">
        <v>50</v>
      </c>
      <c r="F971" s="4" t="s">
        <v>4081</v>
      </c>
      <c r="G971" s="4" t="s">
        <v>56</v>
      </c>
      <c r="H971" s="4" t="s">
        <v>39</v>
      </c>
      <c r="I971" s="4" t="s">
        <v>147</v>
      </c>
      <c r="J971" s="4" t="s">
        <v>32</v>
      </c>
      <c r="K971" s="4" t="s">
        <v>4082</v>
      </c>
      <c r="L971" s="4" t="str">
        <f aca="false">IF(TRIM(LOWER(E971))=TRIM(LOWER(J971)),"Match","Different")</f>
        <v>Different</v>
      </c>
    </row>
    <row r="972" customFormat="false" ht="15" hidden="false" customHeight="false" outlineLevel="0" collapsed="false">
      <c r="A972" s="4" t="s">
        <v>4084</v>
      </c>
      <c r="B972" s="4" t="s">
        <v>4085</v>
      </c>
      <c r="C972" s="4" t="s">
        <v>4086</v>
      </c>
      <c r="D972" s="4" t="s">
        <v>4087</v>
      </c>
      <c r="E972" s="4" t="s">
        <v>89</v>
      </c>
      <c r="F972" s="4" t="s">
        <v>4088</v>
      </c>
      <c r="G972" s="4" t="s">
        <v>82</v>
      </c>
      <c r="H972" s="4" t="s">
        <v>66</v>
      </c>
      <c r="I972" s="4" t="s">
        <v>536</v>
      </c>
      <c r="J972" s="4" t="s">
        <v>92</v>
      </c>
      <c r="K972" s="4" t="s">
        <v>4089</v>
      </c>
      <c r="L972" s="4" t="str">
        <f aca="false">IF(TRIM(LOWER(E972))=TRIM(LOWER(J972)),"Match","Different")</f>
        <v>Different</v>
      </c>
    </row>
    <row r="973" customFormat="false" ht="15" hidden="false" customHeight="false" outlineLevel="0" collapsed="false">
      <c r="A973" s="4" t="s">
        <v>4090</v>
      </c>
      <c r="B973" s="4" t="s">
        <v>4091</v>
      </c>
      <c r="C973" s="4" t="s">
        <v>4092</v>
      </c>
      <c r="D973" s="4" t="s">
        <v>4093</v>
      </c>
      <c r="E973" s="4" t="s">
        <v>104</v>
      </c>
      <c r="F973" s="4" t="s">
        <v>4094</v>
      </c>
      <c r="G973" s="4" t="s">
        <v>27</v>
      </c>
      <c r="H973" s="4" t="s">
        <v>28</v>
      </c>
      <c r="I973" s="4" t="s">
        <v>99</v>
      </c>
      <c r="J973" s="4" t="s">
        <v>104</v>
      </c>
      <c r="K973" s="4" t="s">
        <v>4095</v>
      </c>
      <c r="L973" s="4" t="str">
        <f aca="false">IF(TRIM(LOWER(E973))=TRIM(LOWER(J973)),"Match","Different")</f>
        <v>Match</v>
      </c>
    </row>
    <row r="974" customFormat="false" ht="15" hidden="false" customHeight="false" outlineLevel="0" collapsed="false">
      <c r="A974" s="4" t="s">
        <v>4096</v>
      </c>
      <c r="B974" s="4" t="s">
        <v>4097</v>
      </c>
      <c r="C974" s="4" t="s">
        <v>4098</v>
      </c>
      <c r="D974" s="4" t="s">
        <v>4099</v>
      </c>
      <c r="E974" s="4" t="s">
        <v>25</v>
      </c>
      <c r="F974" s="4" t="s">
        <v>4100</v>
      </c>
      <c r="G974" s="4" t="s">
        <v>56</v>
      </c>
      <c r="H974" s="4" t="s">
        <v>39</v>
      </c>
      <c r="I974" s="4" t="s">
        <v>881</v>
      </c>
      <c r="J974" s="4" t="s">
        <v>50</v>
      </c>
      <c r="K974" s="4" t="s">
        <v>4101</v>
      </c>
      <c r="L974" s="4" t="str">
        <f aca="false">IF(TRIM(LOWER(E974))=TRIM(LOWER(J974)),"Match","Different")</f>
        <v>Different</v>
      </c>
    </row>
    <row r="975" customFormat="false" ht="15" hidden="false" customHeight="false" outlineLevel="0" collapsed="false">
      <c r="A975" s="4" t="s">
        <v>4102</v>
      </c>
      <c r="B975" s="4" t="s">
        <v>4103</v>
      </c>
      <c r="C975" s="4" t="s">
        <v>4104</v>
      </c>
      <c r="D975" s="4"/>
      <c r="E975" s="4" t="s">
        <v>170</v>
      </c>
      <c r="F975" s="4" t="s">
        <v>4105</v>
      </c>
      <c r="G975" s="4" t="s">
        <v>56</v>
      </c>
      <c r="H975" s="4" t="s">
        <v>172</v>
      </c>
      <c r="I975" s="4" t="s">
        <v>173</v>
      </c>
      <c r="J975" s="4" t="s">
        <v>174</v>
      </c>
      <c r="K975" s="4" t="s">
        <v>4106</v>
      </c>
      <c r="L975" s="4" t="str">
        <f aca="false">IF(TRIM(LOWER(E975))=TRIM(LOWER(J975)),"Match","Different")</f>
        <v>Different</v>
      </c>
    </row>
    <row r="976" customFormat="false" ht="15" hidden="false" customHeight="false" outlineLevel="0" collapsed="false">
      <c r="A976" s="4" t="s">
        <v>4107</v>
      </c>
      <c r="B976" s="4" t="s">
        <v>4103</v>
      </c>
      <c r="C976" s="4" t="s">
        <v>4108</v>
      </c>
      <c r="D976" s="4" t="s">
        <v>4109</v>
      </c>
      <c r="E976" s="4" t="s">
        <v>170</v>
      </c>
      <c r="F976" s="4" t="s">
        <v>4105</v>
      </c>
      <c r="G976" s="4" t="s">
        <v>56</v>
      </c>
      <c r="H976" s="4" t="s">
        <v>172</v>
      </c>
      <c r="I976" s="4" t="s">
        <v>173</v>
      </c>
      <c r="J976" s="4" t="s">
        <v>174</v>
      </c>
      <c r="K976" s="4" t="s">
        <v>4106</v>
      </c>
      <c r="L976" s="4" t="str">
        <f aca="false">IF(TRIM(LOWER(E976))=TRIM(LOWER(J976)),"Match","Different")</f>
        <v>Different</v>
      </c>
    </row>
    <row r="977" customFormat="false" ht="15" hidden="false" customHeight="false" outlineLevel="0" collapsed="false">
      <c r="A977" s="4" t="s">
        <v>4110</v>
      </c>
      <c r="B977" s="4" t="s">
        <v>4111</v>
      </c>
      <c r="C977" s="4" t="s">
        <v>4112</v>
      </c>
      <c r="D977" s="4"/>
      <c r="E977" s="4" t="s">
        <v>54</v>
      </c>
      <c r="F977" s="4" t="s">
        <v>4113</v>
      </c>
      <c r="G977" s="4" t="s">
        <v>56</v>
      </c>
      <c r="H977" s="4" t="s">
        <v>1601</v>
      </c>
      <c r="I977" s="4" t="s">
        <v>430</v>
      </c>
      <c r="J977" s="4" t="s">
        <v>30</v>
      </c>
      <c r="K977" s="4" t="s">
        <v>4114</v>
      </c>
      <c r="L977" s="4" t="str">
        <f aca="false">IF(TRIM(LOWER(E977))=TRIM(LOWER(J977)),"Match","Different")</f>
        <v>Different</v>
      </c>
    </row>
    <row r="978" customFormat="false" ht="15" hidden="false" customHeight="false" outlineLevel="0" collapsed="false">
      <c r="A978" s="4" t="s">
        <v>4110</v>
      </c>
      <c r="B978" s="4" t="s">
        <v>4111</v>
      </c>
      <c r="C978" s="4" t="s">
        <v>4114</v>
      </c>
      <c r="D978" s="4"/>
      <c r="E978" s="4" t="s">
        <v>341</v>
      </c>
      <c r="F978" s="4" t="s">
        <v>4113</v>
      </c>
      <c r="G978" s="4" t="s">
        <v>56</v>
      </c>
      <c r="H978" s="4" t="s">
        <v>1601</v>
      </c>
      <c r="I978" s="4" t="s">
        <v>430</v>
      </c>
      <c r="J978" s="4" t="s">
        <v>30</v>
      </c>
      <c r="K978" s="4" t="s">
        <v>4114</v>
      </c>
      <c r="L978" s="4" t="str">
        <f aca="false">IF(TRIM(LOWER(E978))=TRIM(LOWER(J978)),"Match","Different")</f>
        <v>Different</v>
      </c>
    </row>
    <row r="979" customFormat="false" ht="15" hidden="false" customHeight="false" outlineLevel="0" collapsed="false">
      <c r="A979" s="4" t="s">
        <v>4115</v>
      </c>
      <c r="B979" s="4" t="s">
        <v>4111</v>
      </c>
      <c r="C979" s="4"/>
      <c r="D979" s="4"/>
      <c r="E979" s="4" t="s">
        <v>54</v>
      </c>
      <c r="F979" s="4" t="s">
        <v>4113</v>
      </c>
      <c r="G979" s="4" t="s">
        <v>56</v>
      </c>
      <c r="H979" s="4" t="s">
        <v>1601</v>
      </c>
      <c r="I979" s="4" t="s">
        <v>430</v>
      </c>
      <c r="J979" s="4" t="s">
        <v>30</v>
      </c>
      <c r="K979" s="4" t="s">
        <v>4114</v>
      </c>
      <c r="L979" s="4" t="str">
        <f aca="false">IF(TRIM(LOWER(E979))=TRIM(LOWER(J979)),"Match","Different")</f>
        <v>Different</v>
      </c>
    </row>
    <row r="980" customFormat="false" ht="15" hidden="false" customHeight="false" outlineLevel="0" collapsed="false">
      <c r="A980" s="4" t="s">
        <v>4116</v>
      </c>
      <c r="B980" s="4" t="s">
        <v>4117</v>
      </c>
      <c r="C980" s="4" t="s">
        <v>4118</v>
      </c>
      <c r="D980" s="4"/>
      <c r="E980" s="4" t="s">
        <v>341</v>
      </c>
      <c r="F980" s="4" t="s">
        <v>4119</v>
      </c>
      <c r="G980" s="4" t="s">
        <v>56</v>
      </c>
      <c r="H980" s="4" t="s">
        <v>66</v>
      </c>
      <c r="I980" s="4" t="s">
        <v>536</v>
      </c>
      <c r="J980" s="4" t="s">
        <v>30</v>
      </c>
      <c r="K980" s="4" t="s">
        <v>4120</v>
      </c>
      <c r="L980" s="4" t="str">
        <f aca="false">IF(TRIM(LOWER(E980))=TRIM(LOWER(J980)),"Match","Different")</f>
        <v>Different</v>
      </c>
    </row>
    <row r="981" customFormat="false" ht="15" hidden="false" customHeight="false" outlineLevel="0" collapsed="false">
      <c r="A981" s="4" t="s">
        <v>4121</v>
      </c>
      <c r="B981" s="4" t="s">
        <v>4122</v>
      </c>
      <c r="C981" s="4" t="s">
        <v>4123</v>
      </c>
      <c r="D981" s="4" t="s">
        <v>1363</v>
      </c>
      <c r="E981" s="4" t="s">
        <v>50</v>
      </c>
      <c r="F981" s="4" t="s">
        <v>4124</v>
      </c>
      <c r="G981" s="4" t="s">
        <v>56</v>
      </c>
      <c r="H981" s="4" t="s">
        <v>39</v>
      </c>
      <c r="I981" s="4" t="s">
        <v>67</v>
      </c>
      <c r="J981" s="4" t="s">
        <v>50</v>
      </c>
      <c r="K981" s="4" t="s">
        <v>4125</v>
      </c>
      <c r="L981" s="4" t="str">
        <f aca="false">IF(TRIM(LOWER(E981))=TRIM(LOWER(J981)),"Match","Different")</f>
        <v>Match</v>
      </c>
    </row>
    <row r="982" customFormat="false" ht="15" hidden="false" customHeight="false" outlineLevel="0" collapsed="false">
      <c r="A982" s="4" t="s">
        <v>4121</v>
      </c>
      <c r="B982" s="4" t="s">
        <v>4122</v>
      </c>
      <c r="C982" s="4" t="s">
        <v>4126</v>
      </c>
      <c r="D982" s="4"/>
      <c r="E982" s="4" t="s">
        <v>341</v>
      </c>
      <c r="F982" s="4" t="s">
        <v>4124</v>
      </c>
      <c r="G982" s="4" t="s">
        <v>56</v>
      </c>
      <c r="H982" s="4" t="s">
        <v>39</v>
      </c>
      <c r="I982" s="4" t="s">
        <v>67</v>
      </c>
      <c r="J982" s="4" t="s">
        <v>50</v>
      </c>
      <c r="K982" s="4" t="s">
        <v>4125</v>
      </c>
      <c r="L982" s="4" t="str">
        <f aca="false">IF(TRIM(LOWER(E982))=TRIM(LOWER(J982)),"Match","Different")</f>
        <v>Different</v>
      </c>
    </row>
    <row r="983" customFormat="false" ht="15" hidden="false" customHeight="false" outlineLevel="0" collapsed="false">
      <c r="A983" s="4" t="s">
        <v>4127</v>
      </c>
      <c r="B983" s="4" t="s">
        <v>4122</v>
      </c>
      <c r="C983" s="4" t="s">
        <v>4128</v>
      </c>
      <c r="D983" s="4"/>
      <c r="E983" s="4" t="s">
        <v>50</v>
      </c>
      <c r="F983" s="4" t="s">
        <v>4124</v>
      </c>
      <c r="G983" s="4" t="s">
        <v>56</v>
      </c>
      <c r="H983" s="4" t="s">
        <v>39</v>
      </c>
      <c r="I983" s="4" t="s">
        <v>67</v>
      </c>
      <c r="J983" s="4" t="s">
        <v>50</v>
      </c>
      <c r="K983" s="4" t="s">
        <v>4125</v>
      </c>
      <c r="L983" s="4" t="str">
        <f aca="false">IF(TRIM(LOWER(E983))=TRIM(LOWER(J983)),"Match","Different")</f>
        <v>Match</v>
      </c>
    </row>
    <row r="984" customFormat="false" ht="15" hidden="false" customHeight="false" outlineLevel="0" collapsed="false">
      <c r="A984" s="4" t="s">
        <v>4129</v>
      </c>
      <c r="B984" s="4" t="s">
        <v>4130</v>
      </c>
      <c r="C984" s="4" t="s">
        <v>4131</v>
      </c>
      <c r="D984" s="4"/>
      <c r="E984" s="4" t="s">
        <v>89</v>
      </c>
      <c r="F984" s="4" t="s">
        <v>4132</v>
      </c>
      <c r="G984" s="4" t="s">
        <v>27</v>
      </c>
      <c r="H984" s="4" t="s">
        <v>39</v>
      </c>
      <c r="I984" s="4" t="s">
        <v>57</v>
      </c>
      <c r="J984" s="4" t="s">
        <v>92</v>
      </c>
      <c r="K984" s="4" t="s">
        <v>4131</v>
      </c>
      <c r="L984" s="4" t="str">
        <f aca="false">IF(TRIM(LOWER(E984))=TRIM(LOWER(J984)),"Match","Different")</f>
        <v>Different</v>
      </c>
    </row>
    <row r="985" customFormat="false" ht="15" hidden="false" customHeight="false" outlineLevel="0" collapsed="false">
      <c r="A985" s="4" t="s">
        <v>4133</v>
      </c>
      <c r="B985" s="4" t="s">
        <v>4134</v>
      </c>
      <c r="C985" s="4" t="s">
        <v>4135</v>
      </c>
      <c r="D985" s="4" t="s">
        <v>4136</v>
      </c>
      <c r="E985" s="4" t="s">
        <v>89</v>
      </c>
      <c r="F985" s="4" t="s">
        <v>4137</v>
      </c>
      <c r="G985" s="4" t="s">
        <v>1324</v>
      </c>
      <c r="H985" s="4" t="s">
        <v>28</v>
      </c>
      <c r="I985" s="4" t="s">
        <v>226</v>
      </c>
      <c r="J985" s="4" t="s">
        <v>100</v>
      </c>
      <c r="K985" s="4" t="s">
        <v>4138</v>
      </c>
      <c r="L985" s="4" t="str">
        <f aca="false">IF(TRIM(LOWER(E985))=TRIM(LOWER(J985)),"Match","Different")</f>
        <v>Different</v>
      </c>
    </row>
    <row r="986" customFormat="false" ht="15" hidden="false" customHeight="false" outlineLevel="0" collapsed="false">
      <c r="A986" s="4" t="s">
        <v>4139</v>
      </c>
      <c r="B986" s="4" t="s">
        <v>4140</v>
      </c>
      <c r="C986" s="4" t="s">
        <v>4141</v>
      </c>
      <c r="D986" s="4" t="s">
        <v>4142</v>
      </c>
      <c r="E986" s="4" t="s">
        <v>104</v>
      </c>
      <c r="F986" s="4" t="s">
        <v>4143</v>
      </c>
      <c r="G986" s="4" t="s">
        <v>575</v>
      </c>
      <c r="H986" s="4" t="s">
        <v>39</v>
      </c>
      <c r="I986" s="4" t="s">
        <v>226</v>
      </c>
      <c r="J986" s="4" t="s">
        <v>30</v>
      </c>
      <c r="K986" s="4" t="s">
        <v>4144</v>
      </c>
      <c r="L986" s="4" t="str">
        <f aca="false">IF(TRIM(LOWER(E986))=TRIM(LOWER(J986)),"Match","Different")</f>
        <v>Different</v>
      </c>
    </row>
    <row r="987" customFormat="false" ht="15" hidden="false" customHeight="false" outlineLevel="0" collapsed="false">
      <c r="A987" s="4" t="s">
        <v>4145</v>
      </c>
      <c r="B987" s="4" t="s">
        <v>4146</v>
      </c>
      <c r="C987" s="4" t="s">
        <v>4147</v>
      </c>
      <c r="D987" s="4" t="s">
        <v>4148</v>
      </c>
      <c r="E987" s="4" t="s">
        <v>64</v>
      </c>
      <c r="F987" s="4" t="s">
        <v>4149</v>
      </c>
      <c r="G987" s="4" t="s">
        <v>38</v>
      </c>
      <c r="H987" s="4" t="s">
        <v>28</v>
      </c>
      <c r="I987" s="4" t="s">
        <v>123</v>
      </c>
      <c r="J987" s="4" t="s">
        <v>30</v>
      </c>
      <c r="K987" s="4" t="s">
        <v>4147</v>
      </c>
      <c r="L987" s="4" t="str">
        <f aca="false">IF(TRIM(LOWER(E987))=TRIM(LOWER(J987)),"Match","Different")</f>
        <v>Different</v>
      </c>
    </row>
    <row r="988" customFormat="false" ht="15" hidden="false" customHeight="false" outlineLevel="0" collapsed="false">
      <c r="A988" s="4" t="s">
        <v>4150</v>
      </c>
      <c r="B988" s="4" t="s">
        <v>4151</v>
      </c>
      <c r="C988" s="4" t="s">
        <v>4152</v>
      </c>
      <c r="D988" s="4" t="s">
        <v>4153</v>
      </c>
      <c r="E988" s="4" t="s">
        <v>170</v>
      </c>
      <c r="F988" s="4" t="s">
        <v>4154</v>
      </c>
      <c r="G988" s="4" t="s">
        <v>359</v>
      </c>
      <c r="H988" s="4" t="s">
        <v>172</v>
      </c>
      <c r="I988" s="4" t="s">
        <v>173</v>
      </c>
      <c r="J988" s="4" t="s">
        <v>174</v>
      </c>
      <c r="K988" s="4" t="s">
        <v>4155</v>
      </c>
      <c r="L988" s="4" t="str">
        <f aca="false">IF(TRIM(LOWER(E988))=TRIM(LOWER(J988)),"Match","Different")</f>
        <v>Different</v>
      </c>
    </row>
    <row r="989" customFormat="false" ht="15" hidden="false" customHeight="false" outlineLevel="0" collapsed="false">
      <c r="A989" s="4" t="s">
        <v>4156</v>
      </c>
      <c r="B989" s="4" t="s">
        <v>4157</v>
      </c>
      <c r="C989" s="4" t="s">
        <v>4158</v>
      </c>
      <c r="D989" s="4"/>
      <c r="E989" s="4" t="s">
        <v>64</v>
      </c>
      <c r="F989" s="4" t="s">
        <v>4159</v>
      </c>
      <c r="G989" s="4" t="s">
        <v>38</v>
      </c>
      <c r="H989" s="4" t="s">
        <v>66</v>
      </c>
      <c r="I989" s="4" t="s">
        <v>536</v>
      </c>
      <c r="J989" s="4" t="s">
        <v>30</v>
      </c>
      <c r="K989" s="4" t="s">
        <v>4158</v>
      </c>
      <c r="L989" s="4" t="str">
        <f aca="false">IF(TRIM(LOWER(E989))=TRIM(LOWER(J989)),"Match","Different")</f>
        <v>Different</v>
      </c>
    </row>
    <row r="990" customFormat="false" ht="15" hidden="false" customHeight="false" outlineLevel="0" collapsed="false">
      <c r="A990" s="4" t="s">
        <v>4160</v>
      </c>
      <c r="B990" s="4" t="s">
        <v>4161</v>
      </c>
      <c r="C990" s="4" t="s">
        <v>4162</v>
      </c>
      <c r="D990" s="4" t="s">
        <v>4163</v>
      </c>
      <c r="E990" s="4" t="s">
        <v>89</v>
      </c>
      <c r="F990" s="4" t="s">
        <v>4164</v>
      </c>
      <c r="G990" s="4" t="s">
        <v>27</v>
      </c>
      <c r="H990" s="4" t="s">
        <v>39</v>
      </c>
      <c r="I990" s="4" t="s">
        <v>99</v>
      </c>
      <c r="J990" s="4" t="s">
        <v>92</v>
      </c>
      <c r="K990" s="4" t="s">
        <v>4162</v>
      </c>
      <c r="L990" s="4" t="str">
        <f aca="false">IF(TRIM(LOWER(E990))=TRIM(LOWER(J990)),"Match","Different")</f>
        <v>Different</v>
      </c>
    </row>
    <row r="991" customFormat="false" ht="15" hidden="false" customHeight="false" outlineLevel="0" collapsed="false">
      <c r="A991" s="4" t="s">
        <v>4165</v>
      </c>
      <c r="B991" s="4" t="s">
        <v>4166</v>
      </c>
      <c r="C991" s="4" t="s">
        <v>4167</v>
      </c>
      <c r="D991" s="4" t="s">
        <v>4168</v>
      </c>
      <c r="E991" s="4" t="s">
        <v>50</v>
      </c>
      <c r="F991" s="4" t="s">
        <v>4169</v>
      </c>
      <c r="G991" s="4" t="s">
        <v>136</v>
      </c>
      <c r="H991" s="4" t="s">
        <v>66</v>
      </c>
      <c r="I991" s="4" t="s">
        <v>1087</v>
      </c>
      <c r="J991" s="4" t="s">
        <v>100</v>
      </c>
      <c r="K991" s="4" t="s">
        <v>4167</v>
      </c>
      <c r="L991" s="4" t="str">
        <f aca="false">IF(TRIM(LOWER(E991))=TRIM(LOWER(J991)),"Match","Different")</f>
        <v>Different</v>
      </c>
    </row>
    <row r="992" customFormat="false" ht="15" hidden="false" customHeight="false" outlineLevel="0" collapsed="false">
      <c r="A992" s="4" t="s">
        <v>4170</v>
      </c>
      <c r="B992" s="4" t="s">
        <v>4171</v>
      </c>
      <c r="C992" s="4" t="s">
        <v>4172</v>
      </c>
      <c r="D992" s="4"/>
      <c r="E992" s="4" t="s">
        <v>341</v>
      </c>
      <c r="F992" s="4" t="s">
        <v>4173</v>
      </c>
      <c r="G992" s="4" t="s">
        <v>359</v>
      </c>
      <c r="H992" s="4" t="s">
        <v>39</v>
      </c>
      <c r="I992" s="4" t="s">
        <v>208</v>
      </c>
      <c r="J992" s="4" t="s">
        <v>30</v>
      </c>
      <c r="K992" s="4" t="s">
        <v>4172</v>
      </c>
      <c r="L992" s="4" t="str">
        <f aca="false">IF(TRIM(LOWER(E992))=TRIM(LOWER(J992)),"Match","Different")</f>
        <v>Different</v>
      </c>
    </row>
    <row r="993" customFormat="false" ht="15" hidden="false" customHeight="false" outlineLevel="0" collapsed="false">
      <c r="A993" s="4" t="s">
        <v>4174</v>
      </c>
      <c r="B993" s="4" t="s">
        <v>4171</v>
      </c>
      <c r="C993" s="4"/>
      <c r="D993" s="4" t="s">
        <v>4175</v>
      </c>
      <c r="E993" s="4" t="s">
        <v>30</v>
      </c>
      <c r="F993" s="4" t="s">
        <v>4173</v>
      </c>
      <c r="G993" s="4" t="s">
        <v>359</v>
      </c>
      <c r="H993" s="4" t="s">
        <v>39</v>
      </c>
      <c r="I993" s="4" t="s">
        <v>208</v>
      </c>
      <c r="J993" s="4" t="s">
        <v>30</v>
      </c>
      <c r="K993" s="4" t="s">
        <v>4172</v>
      </c>
      <c r="L993" s="4" t="str">
        <f aca="false">IF(TRIM(LOWER(E993))=TRIM(LOWER(J993)),"Match","Different")</f>
        <v>Match</v>
      </c>
    </row>
    <row r="994" customFormat="false" ht="15" hidden="false" customHeight="false" outlineLevel="0" collapsed="false">
      <c r="A994" s="4" t="s">
        <v>4176</v>
      </c>
      <c r="B994" s="4" t="s">
        <v>4177</v>
      </c>
      <c r="C994" s="4" t="s">
        <v>4178</v>
      </c>
      <c r="D994" s="4" t="s">
        <v>4179</v>
      </c>
      <c r="E994" s="4" t="s">
        <v>89</v>
      </c>
      <c r="F994" s="4" t="s">
        <v>4180</v>
      </c>
      <c r="G994" s="4" t="s">
        <v>136</v>
      </c>
      <c r="H994" s="4" t="s">
        <v>66</v>
      </c>
      <c r="I994" s="4"/>
      <c r="J994" s="4" t="s">
        <v>92</v>
      </c>
      <c r="K994" s="4" t="s">
        <v>4178</v>
      </c>
      <c r="L994" s="4" t="str">
        <f aca="false">IF(TRIM(LOWER(E994))=TRIM(LOWER(J994)),"Match","Different")</f>
        <v>Different</v>
      </c>
    </row>
    <row r="995" customFormat="false" ht="15" hidden="false" customHeight="false" outlineLevel="0" collapsed="false">
      <c r="A995" s="4" t="s">
        <v>4181</v>
      </c>
      <c r="B995" s="4" t="s">
        <v>4182</v>
      </c>
      <c r="C995" s="4" t="s">
        <v>4183</v>
      </c>
      <c r="D995" s="4" t="s">
        <v>4184</v>
      </c>
      <c r="E995" s="4" t="s">
        <v>112</v>
      </c>
      <c r="F995" s="4" t="s">
        <v>4185</v>
      </c>
      <c r="G995" s="4" t="s">
        <v>56</v>
      </c>
      <c r="H995" s="4" t="s">
        <v>48</v>
      </c>
      <c r="I995" s="4" t="s">
        <v>194</v>
      </c>
      <c r="J995" s="4" t="s">
        <v>112</v>
      </c>
      <c r="K995" s="4" t="s">
        <v>4183</v>
      </c>
      <c r="L995" s="4" t="str">
        <f aca="false">IF(TRIM(LOWER(E995))=TRIM(LOWER(J995)),"Match","Different")</f>
        <v>Match</v>
      </c>
    </row>
    <row r="996" customFormat="false" ht="15" hidden="false" customHeight="false" outlineLevel="0" collapsed="false">
      <c r="A996" s="4" t="s">
        <v>4186</v>
      </c>
      <c r="B996" s="4" t="s">
        <v>4187</v>
      </c>
      <c r="C996" s="4" t="s">
        <v>4188</v>
      </c>
      <c r="D996" s="4"/>
      <c r="E996" s="4" t="s">
        <v>89</v>
      </c>
      <c r="F996" s="4" t="s">
        <v>4189</v>
      </c>
      <c r="G996" s="4" t="s">
        <v>47</v>
      </c>
      <c r="H996" s="4" t="s">
        <v>66</v>
      </c>
      <c r="I996" s="4" t="s">
        <v>568</v>
      </c>
      <c r="J996" s="4" t="s">
        <v>30</v>
      </c>
      <c r="K996" s="4" t="s">
        <v>4190</v>
      </c>
      <c r="L996" s="4" t="str">
        <f aca="false">IF(TRIM(LOWER(E996))=TRIM(LOWER(J996)),"Match","Different")</f>
        <v>Different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2026-07-21T08:54:51Z</dcterms:created>
  <dc:creator/>
  <dc:description/>
  <dc:language>en-US</dc:language>
  <cp:lastModifiedBy/>
  <dcterms:modified xsi:type="dcterms:W3CDTF">2026-07-21T08:54:57Z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